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45" yWindow="-45" windowWidth="9270" windowHeight="5025" tabRatio="712" activeTab="9"/>
  </bookViews>
  <sheets>
    <sheet name="H 10 H15 H20" sheetId="26" r:id="rId1"/>
    <sheet name="H-21 ALL RADIUS" sheetId="47" r:id="rId2"/>
    <sheet name="H-25 ALL RADIUS" sheetId="1" r:id="rId3"/>
    <sheet name="h-35 all radius" sheetId="72" r:id="rId4"/>
    <sheet name="H-42 ALL RADIUS" sheetId="69" r:id="rId5"/>
    <sheet name="H-45 ALL RADIUS" sheetId="2" r:id="rId6"/>
    <sheet name="H-56 ALL RADIUS" sheetId="70" r:id="rId7"/>
    <sheet name="H-60 ALL RADIUS" sheetId="4" r:id="rId8"/>
    <sheet name="H-21.1 ALL Radius" sheetId="40" state="hidden" r:id="rId9"/>
    <sheet name="H-80 ALL RADIUS" sheetId="38" r:id="rId10"/>
    <sheet name="H-2425.1 ALL Radius" sheetId="44" state="hidden" r:id="rId11"/>
    <sheet name="H-2627.35.1 ALL Radius" sheetId="45" state="hidden" r:id="rId12"/>
    <sheet name="H-3435.45.1 ALL Radius" sheetId="46" state="hidden" r:id="rId13"/>
    <sheet name="Open Strip 25.35.45.60" sheetId="48" r:id="rId14"/>
    <sheet name="Order" sheetId="10" r:id="rId15"/>
    <sheet name="GLAND CLAMP STOCK" sheetId="28" r:id="rId16"/>
    <sheet name="Drum Details." sheetId="51" r:id="rId17"/>
    <sheet name="H MIX" sheetId="66" r:id="rId18"/>
    <sheet name="MACHINE" sheetId="67" r:id="rId19"/>
    <sheet name="Sheet1" sheetId="73" r:id="rId20"/>
  </sheets>
  <definedNames>
    <definedName name="_xlnm.Print_Area" localSheetId="16">'Drum Details.'!$A$1:$F$91</definedName>
    <definedName name="_xlnm.Print_Area" localSheetId="0">'H 10 H15 H20'!$A$1:$L$21</definedName>
    <definedName name="_xlnm.Print_Area" localSheetId="17">'H MIX'!$A$82:$C$122</definedName>
    <definedName name="_xlnm.Print_Area" localSheetId="1">'H-21 ALL RADIUS'!$A$1:$E$26</definedName>
    <definedName name="_xlnm.Print_Area" localSheetId="8">'H-21.1 ALL Radius'!$A$1:$L$25</definedName>
    <definedName name="_xlnm.Print_Area" localSheetId="10">'H-2425.1 ALL Radius'!$A$1:$K$26</definedName>
    <definedName name="_xlnm.Print_Area" localSheetId="2">'H-25 ALL RADIUS'!$A$1:$E$16</definedName>
    <definedName name="_xlnm.Print_Area" localSheetId="11">'H-2627.35.1 ALL Radius'!$A$1:$M$25</definedName>
    <definedName name="_xlnm.Print_Area" localSheetId="12">'H-3435.45.1 ALL Radius'!$A$1:$L$21</definedName>
    <definedName name="_xlnm.Print_Area" localSheetId="3">'h-35 all radius'!$A$1:$E$16</definedName>
    <definedName name="_xlnm.Print_Area" localSheetId="4">'H-42 ALL RADIUS'!$A$1:$E$18</definedName>
    <definedName name="_xlnm.Print_Area" localSheetId="5">'H-45 ALL RADIUS'!$A$1:$E$16</definedName>
    <definedName name="_xlnm.Print_Area" localSheetId="6">'H-56 ALL RADIUS'!$A$1:$E$20</definedName>
    <definedName name="_xlnm.Print_Area" localSheetId="7">'H-60 ALL RADIUS'!$A$1:$E$14</definedName>
    <definedName name="_xlnm.Print_Area" localSheetId="9">'H-80 ALL RADIUS'!$A$1:$F$8108</definedName>
    <definedName name="_xlnm.Print_Area" localSheetId="18">MACHINE!$A$1:$I$17</definedName>
    <definedName name="_xlnm.Print_Area" localSheetId="13">'Open Strip 25.35.45.60'!$A$1:$R$39</definedName>
    <definedName name="_xlnm.Print_Area" localSheetId="19">Sheet1!$A$1:$E$13</definedName>
  </definedNames>
  <calcPr calcId="124519"/>
</workbook>
</file>

<file path=xl/calcChain.xml><?xml version="1.0" encoding="utf-8"?>
<calcChain xmlns="http://schemas.openxmlformats.org/spreadsheetml/2006/main">
  <c r="O337" i="10"/>
  <c r="K349"/>
  <c r="I349"/>
  <c r="G349"/>
  <c r="E349"/>
  <c r="D344"/>
  <c r="E347"/>
  <c r="M11" i="70"/>
  <c r="M12"/>
  <c r="M13"/>
  <c r="M14"/>
  <c r="M10"/>
  <c r="C15"/>
  <c r="E13"/>
  <c r="E14"/>
  <c r="E12"/>
  <c r="W9" i="72"/>
  <c r="V16"/>
  <c r="AC20" l="1"/>
  <c r="AC16"/>
  <c r="AC11"/>
  <c r="AC7"/>
  <c r="L15" i="70"/>
  <c r="D15"/>
  <c r="E9"/>
  <c r="E8"/>
  <c r="D6"/>
  <c r="C6"/>
  <c r="E4"/>
  <c r="E5"/>
  <c r="E3"/>
  <c r="K346" i="10"/>
  <c r="I346"/>
  <c r="G346"/>
  <c r="E346"/>
  <c r="E15" i="70" l="1"/>
  <c r="E6"/>
  <c r="D6" i="38"/>
  <c r="B5"/>
  <c r="C5"/>
  <c r="D5"/>
  <c r="E5"/>
  <c r="D11"/>
  <c r="B10"/>
  <c r="C10"/>
  <c r="D10"/>
  <c r="E10"/>
  <c r="B15"/>
  <c r="D16" s="1"/>
  <c r="C15"/>
  <c r="D15"/>
  <c r="D21"/>
  <c r="B20"/>
  <c r="C20"/>
  <c r="D20"/>
  <c r="E20"/>
  <c r="D26"/>
  <c r="B25"/>
  <c r="C25"/>
  <c r="D25"/>
  <c r="E25"/>
  <c r="T4" i="4"/>
  <c r="U5" s="1"/>
  <c r="U4"/>
  <c r="V4"/>
  <c r="V10"/>
  <c r="T10" s="1"/>
  <c r="U10"/>
  <c r="U11" s="1"/>
  <c r="U16"/>
  <c r="V16"/>
  <c r="O13"/>
  <c r="P13"/>
  <c r="I13"/>
  <c r="J13"/>
  <c r="H13" s="1"/>
  <c r="D13"/>
  <c r="B13" s="1"/>
  <c r="C13"/>
  <c r="K8" i="70" l="1"/>
  <c r="L8"/>
  <c r="J8" s="1"/>
  <c r="K9" s="1"/>
  <c r="M4"/>
  <c r="M5"/>
  <c r="M6"/>
  <c r="M7"/>
  <c r="M3"/>
  <c r="J15"/>
  <c r="K16" s="1"/>
  <c r="K15"/>
  <c r="M15"/>
  <c r="B6"/>
  <c r="C7" s="1"/>
  <c r="D10"/>
  <c r="B10" s="1"/>
  <c r="C11" s="1"/>
  <c r="C10"/>
  <c r="B15"/>
  <c r="C16" s="1"/>
  <c r="C19"/>
  <c r="D19"/>
  <c r="B19" s="1"/>
  <c r="U10" i="2"/>
  <c r="V10"/>
  <c r="T10" s="1"/>
  <c r="W4"/>
  <c r="W5"/>
  <c r="C7"/>
  <c r="D7"/>
  <c r="B7" s="1"/>
  <c r="E10"/>
  <c r="E11"/>
  <c r="E12"/>
  <c r="E13"/>
  <c r="E14"/>
  <c r="E9"/>
  <c r="L17" i="69"/>
  <c r="K17"/>
  <c r="J17"/>
  <c r="L15"/>
  <c r="L16"/>
  <c r="L14"/>
  <c r="L12"/>
  <c r="K12"/>
  <c r="J12"/>
  <c r="L10"/>
  <c r="L11"/>
  <c r="L9"/>
  <c r="L7"/>
  <c r="K7"/>
  <c r="J7"/>
  <c r="L4"/>
  <c r="L5"/>
  <c r="L6"/>
  <c r="L3"/>
  <c r="D17"/>
  <c r="E17"/>
  <c r="E15"/>
  <c r="E16"/>
  <c r="E14"/>
  <c r="C17"/>
  <c r="D12"/>
  <c r="C12"/>
  <c r="E10"/>
  <c r="E11"/>
  <c r="E9"/>
  <c r="D7"/>
  <c r="E4"/>
  <c r="E5"/>
  <c r="E6"/>
  <c r="E3"/>
  <c r="C7"/>
  <c r="AG13" i="72"/>
  <c r="AD6"/>
  <c r="AA6"/>
  <c r="AA10"/>
  <c r="AD15"/>
  <c r="AA15"/>
  <c r="AA19"/>
  <c r="AJ4"/>
  <c r="AJ5"/>
  <c r="AJ6"/>
  <c r="AJ7"/>
  <c r="AJ8"/>
  <c r="AJ3"/>
  <c r="AI9"/>
  <c r="AG9" s="1"/>
  <c r="AH9"/>
  <c r="P9"/>
  <c r="N9" s="1"/>
  <c r="O10" s="1"/>
  <c r="O9"/>
  <c r="O13"/>
  <c r="P13"/>
  <c r="N13" s="1"/>
  <c r="O17"/>
  <c r="P17"/>
  <c r="I5"/>
  <c r="J5"/>
  <c r="H5" s="1"/>
  <c r="I12"/>
  <c r="J12"/>
  <c r="H12" s="1"/>
  <c r="I17"/>
  <c r="J17"/>
  <c r="C15"/>
  <c r="K345" i="10"/>
  <c r="E345"/>
  <c r="D345"/>
  <c r="K344"/>
  <c r="J344"/>
  <c r="G344"/>
  <c r="E344"/>
  <c r="C344"/>
  <c r="D15" i="72"/>
  <c r="E10"/>
  <c r="O6" i="1"/>
  <c r="O5"/>
  <c r="P5"/>
  <c r="Q5"/>
  <c r="Q7"/>
  <c r="O9"/>
  <c r="P9"/>
  <c r="O14"/>
  <c r="P14"/>
  <c r="O19"/>
  <c r="P19"/>
  <c r="I6"/>
  <c r="J6"/>
  <c r="I10"/>
  <c r="J10"/>
  <c r="H10" s="1"/>
  <c r="I17"/>
  <c r="J17"/>
  <c r="C8"/>
  <c r="D8"/>
  <c r="C15"/>
  <c r="D15"/>
  <c r="C4" i="47"/>
  <c r="D4"/>
  <c r="C7"/>
  <c r="D7"/>
  <c r="B7" s="1"/>
  <c r="C8" s="1"/>
  <c r="C10"/>
  <c r="D10"/>
  <c r="C14"/>
  <c r="D14"/>
  <c r="C17"/>
  <c r="D17"/>
  <c r="B17" s="1"/>
  <c r="C18" s="1"/>
  <c r="C21"/>
  <c r="D21"/>
  <c r="C25"/>
  <c r="D25"/>
  <c r="J9" i="26"/>
  <c r="K9"/>
  <c r="J15"/>
  <c r="K15"/>
  <c r="B6"/>
  <c r="D6"/>
  <c r="C6"/>
  <c r="D11"/>
  <c r="B11" s="1"/>
  <c r="C12" s="1"/>
  <c r="C11"/>
  <c r="D15"/>
  <c r="C15"/>
  <c r="B15"/>
  <c r="C16" s="1"/>
  <c r="W8" i="4"/>
  <c r="U6" i="2"/>
  <c r="V6"/>
  <c r="T6" s="1"/>
  <c r="E6"/>
  <c r="C15"/>
  <c r="D15"/>
  <c r="B15" s="1"/>
  <c r="E7" i="69"/>
  <c r="E12"/>
  <c r="AC6" i="72"/>
  <c r="AB6"/>
  <c r="AC15"/>
  <c r="AB15"/>
  <c r="W15"/>
  <c r="V15"/>
  <c r="W8"/>
  <c r="U8" s="1"/>
  <c r="V8"/>
  <c r="D8"/>
  <c r="B8" s="1"/>
  <c r="C8"/>
  <c r="AC10"/>
  <c r="AB10"/>
  <c r="AC19"/>
  <c r="AB19"/>
  <c r="AI13"/>
  <c r="AH13"/>
  <c r="M8" i="70" l="1"/>
  <c r="V7" i="2"/>
  <c r="D8"/>
  <c r="D16"/>
  <c r="B7" i="69"/>
  <c r="D8" s="1"/>
  <c r="AJ9" i="72"/>
  <c r="AI10"/>
  <c r="B10" i="47"/>
  <c r="C11" s="1"/>
  <c r="C7" i="26"/>
  <c r="I12" i="69"/>
  <c r="K13" s="1"/>
  <c r="I7"/>
  <c r="K8" s="1"/>
  <c r="I17"/>
  <c r="K18" s="1"/>
  <c r="B12"/>
  <c r="D13" s="1"/>
  <c r="B17"/>
  <c r="D18" s="1"/>
  <c r="AI14" i="72"/>
  <c r="AH17" l="1"/>
  <c r="AI17"/>
  <c r="AG17" s="1"/>
  <c r="AJ16"/>
  <c r="AJ15"/>
  <c r="AJ12"/>
  <c r="AJ11"/>
  <c r="AD5"/>
  <c r="U15"/>
  <c r="AD18"/>
  <c r="AD17"/>
  <c r="AD14"/>
  <c r="AD13"/>
  <c r="AD12"/>
  <c r="AD9"/>
  <c r="AD8"/>
  <c r="AD4"/>
  <c r="AD3"/>
  <c r="X14"/>
  <c r="X13"/>
  <c r="X12"/>
  <c r="X11"/>
  <c r="X10"/>
  <c r="X15" s="1"/>
  <c r="X7"/>
  <c r="X6"/>
  <c r="X5"/>
  <c r="X4"/>
  <c r="X3"/>
  <c r="Q8"/>
  <c r="I13"/>
  <c r="K14"/>
  <c r="I6"/>
  <c r="K7"/>
  <c r="E11"/>
  <c r="C9"/>
  <c r="B15"/>
  <c r="C16" s="1"/>
  <c r="N14" i="1"/>
  <c r="O15" s="1"/>
  <c r="H17"/>
  <c r="I18" s="1"/>
  <c r="I11"/>
  <c r="H6"/>
  <c r="I7" s="1"/>
  <c r="B15"/>
  <c r="C16" s="1"/>
  <c r="B8"/>
  <c r="C9" s="1"/>
  <c r="E10"/>
  <c r="E13" i="47"/>
  <c r="E4" i="26"/>
  <c r="L343" i="10"/>
  <c r="K343"/>
  <c r="I343"/>
  <c r="G343"/>
  <c r="E343"/>
  <c r="I342"/>
  <c r="E342"/>
  <c r="C342"/>
  <c r="X8" i="72" l="1"/>
  <c r="AI18"/>
  <c r="AD19"/>
  <c r="AJ13"/>
  <c r="AD10"/>
  <c r="AJ17"/>
  <c r="K340" i="10"/>
  <c r="I340"/>
  <c r="G340"/>
  <c r="E368"/>
  <c r="M338"/>
  <c r="M368" s="1"/>
  <c r="I338"/>
  <c r="K337"/>
  <c r="AV368"/>
  <c r="AU368"/>
  <c r="AS368"/>
  <c r="AR368"/>
  <c r="AQ368"/>
  <c r="AP368"/>
  <c r="AO368"/>
  <c r="AN368"/>
  <c r="AM368"/>
  <c r="AH368"/>
  <c r="AE368"/>
  <c r="AD368"/>
  <c r="AC368"/>
  <c r="AB368"/>
  <c r="W368"/>
  <c r="V368"/>
  <c r="U368"/>
  <c r="T368"/>
  <c r="S368"/>
  <c r="X337" s="1"/>
  <c r="L368"/>
  <c r="J368"/>
  <c r="H368"/>
  <c r="F368"/>
  <c r="C368"/>
  <c r="N368"/>
  <c r="G368"/>
  <c r="D368"/>
  <c r="AW337"/>
  <c r="AI337"/>
  <c r="L4" i="26"/>
  <c r="I332" i="10"/>
  <c r="K332"/>
  <c r="G332"/>
  <c r="I368" l="1"/>
  <c r="K368"/>
  <c r="E10" i="70"/>
  <c r="E17"/>
  <c r="E18"/>
  <c r="K6" i="2"/>
  <c r="K328" i="10"/>
  <c r="I328"/>
  <c r="G328"/>
  <c r="E328"/>
  <c r="M327"/>
  <c r="M326"/>
  <c r="K326"/>
  <c r="I326"/>
  <c r="G326"/>
  <c r="I325"/>
  <c r="K325"/>
  <c r="E19" i="70" l="1"/>
  <c r="K323" i="10"/>
  <c r="I323"/>
  <c r="G323"/>
  <c r="I320"/>
  <c r="I318"/>
  <c r="I316"/>
  <c r="N315"/>
  <c r="K315"/>
  <c r="K314"/>
  <c r="G314"/>
  <c r="N313"/>
  <c r="M313"/>
  <c r="K313"/>
  <c r="I313"/>
  <c r="G313"/>
  <c r="E313"/>
  <c r="M312"/>
  <c r="M335" s="1"/>
  <c r="K312"/>
  <c r="N311"/>
  <c r="N335" s="1"/>
  <c r="K311"/>
  <c r="I311"/>
  <c r="K309"/>
  <c r="M308"/>
  <c r="I308"/>
  <c r="G308"/>
  <c r="D308"/>
  <c r="C335"/>
  <c r="N307"/>
  <c r="I306"/>
  <c r="G306"/>
  <c r="K305"/>
  <c r="I305"/>
  <c r="D305"/>
  <c r="D335" s="1"/>
  <c r="K304"/>
  <c r="I304"/>
  <c r="G304"/>
  <c r="AV335"/>
  <c r="AU335"/>
  <c r="AS335"/>
  <c r="AR335"/>
  <c r="AQ335"/>
  <c r="AP335"/>
  <c r="AO335"/>
  <c r="AN335"/>
  <c r="AM335"/>
  <c r="AH335"/>
  <c r="AE335"/>
  <c r="AD335"/>
  <c r="AC335"/>
  <c r="AB335"/>
  <c r="W335"/>
  <c r="V335"/>
  <c r="U335"/>
  <c r="T335"/>
  <c r="S335"/>
  <c r="J335"/>
  <c r="H335"/>
  <c r="F335"/>
  <c r="E335"/>
  <c r="L335"/>
  <c r="AW304"/>
  <c r="AI304"/>
  <c r="X304"/>
  <c r="O271"/>
  <c r="K300"/>
  <c r="I300"/>
  <c r="K299"/>
  <c r="I299"/>
  <c r="K298"/>
  <c r="I296"/>
  <c r="I291"/>
  <c r="C292"/>
  <c r="G335" l="1"/>
  <c r="K335"/>
  <c r="I335"/>
  <c r="K290"/>
  <c r="I289"/>
  <c r="O304" l="1"/>
  <c r="L289"/>
  <c r="K288"/>
  <c r="G288"/>
  <c r="I286"/>
  <c r="M285"/>
  <c r="K285"/>
  <c r="I285"/>
  <c r="K284"/>
  <c r="G283"/>
  <c r="I283"/>
  <c r="F346" i="51" l="1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C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L11" i="28"/>
  <c r="F11" l="1"/>
  <c r="L10"/>
  <c r="F10"/>
  <c r="L9" l="1"/>
  <c r="F9"/>
  <c r="L8" l="1"/>
  <c r="F8"/>
  <c r="L7" l="1"/>
  <c r="F7" l="1"/>
  <c r="L6" l="1"/>
  <c r="F6"/>
  <c r="L5"/>
  <c r="F5" l="1"/>
  <c r="L4"/>
  <c r="F4"/>
  <c r="L3"/>
  <c r="F3"/>
  <c r="AV302" i="10"/>
  <c r="AU302"/>
  <c r="AS302"/>
  <c r="AR302"/>
  <c r="AQ302"/>
  <c r="AP302"/>
  <c r="AO302"/>
  <c r="AN302"/>
  <c r="AM302"/>
  <c r="AH302"/>
  <c r="AE302"/>
  <c r="AD302"/>
  <c r="AC302"/>
  <c r="AB302"/>
  <c r="W302"/>
  <c r="V302"/>
  <c r="U302"/>
  <c r="T302"/>
  <c r="S302"/>
  <c r="N302"/>
  <c r="M302"/>
  <c r="L302"/>
  <c r="K302"/>
  <c r="J302"/>
  <c r="I302"/>
  <c r="H302"/>
  <c r="G302" l="1"/>
  <c r="F302"/>
  <c r="E302"/>
  <c r="D302"/>
  <c r="C302"/>
  <c r="K282"/>
  <c r="G282"/>
  <c r="M281"/>
  <c r="K281"/>
  <c r="I281"/>
  <c r="K279"/>
  <c r="K278"/>
  <c r="M277"/>
  <c r="K277"/>
  <c r="I277"/>
  <c r="G277"/>
  <c r="M276"/>
  <c r="K276"/>
  <c r="I276"/>
  <c r="G276"/>
  <c r="K275"/>
  <c r="M274"/>
  <c r="K274"/>
  <c r="AW271"/>
  <c r="AI271"/>
  <c r="X271"/>
  <c r="AV268"/>
  <c r="AU268"/>
  <c r="AS268"/>
  <c r="AR268"/>
  <c r="AQ268"/>
  <c r="AP268"/>
  <c r="AO268"/>
  <c r="AN268"/>
  <c r="AM268"/>
  <c r="AH268"/>
  <c r="AE268"/>
  <c r="AD268"/>
  <c r="AC268"/>
  <c r="AB268"/>
  <c r="W268"/>
  <c r="V268"/>
  <c r="U268"/>
  <c r="T268"/>
  <c r="S268"/>
  <c r="N268"/>
  <c r="M268"/>
  <c r="L268"/>
  <c r="K268"/>
  <c r="J268"/>
  <c r="I268"/>
  <c r="H268"/>
  <c r="G268"/>
  <c r="F268"/>
  <c r="E268"/>
  <c r="D268"/>
  <c r="C268"/>
  <c r="M266"/>
  <c r="K266"/>
  <c r="I266"/>
  <c r="K265"/>
  <c r="M264"/>
  <c r="K264"/>
  <c r="I264"/>
  <c r="K261"/>
  <c r="I261"/>
  <c r="G261"/>
  <c r="K260"/>
  <c r="I260"/>
  <c r="G260"/>
  <c r="K259"/>
  <c r="G259"/>
  <c r="G257"/>
  <c r="G256"/>
  <c r="M254"/>
  <c r="K254"/>
  <c r="I254"/>
  <c r="K252"/>
  <c r="I252"/>
  <c r="I251"/>
  <c r="K247"/>
  <c r="I247"/>
  <c r="C247"/>
  <c r="K246"/>
  <c r="I246"/>
  <c r="G246"/>
  <c r="I245"/>
  <c r="I243"/>
  <c r="G243"/>
  <c r="C240"/>
  <c r="C239"/>
  <c r="AW237" s="1"/>
  <c r="AI237" s="1"/>
  <c r="X237"/>
  <c r="O237"/>
  <c r="AV235"/>
  <c r="AU235"/>
  <c r="AS235"/>
  <c r="AR235"/>
  <c r="AQ235"/>
  <c r="AP235"/>
  <c r="AO235"/>
  <c r="AN235"/>
  <c r="AM235"/>
  <c r="AH235"/>
  <c r="AE235"/>
  <c r="AD235"/>
  <c r="AC235"/>
  <c r="AB235"/>
  <c r="W235"/>
  <c r="V235"/>
  <c r="U235"/>
  <c r="T235"/>
  <c r="S235"/>
  <c r="N235"/>
  <c r="M235"/>
  <c r="L235"/>
  <c r="K235"/>
  <c r="J235"/>
  <c r="I235"/>
  <c r="H235"/>
  <c r="G235"/>
  <c r="F235"/>
  <c r="E235"/>
  <c r="D235"/>
  <c r="C235"/>
  <c r="M234"/>
  <c r="K233"/>
  <c r="C228"/>
  <c r="K217"/>
  <c r="I217"/>
  <c r="I216"/>
  <c r="M215"/>
  <c r="I215"/>
  <c r="G215"/>
  <c r="AW204" s="1"/>
  <c r="AI204" s="1"/>
  <c r="X204" s="1"/>
  <c r="O204"/>
  <c r="AV202"/>
  <c r="AU202"/>
  <c r="AS202"/>
  <c r="AR202"/>
  <c r="AQ202"/>
  <c r="AP202"/>
  <c r="AO202"/>
  <c r="AN202"/>
  <c r="AM202"/>
  <c r="AH202"/>
  <c r="AE202"/>
  <c r="AD202"/>
  <c r="AC202"/>
  <c r="AB202"/>
  <c r="W202"/>
  <c r="V202"/>
  <c r="U202"/>
  <c r="T202"/>
  <c r="S202"/>
  <c r="N202"/>
  <c r="M202" l="1"/>
  <c r="L202"/>
  <c r="K202"/>
  <c r="J202"/>
  <c r="I202"/>
  <c r="H202"/>
  <c r="G202"/>
  <c r="F202"/>
  <c r="E202"/>
  <c r="D202"/>
  <c r="C202"/>
  <c r="N198"/>
  <c r="L198"/>
  <c r="M197"/>
  <c r="K197"/>
  <c r="I197"/>
  <c r="G197"/>
  <c r="M196"/>
  <c r="K196"/>
  <c r="I196"/>
  <c r="K195"/>
  <c r="K193"/>
  <c r="I193"/>
  <c r="E191"/>
  <c r="K189"/>
  <c r="K187"/>
  <c r="K186"/>
  <c r="I182"/>
  <c r="M181"/>
  <c r="K181"/>
  <c r="E181"/>
  <c r="M180"/>
  <c r="K180"/>
  <c r="I180"/>
  <c r="K179"/>
  <c r="I179"/>
  <c r="K177"/>
  <c r="I177"/>
  <c r="K176"/>
  <c r="I176"/>
  <c r="G176"/>
  <c r="K175"/>
  <c r="I175"/>
  <c r="K174"/>
  <c r="G173"/>
  <c r="K172"/>
  <c r="I172"/>
  <c r="G172"/>
  <c r="AW171"/>
  <c r="AI171" s="1"/>
  <c r="X171"/>
  <c r="O171" l="1"/>
  <c r="AV168"/>
  <c r="AU168"/>
  <c r="AS168"/>
  <c r="AR168"/>
  <c r="AQ168"/>
  <c r="AP168"/>
  <c r="AO168"/>
  <c r="AN168"/>
  <c r="AM168"/>
  <c r="AH168"/>
  <c r="AE168"/>
  <c r="AD168"/>
  <c r="AC168"/>
  <c r="AB168"/>
  <c r="W168"/>
  <c r="V168"/>
  <c r="U168"/>
  <c r="T168"/>
  <c r="S168"/>
  <c r="N168"/>
  <c r="M168"/>
  <c r="L168"/>
  <c r="K168"/>
  <c r="J168"/>
  <c r="I168"/>
  <c r="H168"/>
  <c r="G168"/>
  <c r="F168" s="1"/>
  <c r="E168" s="1"/>
  <c r="D168"/>
  <c r="C168"/>
  <c r="M167"/>
  <c r="M166"/>
  <c r="K166"/>
  <c r="I166"/>
  <c r="I165"/>
  <c r="K164"/>
  <c r="I159"/>
  <c r="G159"/>
  <c r="I158"/>
  <c r="F158"/>
  <c r="M156"/>
  <c r="M155"/>
  <c r="K155"/>
  <c r="I153"/>
  <c r="I152"/>
  <c r="K151"/>
  <c r="I151"/>
  <c r="K149"/>
  <c r="K145"/>
  <c r="I145"/>
  <c r="G145"/>
  <c r="K144"/>
  <c r="I144"/>
  <c r="E144"/>
  <c r="M143"/>
  <c r="K143"/>
  <c r="I143"/>
  <c r="G143"/>
  <c r="K142"/>
  <c r="I142"/>
  <c r="E142"/>
  <c r="K141"/>
  <c r="I141"/>
  <c r="K139"/>
  <c r="K138"/>
  <c r="I138"/>
  <c r="AW137"/>
  <c r="AI137"/>
  <c r="X137" s="1"/>
  <c r="O137" s="1"/>
  <c r="K137"/>
  <c r="AV135"/>
  <c r="AU135"/>
  <c r="AS135"/>
  <c r="AR135"/>
  <c r="AQ135"/>
  <c r="AP135"/>
  <c r="AO135"/>
  <c r="AN135"/>
  <c r="AM135"/>
  <c r="AH135"/>
  <c r="AE135"/>
  <c r="AD135"/>
  <c r="AC135"/>
  <c r="AB135"/>
  <c r="W135"/>
  <c r="V135"/>
  <c r="U135"/>
  <c r="T135"/>
  <c r="S135"/>
  <c r="N135"/>
  <c r="M135" s="1"/>
  <c r="L135"/>
  <c r="K135"/>
  <c r="J135"/>
  <c r="I135" s="1"/>
  <c r="H135"/>
  <c r="G135"/>
  <c r="F135"/>
  <c r="E135"/>
  <c r="D135"/>
  <c r="C135"/>
  <c r="K134"/>
  <c r="I134"/>
  <c r="M133"/>
  <c r="K133"/>
  <c r="G133"/>
  <c r="M132"/>
  <c r="I132"/>
  <c r="G132"/>
  <c r="M130"/>
  <c r="K130"/>
  <c r="I130"/>
  <c r="G130"/>
  <c r="M129"/>
  <c r="I129"/>
  <c r="G129"/>
  <c r="G128"/>
  <c r="M127"/>
  <c r="K127"/>
  <c r="I127"/>
  <c r="M126"/>
  <c r="K126"/>
  <c r="K125"/>
  <c r="K123"/>
  <c r="I123"/>
  <c r="M122"/>
  <c r="K122"/>
  <c r="I122"/>
  <c r="I121"/>
  <c r="M120"/>
  <c r="K120"/>
  <c r="I120"/>
  <c r="K119"/>
  <c r="K118"/>
  <c r="I118"/>
  <c r="G118"/>
  <c r="M114"/>
  <c r="I114"/>
  <c r="K113"/>
  <c r="I113"/>
  <c r="G113"/>
  <c r="K109"/>
  <c r="AW104" s="1"/>
  <c r="AI104"/>
  <c r="X104"/>
  <c r="O104" s="1"/>
  <c r="AV101"/>
  <c r="AU101"/>
  <c r="AS101"/>
  <c r="AR101"/>
  <c r="AQ101"/>
  <c r="AP101"/>
  <c r="AO101"/>
  <c r="AN101"/>
  <c r="AM101"/>
  <c r="AH101"/>
  <c r="AE101"/>
  <c r="AD101"/>
  <c r="AC101"/>
  <c r="AB101"/>
  <c r="W101"/>
  <c r="V101"/>
  <c r="U101"/>
  <c r="T101"/>
  <c r="S101"/>
  <c r="N101"/>
  <c r="M101"/>
  <c r="L101"/>
  <c r="K101"/>
  <c r="J101"/>
  <c r="I101" s="1"/>
  <c r="H101"/>
  <c r="G101"/>
  <c r="F101"/>
  <c r="E101"/>
  <c r="D101"/>
  <c r="C101"/>
  <c r="I86"/>
  <c r="AW70"/>
  <c r="AI70"/>
  <c r="X70" s="1"/>
  <c r="O70" s="1"/>
  <c r="AV68"/>
  <c r="AU68"/>
  <c r="AS68"/>
  <c r="AR68"/>
  <c r="AP68"/>
  <c r="AO68"/>
  <c r="AN68"/>
  <c r="AM68"/>
  <c r="AH68"/>
  <c r="AE68"/>
  <c r="AD68"/>
  <c r="AC68"/>
  <c r="AB68"/>
  <c r="W68"/>
  <c r="V68"/>
  <c r="U68"/>
  <c r="T68"/>
  <c r="S68"/>
  <c r="N68"/>
  <c r="M68"/>
  <c r="L68"/>
  <c r="K68"/>
  <c r="J68"/>
  <c r="I68"/>
  <c r="H68"/>
  <c r="G68"/>
  <c r="F68"/>
  <c r="E68"/>
  <c r="D68"/>
  <c r="C68"/>
  <c r="AW37"/>
  <c r="AI37" s="1"/>
  <c r="X37"/>
  <c r="O37" l="1"/>
  <c r="AT34"/>
  <c r="AP34"/>
  <c r="AO34"/>
  <c r="AN34"/>
  <c r="AM34"/>
  <c r="AH34"/>
  <c r="AE34"/>
  <c r="AD34"/>
  <c r="AC34"/>
  <c r="AB34"/>
  <c r="W34"/>
  <c r="V34"/>
  <c r="U34"/>
  <c r="T34"/>
  <c r="S34"/>
  <c r="K34"/>
  <c r="I34"/>
  <c r="G34"/>
  <c r="E34"/>
  <c r="AU3" s="1"/>
  <c r="AI3"/>
  <c r="X3" s="1"/>
  <c r="O3"/>
  <c r="P32" i="48" s="1"/>
  <c r="J32" s="1"/>
  <c r="D32" s="1"/>
  <c r="Q31" s="1"/>
  <c r="P31"/>
  <c r="O31"/>
  <c r="N31" s="1"/>
  <c r="K31" s="1"/>
  <c r="J31"/>
  <c r="I31"/>
  <c r="H31" s="1"/>
  <c r="E31" s="1"/>
  <c r="D31"/>
  <c r="C31"/>
  <c r="B31" s="1"/>
  <c r="Q30"/>
  <c r="K30"/>
  <c r="E30"/>
  <c r="P29" s="1"/>
  <c r="J29" s="1"/>
  <c r="D29" s="1"/>
  <c r="Q28" s="1"/>
  <c r="P28"/>
  <c r="O28"/>
  <c r="N28" s="1"/>
  <c r="K28" s="1"/>
  <c r="J28"/>
  <c r="I28"/>
  <c r="H28" s="1"/>
  <c r="E28" s="1"/>
  <c r="D28"/>
  <c r="C28"/>
  <c r="B28"/>
  <c r="Q27"/>
  <c r="K27"/>
  <c r="E27"/>
  <c r="P26" s="1"/>
  <c r="J26" s="1"/>
  <c r="D26" s="1"/>
  <c r="Q25" s="1"/>
  <c r="P25"/>
  <c r="O25"/>
  <c r="N25" s="1"/>
  <c r="K25"/>
  <c r="I25"/>
  <c r="H25"/>
  <c r="E25" s="1"/>
  <c r="D25"/>
  <c r="C25"/>
  <c r="B25"/>
  <c r="Q24"/>
  <c r="K24"/>
  <c r="E24"/>
  <c r="P23" s="1"/>
  <c r="J23" s="1"/>
  <c r="D23" s="1"/>
  <c r="P22"/>
  <c r="O22"/>
  <c r="N22"/>
  <c r="K22" s="1"/>
  <c r="J22"/>
  <c r="I22"/>
  <c r="H22"/>
  <c r="E22" s="1"/>
  <c r="D22"/>
  <c r="C22"/>
  <c r="B22" s="1"/>
  <c r="Q21"/>
  <c r="K21"/>
  <c r="E21"/>
  <c r="P20" s="1"/>
  <c r="J20" s="1"/>
  <c r="D20" s="1"/>
  <c r="Q19" s="1"/>
  <c r="P19"/>
  <c r="O19"/>
  <c r="N19" s="1"/>
  <c r="K19" s="1"/>
  <c r="I19"/>
  <c r="H19"/>
  <c r="E19" s="1"/>
  <c r="D19"/>
  <c r="C19"/>
  <c r="B19" s="1"/>
  <c r="Q18"/>
  <c r="K18"/>
  <c r="E18"/>
  <c r="P17" s="1"/>
  <c r="J17" s="1"/>
  <c r="D17" s="1"/>
  <c r="Q16" s="1"/>
  <c r="O16"/>
  <c r="N16"/>
  <c r="K16" s="1"/>
  <c r="J16"/>
  <c r="I16"/>
  <c r="H16" s="1"/>
  <c r="E16" s="1"/>
  <c r="C16"/>
  <c r="B16"/>
  <c r="Q15"/>
  <c r="K15"/>
  <c r="E15"/>
  <c r="P14" s="1"/>
  <c r="J14" s="1"/>
  <c r="D14" s="1"/>
  <c r="Q13" s="1"/>
  <c r="P13"/>
  <c r="O13"/>
  <c r="N13"/>
  <c r="K13" s="1"/>
  <c r="J13"/>
  <c r="I13"/>
  <c r="H13" s="1"/>
  <c r="E13" s="1"/>
  <c r="D13"/>
  <c r="C13"/>
  <c r="B13"/>
  <c r="Q12"/>
  <c r="K12"/>
  <c r="E12"/>
  <c r="P11" s="1"/>
  <c r="J11" s="1"/>
  <c r="D11" s="1"/>
  <c r="Q10" s="1"/>
  <c r="P10"/>
  <c r="O10"/>
  <c r="N10" s="1"/>
  <c r="K10" s="1"/>
  <c r="J10"/>
  <c r="I10"/>
  <c r="H10"/>
  <c r="E10"/>
  <c r="D10"/>
  <c r="C10"/>
  <c r="B10" s="1"/>
  <c r="Q9"/>
  <c r="K9"/>
  <c r="E9"/>
  <c r="P8" s="1"/>
  <c r="J8" s="1"/>
  <c r="D8" s="1"/>
  <c r="Q7" s="1"/>
  <c r="P7"/>
  <c r="O7"/>
  <c r="N7" s="1"/>
  <c r="K7" s="1"/>
  <c r="J7"/>
  <c r="I7"/>
  <c r="H7"/>
  <c r="E7" s="1"/>
  <c r="D7"/>
  <c r="C7"/>
  <c r="B7" s="1"/>
  <c r="Q6"/>
  <c r="K6"/>
  <c r="E6"/>
  <c r="P5" s="1"/>
  <c r="J5" s="1"/>
  <c r="D5" s="1"/>
  <c r="Q4" s="1"/>
  <c r="P4"/>
  <c r="O4"/>
  <c r="N4" s="1"/>
  <c r="K4" s="1"/>
  <c r="J4"/>
  <c r="I4"/>
  <c r="H4" s="1"/>
  <c r="E4" s="1"/>
  <c r="D4"/>
  <c r="C4"/>
  <c r="B4" s="1"/>
  <c r="Q3"/>
  <c r="K3"/>
  <c r="E3"/>
  <c r="E24" i="47"/>
  <c r="E23"/>
  <c r="E20"/>
  <c r="E19"/>
  <c r="E16"/>
  <c r="E17" s="1"/>
  <c r="B14"/>
  <c r="C15" s="1"/>
  <c r="E12"/>
  <c r="E14" s="1"/>
  <c r="E9"/>
  <c r="E10" s="1"/>
  <c r="E6"/>
  <c r="E7" s="1"/>
  <c r="B4"/>
  <c r="C5" s="1"/>
  <c r="E3"/>
  <c r="E25" l="1"/>
  <c r="J20" i="46"/>
  <c r="E4" i="47"/>
  <c r="E21"/>
  <c r="B25"/>
  <c r="C20" i="70"/>
  <c r="C22" i="47"/>
  <c r="B21"/>
  <c r="K19" i="46"/>
  <c r="J19"/>
  <c r="I19"/>
  <c r="H19" s="1"/>
  <c r="K18"/>
  <c r="D18" s="1"/>
  <c r="K17"/>
  <c r="E17"/>
  <c r="D17"/>
  <c r="C17"/>
  <c r="B17" s="1"/>
  <c r="K16"/>
  <c r="E16"/>
  <c r="K15"/>
  <c r="E15"/>
  <c r="J14" s="1"/>
  <c r="E14"/>
  <c r="K13"/>
  <c r="J13"/>
  <c r="I13"/>
  <c r="H13" s="1"/>
  <c r="E13"/>
  <c r="K12"/>
  <c r="D12" s="1"/>
  <c r="K11"/>
  <c r="E11"/>
  <c r="D11"/>
  <c r="C11"/>
  <c r="B11" s="1"/>
  <c r="J10" s="1"/>
  <c r="E10"/>
  <c r="K9" s="1"/>
  <c r="J9"/>
  <c r="I9"/>
  <c r="H9" s="1"/>
  <c r="E9"/>
  <c r="K8"/>
  <c r="E8"/>
  <c r="K7"/>
  <c r="E7"/>
  <c r="K6"/>
  <c r="D6" s="1"/>
  <c r="J5" s="1"/>
  <c r="E5" s="1"/>
  <c r="D5"/>
  <c r="C5"/>
  <c r="B5"/>
  <c r="K4"/>
  <c r="J4"/>
  <c r="I4"/>
  <c r="H4" s="1"/>
  <c r="E4"/>
  <c r="K3"/>
  <c r="E3"/>
  <c r="J24" i="45" s="1"/>
  <c r="K23" s="1"/>
  <c r="J23"/>
  <c r="I23"/>
  <c r="H23"/>
  <c r="K22"/>
  <c r="K21"/>
  <c r="J20" s="1"/>
  <c r="K19"/>
  <c r="J19"/>
  <c r="I19"/>
  <c r="H19" s="1"/>
  <c r="K18"/>
  <c r="D18" s="1"/>
  <c r="K17"/>
  <c r="E17" s="1"/>
  <c r="D17"/>
  <c r="C17"/>
  <c r="B17" s="1"/>
  <c r="K16"/>
  <c r="E16"/>
  <c r="J15" s="1"/>
  <c r="E15"/>
  <c r="K14"/>
  <c r="J14"/>
  <c r="I14" s="1"/>
  <c r="H14" s="1"/>
  <c r="E14"/>
  <c r="K13"/>
  <c r="E13"/>
  <c r="J12" s="1"/>
  <c r="D12" s="1"/>
  <c r="K11" s="1"/>
  <c r="J11"/>
  <c r="I11"/>
  <c r="H11"/>
  <c r="E11"/>
  <c r="D11"/>
  <c r="C11"/>
  <c r="B11" s="1"/>
  <c r="K10"/>
  <c r="E10"/>
  <c r="J9" s="1"/>
  <c r="E9"/>
  <c r="K8" s="1"/>
  <c r="J8"/>
  <c r="I8"/>
  <c r="H8"/>
  <c r="E8"/>
  <c r="K7"/>
  <c r="E7"/>
  <c r="J6" s="1"/>
  <c r="D6" s="1"/>
  <c r="K5"/>
  <c r="J5"/>
  <c r="I5"/>
  <c r="H5"/>
  <c r="E5"/>
  <c r="D5"/>
  <c r="C5"/>
  <c r="B5" s="1"/>
  <c r="K4"/>
  <c r="E4"/>
  <c r="K3"/>
  <c r="E3"/>
  <c r="J26" i="44" s="1"/>
  <c r="K25"/>
  <c r="J25"/>
  <c r="I25"/>
  <c r="H25" s="1"/>
  <c r="K24"/>
  <c r="K23"/>
  <c r="J22" s="1"/>
  <c r="K21"/>
  <c r="J21"/>
  <c r="I21"/>
  <c r="H21"/>
  <c r="K20"/>
  <c r="K19"/>
  <c r="J18" s="1"/>
  <c r="D18" s="1"/>
  <c r="K17"/>
  <c r="J17"/>
  <c r="I17"/>
  <c r="H17" s="1"/>
  <c r="E17"/>
  <c r="D17"/>
  <c r="C17"/>
  <c r="B17" s="1"/>
  <c r="K16"/>
  <c r="E16"/>
  <c r="J15" s="1"/>
  <c r="E15"/>
  <c r="K14"/>
  <c r="J14"/>
  <c r="I14"/>
  <c r="H14" s="1"/>
  <c r="E14"/>
  <c r="K13"/>
  <c r="E13"/>
  <c r="J12" s="1"/>
  <c r="D12" s="1"/>
  <c r="K11"/>
  <c r="J11"/>
  <c r="I11"/>
  <c r="H11"/>
  <c r="E11"/>
  <c r="D11"/>
  <c r="C11"/>
  <c r="B11" s="1"/>
  <c r="K10"/>
  <c r="E10"/>
  <c r="J9" s="1"/>
  <c r="E9"/>
  <c r="K8"/>
  <c r="J8"/>
  <c r="I8"/>
  <c r="H8" s="1"/>
  <c r="E8"/>
  <c r="K7"/>
  <c r="E7"/>
  <c r="J6" s="1"/>
  <c r="D6" s="1"/>
  <c r="K5" s="1"/>
  <c r="J5"/>
  <c r="I5"/>
  <c r="H5" s="1"/>
  <c r="E5"/>
  <c r="D5"/>
  <c r="C5"/>
  <c r="B5" s="1"/>
  <c r="K4"/>
  <c r="E4"/>
  <c r="K3"/>
  <c r="E3"/>
  <c r="E24" i="38"/>
  <c r="E23"/>
  <c r="E19"/>
  <c r="E18"/>
  <c r="E14"/>
  <c r="E15" s="1"/>
  <c r="E13"/>
  <c r="E9"/>
  <c r="E8"/>
  <c r="E4"/>
  <c r="E3"/>
  <c r="L28" i="40"/>
  <c r="E25" s="1"/>
  <c r="E24"/>
  <c r="E23"/>
  <c r="C26" i="47" l="1"/>
  <c r="L22" i="40"/>
  <c r="K21" l="1"/>
  <c r="J20" s="1"/>
  <c r="D20"/>
  <c r="K19" l="1"/>
  <c r="J19" s="1"/>
  <c r="I19"/>
  <c r="H19" s="1"/>
  <c r="E19"/>
  <c r="K18"/>
  <c r="D18" s="1"/>
  <c r="K17"/>
  <c r="E17" s="1"/>
  <c r="D17"/>
  <c r="C17"/>
  <c r="B17"/>
  <c r="K16"/>
  <c r="E16"/>
  <c r="J15" s="1"/>
  <c r="E15"/>
  <c r="K14" s="1"/>
  <c r="J14"/>
  <c r="I14" s="1"/>
  <c r="H14"/>
  <c r="E14"/>
  <c r="K13"/>
  <c r="D13" s="1"/>
  <c r="K12"/>
  <c r="E12" s="1"/>
  <c r="D12"/>
  <c r="C12"/>
  <c r="B12" s="1"/>
  <c r="J11" s="1"/>
  <c r="E11"/>
  <c r="K10" s="1"/>
  <c r="J10" s="1"/>
  <c r="I10"/>
  <c r="H10" s="1"/>
  <c r="E10"/>
  <c r="K9"/>
  <c r="E9"/>
  <c r="K8"/>
  <c r="D8" s="1"/>
  <c r="K7"/>
  <c r="E7"/>
  <c r="D7"/>
  <c r="C7"/>
  <c r="B7" s="1"/>
  <c r="J6" s="1"/>
  <c r="E6"/>
  <c r="K5"/>
  <c r="J5"/>
  <c r="I5"/>
  <c r="H5"/>
  <c r="E5"/>
  <c r="K4"/>
  <c r="E4"/>
  <c r="K3"/>
  <c r="E3"/>
  <c r="Q12" i="4"/>
  <c r="K12"/>
  <c r="E12"/>
  <c r="Q11"/>
  <c r="K11"/>
  <c r="E11"/>
  <c r="Q10"/>
  <c r="K10"/>
  <c r="E10"/>
  <c r="Q9"/>
  <c r="K9"/>
  <c r="E9"/>
  <c r="U17"/>
  <c r="Q8"/>
  <c r="K8"/>
  <c r="E8"/>
  <c r="W9"/>
  <c r="W15"/>
  <c r="Q7"/>
  <c r="K7"/>
  <c r="E7"/>
  <c r="W7"/>
  <c r="W14"/>
  <c r="Q6"/>
  <c r="K6"/>
  <c r="E6"/>
  <c r="W6"/>
  <c r="W13"/>
  <c r="Q5"/>
  <c r="K5"/>
  <c r="E5"/>
  <c r="W3"/>
  <c r="W4" s="1"/>
  <c r="W12"/>
  <c r="Q4"/>
  <c r="K4"/>
  <c r="E4"/>
  <c r="W2"/>
  <c r="Q3"/>
  <c r="K3"/>
  <c r="E3"/>
  <c r="W10" l="1"/>
  <c r="W16"/>
  <c r="K13"/>
  <c r="E13"/>
  <c r="Q13"/>
  <c r="N13"/>
  <c r="O14" s="1"/>
  <c r="T16"/>
  <c r="C14"/>
  <c r="I14"/>
  <c r="V17" i="2"/>
  <c r="T17" s="1"/>
  <c r="U17"/>
  <c r="W16"/>
  <c r="W15"/>
  <c r="P13"/>
  <c r="N13" s="1"/>
  <c r="P14" s="1"/>
  <c r="O13"/>
  <c r="V18" l="1"/>
  <c r="J13"/>
  <c r="I13"/>
  <c r="W14"/>
  <c r="Q12"/>
  <c r="K12"/>
  <c r="W13"/>
  <c r="Q11"/>
  <c r="K11"/>
  <c r="W12"/>
  <c r="Q10"/>
  <c r="K10"/>
  <c r="Q9"/>
  <c r="K9"/>
  <c r="Q8"/>
  <c r="K8"/>
  <c r="W9"/>
  <c r="Q7"/>
  <c r="K7"/>
  <c r="W8"/>
  <c r="Q6"/>
  <c r="E15"/>
  <c r="Q5"/>
  <c r="K5"/>
  <c r="E5"/>
  <c r="Q4"/>
  <c r="K4"/>
  <c r="E4"/>
  <c r="W3"/>
  <c r="W6" s="1"/>
  <c r="Q3"/>
  <c r="K3"/>
  <c r="E3"/>
  <c r="Q16" i="72"/>
  <c r="Q15"/>
  <c r="Q12"/>
  <c r="K16"/>
  <c r="E14"/>
  <c r="Q11"/>
  <c r="Q13" s="1"/>
  <c r="K15"/>
  <c r="E13"/>
  <c r="K11"/>
  <c r="E12"/>
  <c r="K10"/>
  <c r="Q7"/>
  <c r="K9"/>
  <c r="E7"/>
  <c r="Q5"/>
  <c r="K8"/>
  <c r="E6"/>
  <c r="Q4"/>
  <c r="E5"/>
  <c r="Q3"/>
  <c r="K4"/>
  <c r="E4"/>
  <c r="K3"/>
  <c r="E3"/>
  <c r="Q18" i="1"/>
  <c r="Q17"/>
  <c r="Q16"/>
  <c r="Q13"/>
  <c r="Q12"/>
  <c r="K16"/>
  <c r="E14"/>
  <c r="Q11"/>
  <c r="Q14" s="1"/>
  <c r="K15"/>
  <c r="E13"/>
  <c r="K14"/>
  <c r="E12"/>
  <c r="K13"/>
  <c r="E11"/>
  <c r="Q8"/>
  <c r="Q9" s="1"/>
  <c r="K12"/>
  <c r="K17" s="1"/>
  <c r="K9"/>
  <c r="E7"/>
  <c r="K8"/>
  <c r="E6"/>
  <c r="K5"/>
  <c r="E5"/>
  <c r="Q4"/>
  <c r="K4"/>
  <c r="E4"/>
  <c r="Q3"/>
  <c r="K3"/>
  <c r="K6" s="1"/>
  <c r="E3"/>
  <c r="M31" i="26"/>
  <c r="D19"/>
  <c r="B19" s="1"/>
  <c r="C19"/>
  <c r="E18"/>
  <c r="E19" s="1"/>
  <c r="E17"/>
  <c r="E7" i="2" l="1"/>
  <c r="J14"/>
  <c r="H13"/>
  <c r="W10"/>
  <c r="Q17" i="72"/>
  <c r="Q9"/>
  <c r="K12"/>
  <c r="K17"/>
  <c r="K5"/>
  <c r="E15"/>
  <c r="K10" i="1"/>
  <c r="E15"/>
  <c r="E8"/>
  <c r="Q19"/>
  <c r="W17" i="2"/>
  <c r="O14" i="72"/>
  <c r="N17" s="1"/>
  <c r="O18" s="1"/>
  <c r="E8"/>
  <c r="V11" i="2"/>
  <c r="N5" i="1"/>
  <c r="N9"/>
  <c r="O10" s="1"/>
  <c r="Q13" i="2"/>
  <c r="K13"/>
  <c r="N19" i="1"/>
  <c r="O20" s="1"/>
  <c r="C20" i="26"/>
  <c r="H17" i="72"/>
  <c r="I18" s="1"/>
  <c r="I15" i="26"/>
  <c r="J16" s="1"/>
  <c r="L14"/>
  <c r="E14"/>
  <c r="E15" s="1"/>
  <c r="L13"/>
  <c r="L15" s="1"/>
  <c r="E13"/>
  <c r="L12"/>
  <c r="L11"/>
  <c r="E10"/>
  <c r="E9"/>
  <c r="L8"/>
  <c r="L9" s="1"/>
  <c r="E8"/>
  <c r="L7"/>
  <c r="E11" l="1"/>
  <c r="I9"/>
  <c r="J10" s="1"/>
  <c r="L6"/>
  <c r="L5"/>
  <c r="E5"/>
  <c r="E6" s="1"/>
  <c r="L3"/>
  <c r="E3"/>
</calcChain>
</file>

<file path=xl/sharedStrings.xml><?xml version="1.0" encoding="utf-8"?>
<sst xmlns="http://schemas.openxmlformats.org/spreadsheetml/2006/main" count="1212" uniqueCount="412">
  <si>
    <t>IN</t>
  </si>
  <si>
    <t>OUT</t>
  </si>
  <si>
    <t>TOTAL</t>
  </si>
  <si>
    <t>MODEL</t>
  </si>
  <si>
    <t>S.NO.</t>
  </si>
  <si>
    <t xml:space="preserve"> </t>
  </si>
  <si>
    <t xml:space="preserve">  </t>
  </si>
  <si>
    <t>Total Mtr</t>
  </si>
  <si>
    <t>Balance Mtr</t>
  </si>
  <si>
    <t xml:space="preserve">              </t>
  </si>
  <si>
    <t>Date</t>
  </si>
  <si>
    <t>20 Size</t>
  </si>
  <si>
    <t>25 size</t>
  </si>
  <si>
    <t>35 size</t>
  </si>
  <si>
    <t>45 Size</t>
  </si>
  <si>
    <t>September daily stock out detail</t>
  </si>
  <si>
    <t>Total</t>
  </si>
  <si>
    <t>60 Size</t>
  </si>
  <si>
    <t>.</t>
  </si>
  <si>
    <t>DIVIDER</t>
  </si>
  <si>
    <t>15 Size</t>
  </si>
  <si>
    <t>10 Size</t>
  </si>
  <si>
    <t>PG-16</t>
  </si>
  <si>
    <t>PG-9</t>
  </si>
  <si>
    <t>PG-11</t>
  </si>
  <si>
    <t>PG-21</t>
  </si>
  <si>
    <t>PG-13.5</t>
  </si>
  <si>
    <t>PG-29</t>
  </si>
  <si>
    <t>PG-36</t>
  </si>
  <si>
    <t>PG-48</t>
  </si>
  <si>
    <t>H10XR10</t>
  </si>
  <si>
    <t>H10XR15</t>
  </si>
  <si>
    <t>SIZE</t>
  </si>
  <si>
    <t>CLAMP</t>
  </si>
  <si>
    <t>PG-7</t>
  </si>
  <si>
    <t xml:space="preserve">           </t>
  </si>
  <si>
    <t xml:space="preserve">                   </t>
  </si>
  <si>
    <t>H15X15</t>
  </si>
  <si>
    <t>H15X20</t>
  </si>
  <si>
    <t>80 Size</t>
  </si>
  <si>
    <t>42 Size</t>
  </si>
  <si>
    <t>29 Size</t>
  </si>
  <si>
    <t>21 size</t>
  </si>
  <si>
    <t>56 Size</t>
  </si>
  <si>
    <t>H20X25</t>
  </si>
  <si>
    <t>H20X40</t>
  </si>
  <si>
    <t>ALMIRAH NO 4</t>
  </si>
  <si>
    <t>ALMIRAH NO 5</t>
  </si>
  <si>
    <t>ALMIRAH NO 6</t>
  </si>
  <si>
    <t>ALMIRAH NO 7</t>
  </si>
  <si>
    <t>ALMIRAH NO 8</t>
  </si>
  <si>
    <t>ALMIRAH NO 9</t>
  </si>
  <si>
    <t>ALMIRAH NO 10</t>
  </si>
  <si>
    <t>60X100</t>
  </si>
  <si>
    <t>H60X250</t>
  </si>
  <si>
    <t>Gland</t>
  </si>
  <si>
    <t>Clamp</t>
  </si>
  <si>
    <t>CHAIN</t>
  </si>
  <si>
    <t>DRUM NUMBER</t>
  </si>
  <si>
    <t>MATERIAL</t>
  </si>
  <si>
    <t>Balance</t>
  </si>
  <si>
    <t xml:space="preserve">Out </t>
  </si>
  <si>
    <t xml:space="preserve">Balance </t>
  </si>
  <si>
    <t>ALMIRAH NO 3</t>
  </si>
  <si>
    <t xml:space="preserve">OUT </t>
  </si>
  <si>
    <t>45X100 CLOSE SMALL</t>
  </si>
  <si>
    <t>45X100 CLOSE BIG</t>
  </si>
  <si>
    <t>60X125  CLOSE SMALL</t>
  </si>
  <si>
    <t>60X125 CLOSE  BIG</t>
  </si>
  <si>
    <t>45X200 CLOSE BIG</t>
  </si>
  <si>
    <t>45X200 CLOSE SMALL</t>
  </si>
  <si>
    <t>45X125 CLOSE SMALL</t>
  </si>
  <si>
    <t>45X125 CLOSE BIG</t>
  </si>
  <si>
    <t>60X250 CLOSE SMALL</t>
  </si>
  <si>
    <t>60X250 CLOSE BIG</t>
  </si>
  <si>
    <t>45X150 CLOSE SMALL</t>
  </si>
  <si>
    <t>45X75 CLOSE SMALL</t>
  </si>
  <si>
    <t>45X75  CLOSE BIG</t>
  </si>
  <si>
    <t>35X35 CLOSE BIG</t>
  </si>
  <si>
    <t>GLAND PG-48</t>
  </si>
  <si>
    <t>Holiday</t>
  </si>
  <si>
    <t>ALMIRAH NO 13</t>
  </si>
  <si>
    <t>ALMIRAH NO 14</t>
  </si>
  <si>
    <t>REQ. PART</t>
  </si>
  <si>
    <t>Dye shot required</t>
  </si>
  <si>
    <t>H-25M</t>
  </si>
  <si>
    <t>H-80-UPPER PART</t>
  </si>
  <si>
    <t>STRIP LOCK</t>
  </si>
  <si>
    <t>H-80DIVIDER PLASTIC</t>
  </si>
  <si>
    <t xml:space="preserve">H-60 DIVIDER PLASTIC </t>
  </si>
  <si>
    <t xml:space="preserve">ALUMINIUM STRIP LOCK </t>
  </si>
  <si>
    <t>ALMIRAH NO 15</t>
  </si>
  <si>
    <t>ALMIRAH NO 16</t>
  </si>
  <si>
    <t>ALMIRAH NO 17</t>
  </si>
  <si>
    <t>ALMIRAH NO 18</t>
  </si>
  <si>
    <t>ALMIRAH NO 19</t>
  </si>
  <si>
    <t>ALMIRAH NO 20</t>
  </si>
  <si>
    <t>GLAND PG-7</t>
  </si>
  <si>
    <t>42X100 CLOSE SMALL</t>
  </si>
  <si>
    <t>42X150  CLOSE BIG</t>
  </si>
  <si>
    <t>25X100 CLOSE Small</t>
  </si>
  <si>
    <t>35X50 CLOSE Big</t>
  </si>
  <si>
    <t>Small lock</t>
  </si>
  <si>
    <t>GLAND PG-36</t>
  </si>
  <si>
    <t>H-42-UPPER PART</t>
  </si>
  <si>
    <t>PG-21 inner</t>
  </si>
  <si>
    <t>PG-29  inner</t>
  </si>
  <si>
    <t xml:space="preserve">45.1 close divider </t>
  </si>
  <si>
    <t>PG-21  clamp</t>
  </si>
  <si>
    <t>PG-29  clamp</t>
  </si>
  <si>
    <t>PG-36  clamp</t>
  </si>
  <si>
    <t>PG-48  clamp</t>
  </si>
  <si>
    <t>H-25 F</t>
  </si>
  <si>
    <t>42X150  CLOSE SMALL</t>
  </si>
  <si>
    <t>GLAND PG-21 BODY</t>
  </si>
  <si>
    <t>30-140 silent series  strips</t>
  </si>
  <si>
    <t>21.1x35</t>
  </si>
  <si>
    <t>21.1x48</t>
  </si>
  <si>
    <t>21.1x75</t>
  </si>
  <si>
    <t>21.1x100</t>
  </si>
  <si>
    <t>21.1x125</t>
  </si>
  <si>
    <t>21.1x145</t>
  </si>
  <si>
    <t>21.1x180</t>
  </si>
  <si>
    <t>24.25.1x55</t>
  </si>
  <si>
    <t>24.25.1x75</t>
  </si>
  <si>
    <t>24.25.1x100</t>
  </si>
  <si>
    <t>24.25.1x125</t>
  </si>
  <si>
    <t>24.25.1x150</t>
  </si>
  <si>
    <t>24.25.1x175</t>
  </si>
  <si>
    <t>24.25.1x200</t>
  </si>
  <si>
    <t>24.25.1x225</t>
  </si>
  <si>
    <t>24.25.1x250</t>
  </si>
  <si>
    <t>2627.35.1x63</t>
  </si>
  <si>
    <t>2627.35.1x75</t>
  </si>
  <si>
    <t>2627.35.1x100</t>
  </si>
  <si>
    <t>2627.35.1x125</t>
  </si>
  <si>
    <t>2627.35.1x150</t>
  </si>
  <si>
    <t>2627.35.1x200</t>
  </si>
  <si>
    <t>2627.35.1x250</t>
  </si>
  <si>
    <t>2627.35.1x300</t>
  </si>
  <si>
    <t>3435.45.1x75</t>
  </si>
  <si>
    <t>3435.45.1x100</t>
  </si>
  <si>
    <t>3435.45.1x150</t>
  </si>
  <si>
    <t>3435.45.1x200</t>
  </si>
  <si>
    <t>3435.45.1x250</t>
  </si>
  <si>
    <t>3435.45.1x300</t>
  </si>
  <si>
    <t>ALMIRAH. NO 1</t>
  </si>
  <si>
    <t>ALMIRAH. NO 2</t>
  </si>
  <si>
    <t>Total Mtr OF 21.1 (in)</t>
  </si>
  <si>
    <t>Total Mtr OF 21.1(out)</t>
  </si>
  <si>
    <t>Balance Mtr 21.1</t>
  </si>
  <si>
    <t>25/35/42/45.1/45.2x60</t>
  </si>
  <si>
    <t>25/35/42/45.1/45.2x100</t>
  </si>
  <si>
    <t>25/35/42/45.1/45.2x112</t>
  </si>
  <si>
    <t>25/35/42/45.1/45.2x125</t>
  </si>
  <si>
    <t>25/35/42/45.1/45.2x250</t>
  </si>
  <si>
    <t>25/35/42/45.1/45.2x225</t>
  </si>
  <si>
    <t>25/35/42/45.1/45.2x200</t>
  </si>
  <si>
    <t>25/35/42/45.1/45.2x175</t>
  </si>
  <si>
    <t>25/35/42/45.1/45.2x162</t>
  </si>
  <si>
    <t>25/35/42/45.1/45.2x150</t>
  </si>
  <si>
    <t>45x100</t>
  </si>
  <si>
    <t>45x150</t>
  </si>
  <si>
    <t>45x250</t>
  </si>
  <si>
    <t>60X125</t>
  </si>
  <si>
    <t>60X160</t>
  </si>
  <si>
    <t>60X200</t>
  </si>
  <si>
    <t>42X50 CLOSE  Big</t>
  </si>
  <si>
    <t xml:space="preserve">45X150 CLOSE  Big </t>
  </si>
  <si>
    <t>3*</t>
  </si>
  <si>
    <t>35X100 CLOSE SMALL</t>
  </si>
  <si>
    <t>35X100 CLOSE  BIG</t>
  </si>
  <si>
    <t>35X75 CLOSE  BIG</t>
  </si>
  <si>
    <t>25X50 CLOSE  SMALL</t>
  </si>
  <si>
    <t>60X100 CLOSE BIG</t>
  </si>
  <si>
    <t>60X100 CLOSE SMALL</t>
  </si>
  <si>
    <t>25X75 CLOSE  SMALL</t>
  </si>
  <si>
    <t>42X125 CLOSE  Big</t>
  </si>
  <si>
    <t>H60X300</t>
  </si>
  <si>
    <t>42X75 CLOSE  SMALL</t>
  </si>
  <si>
    <t>25X35 CLOSE  SMALL</t>
  </si>
  <si>
    <t>25X75 CLOSE  BIG</t>
  </si>
  <si>
    <t xml:space="preserve">25-open divider ,35-OPEN DIVIDER </t>
  </si>
  <si>
    <t xml:space="preserve">PG-7 clamp STRIP </t>
  </si>
  <si>
    <t xml:space="preserve">20X40 OPEN  STRIP </t>
  </si>
  <si>
    <t>H-80 F,M MIX</t>
  </si>
  <si>
    <t xml:space="preserve">20X25 OPEN  STRIP </t>
  </si>
  <si>
    <t xml:space="preserve">   </t>
  </si>
  <si>
    <t>PG-9  clamp</t>
  </si>
  <si>
    <t>3435.45.1x125</t>
  </si>
  <si>
    <t>35X50</t>
  </si>
  <si>
    <t>25/35/42/45.1/45.2X100</t>
  </si>
  <si>
    <t>25/35/42/45.1/45.2X80</t>
  </si>
  <si>
    <t>25/35/42/45.1/45.2X75</t>
  </si>
  <si>
    <t>42X75 CLOSE  Big/small</t>
  </si>
  <si>
    <t>QTY</t>
  </si>
  <si>
    <t xml:space="preserve"> (ANGULAR END 25/35)</t>
  </si>
  <si>
    <t>25X50 CLOSE SMALL</t>
  </si>
  <si>
    <t>45X125 CLOSE Big mix</t>
  </si>
  <si>
    <t>25X100 CLOSE SMALL</t>
  </si>
  <si>
    <t>25x35 open divider</t>
  </si>
  <si>
    <t xml:space="preserve"> H-35Fend part</t>
  </si>
  <si>
    <t xml:space="preserve">  H-45-Fend part</t>
  </si>
  <si>
    <t xml:space="preserve"> H-45-M end part</t>
  </si>
  <si>
    <t>H-35FEND PART</t>
  </si>
  <si>
    <t>H-35M end part</t>
  </si>
  <si>
    <t>H-60M end part</t>
  </si>
  <si>
    <t>H-60M lock big</t>
  </si>
  <si>
    <t>25x35 CLOSE small</t>
  </si>
  <si>
    <t>45.1 ,25.1 open divider mix</t>
  </si>
  <si>
    <t>42X75 CLOSE  SMAAL</t>
  </si>
  <si>
    <t>25X35 CLOSE  Big</t>
  </si>
  <si>
    <t>25X50 CLOSE   SMALL</t>
  </si>
  <si>
    <t xml:space="preserve"> 13.5 clamp</t>
  </si>
  <si>
    <t>PG-21  clamp strip FULL</t>
  </si>
  <si>
    <t>H-25F END PART</t>
  </si>
  <si>
    <t>JOB TITLE</t>
  </si>
  <si>
    <t>CYCLE TIME</t>
  </si>
  <si>
    <t>TOTLE PRODUCTION</t>
  </si>
  <si>
    <t>MACHINE PROBLEM TIME</t>
  </si>
  <si>
    <t>SIGN.</t>
  </si>
  <si>
    <t>REJECT SHOT</t>
  </si>
  <si>
    <t>MOLD CHANGING TIME</t>
  </si>
  <si>
    <t>MOLD START TIME</t>
  </si>
  <si>
    <t>MOLD END TIME</t>
  </si>
  <si>
    <t>42X175 CLOSE STRIP</t>
  </si>
  <si>
    <t xml:space="preserve">LOCK </t>
  </si>
  <si>
    <t>25X75 CLOSE SMALL OLD</t>
  </si>
  <si>
    <t xml:space="preserve">                </t>
  </si>
  <si>
    <t>GLAND</t>
  </si>
  <si>
    <t>22X137</t>
  </si>
  <si>
    <t>45X200</t>
  </si>
  <si>
    <t>25/35/42/45.1/45.2x137</t>
  </si>
  <si>
    <t>35X35</t>
  </si>
  <si>
    <t>25-35X50</t>
  </si>
  <si>
    <t>MACHINE NO. 1</t>
  </si>
  <si>
    <t>MATERIAL DETAILS.</t>
  </si>
  <si>
    <t>RACK NO.</t>
  </si>
  <si>
    <t>10X10XR15- DARSHANA</t>
  </si>
  <si>
    <t>52 MTR</t>
  </si>
  <si>
    <t>10X15XR15- DARSHANA</t>
  </si>
  <si>
    <t>15 MTR</t>
  </si>
  <si>
    <t>15X15XR25- DARSHANA</t>
  </si>
  <si>
    <t>23 MTR</t>
  </si>
  <si>
    <t>15X20XR25- DARSHANA</t>
  </si>
  <si>
    <t>30 MTR</t>
  </si>
  <si>
    <t>20X25XR40- OPEN</t>
  </si>
  <si>
    <t>28 MTR</t>
  </si>
  <si>
    <t>35XR100- DARSHANA</t>
  </si>
  <si>
    <t>12 MTR</t>
  </si>
  <si>
    <t>60XR150- DARSHANA</t>
  </si>
  <si>
    <t>35XR75- PLAIN</t>
  </si>
  <si>
    <t>60XR400- STAR CONECT</t>
  </si>
  <si>
    <t>10 MTR</t>
  </si>
  <si>
    <t>60XR200- PLAIN</t>
  </si>
  <si>
    <t>35XR75- DARSHANA</t>
  </si>
  <si>
    <t>35 MTR</t>
  </si>
  <si>
    <t>35X100- CLOSE STRIP</t>
  </si>
  <si>
    <t>GLAND PG-13.5</t>
  </si>
  <si>
    <t>45XR150- DARSHANA</t>
  </si>
  <si>
    <t>21 MTR</t>
  </si>
  <si>
    <t>45XR200- DARSHANA</t>
  </si>
  <si>
    <t>60XR100- DARSHANA</t>
  </si>
  <si>
    <t>60XR200-DARSHANA</t>
  </si>
  <si>
    <t>60XR250- DARSHANA</t>
  </si>
  <si>
    <t>45XR100- DARSHANA</t>
  </si>
  <si>
    <t>9 MTR</t>
  </si>
  <si>
    <t>60X200- OPEN</t>
  </si>
  <si>
    <t>700 PCS</t>
  </si>
  <si>
    <t>H-21 (RADIUS MIX)</t>
  </si>
  <si>
    <t>42X125- CLOSE STRIP</t>
  </si>
  <si>
    <t>35X250- OPEN STRIP</t>
  </si>
  <si>
    <t>H-45 "F"</t>
  </si>
  <si>
    <t>H-45 "M"</t>
  </si>
  <si>
    <t>45.1 END CONNECTOR</t>
  </si>
  <si>
    <t>H-45"F"</t>
  </si>
  <si>
    <t>H-45 END MIX</t>
  </si>
  <si>
    <t>45X100- CLOSE STRIP</t>
  </si>
  <si>
    <t>GLAND PG-11</t>
  </si>
  <si>
    <t>42X100- CLOSE STRIP</t>
  </si>
  <si>
    <t>60X200- CLOSE</t>
  </si>
  <si>
    <t>42X75- CLOSE STRIP</t>
  </si>
  <si>
    <t>GLAND PG-29</t>
  </si>
  <si>
    <t>NUT PG-29</t>
  </si>
  <si>
    <t>60X125- OPEN STRIP</t>
  </si>
  <si>
    <t>H-35 END PART</t>
  </si>
  <si>
    <t>45X200- OPEN STRIP</t>
  </si>
  <si>
    <t>H-35 ANGULAR END</t>
  </si>
  <si>
    <t>H-60 "M"</t>
  </si>
  <si>
    <t>35X175- OPEN STRIP</t>
  </si>
  <si>
    <t>35X100- OPEN STRIP</t>
  </si>
  <si>
    <t>60X200- OPEN STRIP</t>
  </si>
  <si>
    <t>35X80- OPEN STRIP</t>
  </si>
  <si>
    <t>42X250- OPEN SRTRIP</t>
  </si>
  <si>
    <t>45X150- OPEN STRIP</t>
  </si>
  <si>
    <t>60X250- OPEN STRIP</t>
  </si>
  <si>
    <t>60X160- CLOSE STRIP</t>
  </si>
  <si>
    <t>42X137- OPEN STRIP</t>
  </si>
  <si>
    <t>35X35- OPEN STRIP</t>
  </si>
  <si>
    <t>35X60- OPEN STRIP</t>
  </si>
  <si>
    <t>35X75- OPEN STRIP</t>
  </si>
  <si>
    <t>35X112- OPEN STRIP</t>
  </si>
  <si>
    <t>35X125- OPEN STRIP</t>
  </si>
  <si>
    <t>42X150- OPEN STRIP</t>
  </si>
  <si>
    <t>45X125- OPEN STRIP</t>
  </si>
  <si>
    <t>42X175- OPEN</t>
  </si>
  <si>
    <t>42X200- OPEN STRIP</t>
  </si>
  <si>
    <t>45X100- OPEN STRIP</t>
  </si>
  <si>
    <t>H- 35.1 END CONNECTOR</t>
  </si>
  <si>
    <t>60X100- OPEN</t>
  </si>
  <si>
    <t>60X160- OPEN STRIP</t>
  </si>
  <si>
    <t>H-45 END PART</t>
  </si>
  <si>
    <t>35X50- OPEN STRIP</t>
  </si>
  <si>
    <t>2000PC</t>
  </si>
  <si>
    <t>1000PC</t>
  </si>
  <si>
    <t>42X125- OPEN STRIP</t>
  </si>
  <si>
    <t>ALMIRAH NO 11</t>
  </si>
  <si>
    <t>H-45.1XR200</t>
  </si>
  <si>
    <t>H-45.1XR75</t>
  </si>
  <si>
    <t>H-45.1XR125</t>
  </si>
  <si>
    <t>H-45.1XR250</t>
  </si>
  <si>
    <t>H-45.1XR300</t>
  </si>
  <si>
    <t>H-60XR100</t>
  </si>
  <si>
    <t>ALMIRAH-15</t>
  </si>
  <si>
    <t>H-60XR150</t>
  </si>
  <si>
    <t>H-60XR200</t>
  </si>
  <si>
    <t>H-60XR300</t>
  </si>
  <si>
    <t>H-60XR250</t>
  </si>
  <si>
    <t>H-80XR150</t>
  </si>
  <si>
    <t>H-80XR200</t>
  </si>
  <si>
    <t>H-80XR250</t>
  </si>
  <si>
    <t>H-80XR300</t>
  </si>
  <si>
    <t>ALMIRAH-18</t>
  </si>
  <si>
    <t>21.1XR35</t>
  </si>
  <si>
    <t>21.1XR75</t>
  </si>
  <si>
    <t>21.1XR48</t>
  </si>
  <si>
    <t>21.1XR100</t>
  </si>
  <si>
    <t>21.1XR125</t>
  </si>
  <si>
    <t>21.1XR145</t>
  </si>
  <si>
    <t>21.1XR180</t>
  </si>
  <si>
    <t>ALMIRAH-20</t>
  </si>
  <si>
    <t>H-56.1XR135</t>
  </si>
  <si>
    <t>H-56.1XR250</t>
  </si>
  <si>
    <t>H-56.1XR300</t>
  </si>
  <si>
    <t>42.1XR75</t>
  </si>
  <si>
    <t>42.1XR100</t>
  </si>
  <si>
    <t>42.1XR150</t>
  </si>
  <si>
    <t>42.1XR175</t>
  </si>
  <si>
    <t>42.1XR200</t>
  </si>
  <si>
    <t>42.1XR300</t>
  </si>
  <si>
    <t>H-35.1XR75</t>
  </si>
  <si>
    <t>H-35.1XR100</t>
  </si>
  <si>
    <t>H-45.1XR150</t>
  </si>
  <si>
    <t>H-35.1XR200</t>
  </si>
  <si>
    <t>H-25.1XR55</t>
  </si>
  <si>
    <t>H-35.1XR150</t>
  </si>
  <si>
    <t>H-56.1XR200</t>
  </si>
  <si>
    <t>21.1xR100</t>
  </si>
  <si>
    <r>
      <t>H-</t>
    </r>
    <r>
      <rPr>
        <b/>
        <i/>
        <sz val="20"/>
        <color theme="1"/>
        <rFont val="Arial"/>
        <family val="2"/>
      </rPr>
      <t>25.1XR55</t>
    </r>
  </si>
  <si>
    <t>H-25.1XR75</t>
  </si>
  <si>
    <t>H-25.1XR100</t>
  </si>
  <si>
    <t>H-25.1XR125</t>
  </si>
  <si>
    <t>H-25.1XR150</t>
  </si>
  <si>
    <t>H-25.1XR175</t>
  </si>
  <si>
    <t>H-25.1XR200</t>
  </si>
  <si>
    <t>H-25.1XR225</t>
  </si>
  <si>
    <t>H-25.1XR250</t>
  </si>
  <si>
    <t>H-35.1XR125</t>
  </si>
  <si>
    <t>H-35.1XR175</t>
  </si>
  <si>
    <t>H-35.1XR250</t>
  </si>
  <si>
    <t>H-35.2XR63</t>
  </si>
  <si>
    <t>H35.2XR75</t>
  </si>
  <si>
    <t>H-35.2XR100</t>
  </si>
  <si>
    <t>35.2XR125</t>
  </si>
  <si>
    <t>H35.2XR150</t>
  </si>
  <si>
    <t>H-35.2XR175</t>
  </si>
  <si>
    <t>H-35.2XR200</t>
  </si>
  <si>
    <t>ALMIRAH NO 12</t>
  </si>
  <si>
    <t>35.2XR250</t>
  </si>
  <si>
    <t>H35.2XR300</t>
  </si>
  <si>
    <t>H-45.1XR100</t>
  </si>
  <si>
    <t>ALMIRAH-19</t>
  </si>
  <si>
    <t>ALMIRAH-21</t>
  </si>
  <si>
    <t>ALMIRAH-22</t>
  </si>
  <si>
    <t>56.1XR150</t>
  </si>
  <si>
    <t>H-56.1XR175</t>
  </si>
  <si>
    <t>56.1XR175</t>
  </si>
  <si>
    <t>ALMIRAH-23</t>
  </si>
  <si>
    <t>ALMIRAH-24</t>
  </si>
  <si>
    <t>H-60XR400</t>
  </si>
  <si>
    <t>ALMIRAH-25</t>
  </si>
  <si>
    <t>H-80XR350</t>
  </si>
  <si>
    <t>42.1XR250</t>
  </si>
  <si>
    <t>DYE CAVITY LIST</t>
  </si>
  <si>
    <t>10X10- 6 PCS</t>
  </si>
  <si>
    <t>10X15- 6 PCS</t>
  </si>
  <si>
    <t>15X15- 6 PCS</t>
  </si>
  <si>
    <t>15X20- 6 PCS</t>
  </si>
  <si>
    <t>20X25- 2 PCS</t>
  </si>
  <si>
    <t>20X40- 2 PCS</t>
  </si>
  <si>
    <t>H-25- 2 PCS</t>
  </si>
  <si>
    <t>H-35- 2 PCS</t>
  </si>
  <si>
    <t>H-35.1- 6 PCS</t>
  </si>
  <si>
    <t>H-25.1 - 6 PCS</t>
  </si>
  <si>
    <t>H-45- 2 PCS</t>
  </si>
  <si>
    <t>H-45.1- 4 PCS</t>
  </si>
  <si>
    <t>H-60- 2 PCS</t>
  </si>
  <si>
    <t>H-80- 2 PCS</t>
  </si>
  <si>
    <t>H-42.1- 4 PCS</t>
  </si>
  <si>
    <t>H-56.1- 2 PCS</t>
  </si>
  <si>
    <t>H-21.1- 8 PCS</t>
  </si>
  <si>
    <t>H-35.2- 4 PCS</t>
  </si>
</sst>
</file>

<file path=xl/styles.xml><?xml version="1.0" encoding="utf-8"?>
<styleSheet xmlns="http://schemas.openxmlformats.org/spreadsheetml/2006/main">
  <numFmts count="12">
    <numFmt numFmtId="164" formatCode="0.0"/>
    <numFmt numFmtId="165" formatCode="[Red][&lt;68930]General;[Black][&gt;=34465]General"/>
    <numFmt numFmtId="166" formatCode="[Red][&lt;15660]General;[Black][&gt;=2958]General"/>
    <numFmt numFmtId="167" formatCode="[Red][&lt;19952]General;[Black][&gt;=3306]General"/>
    <numFmt numFmtId="168" formatCode="[Red][&lt;14520]General;[Black][&gt;=12220]General"/>
    <numFmt numFmtId="169" formatCode="[Red][&lt;14520]General;[Black][&gt;=13060]General"/>
    <numFmt numFmtId="170" formatCode="[Red][&lt;14520]General;[Black][&gt;=12200]General"/>
    <numFmt numFmtId="171" formatCode="[Red][&lt;7200]General;[Black][&gt;=3200]General"/>
    <numFmt numFmtId="172" formatCode="[Red][&lt;6240]General;[Black][&gt;=4235]General"/>
    <numFmt numFmtId="173" formatCode="[Red][&lt;6240]General;[Black][&gt;=3080]General"/>
    <numFmt numFmtId="174" formatCode="[Red][&lt;4320]General;[Black][&gt;=3840]General"/>
    <numFmt numFmtId="175" formatCode="[Red][&lt;2880]General;[Black][&gt;=2560]General"/>
  </numFmts>
  <fonts count="139">
    <font>
      <sz val="11"/>
      <color theme="1"/>
      <name val="Calibri"/>
      <family val="2"/>
    </font>
    <font>
      <b/>
      <sz val="15"/>
      <color rgb="FFFF0000"/>
      <name val="Calibri"/>
      <family val="2"/>
    </font>
    <font>
      <sz val="13"/>
      <color theme="1"/>
      <name val="Arial"/>
      <family val="2"/>
    </font>
    <font>
      <b/>
      <sz val="13"/>
      <color rgb="FF00B050"/>
      <name val="Arial"/>
      <family val="2"/>
    </font>
    <font>
      <b/>
      <sz val="13"/>
      <color theme="1"/>
      <name val="Arial"/>
      <family val="2"/>
    </font>
    <font>
      <b/>
      <sz val="13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4"/>
      <color rgb="FFC00000"/>
      <name val="Arial"/>
      <family val="2"/>
    </font>
    <font>
      <b/>
      <sz val="14"/>
      <color rgb="FFFF0000"/>
      <name val="Calibri"/>
      <family val="2"/>
    </font>
    <font>
      <b/>
      <u val="double"/>
      <sz val="18"/>
      <color rgb="FFFF0000"/>
      <name val="Calibri"/>
      <family val="2"/>
    </font>
    <font>
      <b/>
      <i/>
      <u val="double"/>
      <sz val="14"/>
      <color rgb="FF00B050"/>
      <name val="Calibri"/>
      <family val="2"/>
    </font>
    <font>
      <b/>
      <i/>
      <sz val="12"/>
      <color rgb="FFFF0000"/>
      <name val="Baskerville Old Face"/>
      <family val="1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5"/>
      <color rgb="FFC00000"/>
      <name val="Calibri"/>
      <family val="2"/>
    </font>
    <font>
      <b/>
      <sz val="13"/>
      <color rgb="FFC00000"/>
      <name val="Arial"/>
      <family val="2"/>
    </font>
    <font>
      <b/>
      <sz val="15"/>
      <color rgb="FF0000FF"/>
      <name val="Calibri"/>
      <family val="2"/>
    </font>
    <font>
      <sz val="11"/>
      <color rgb="FF0000FF"/>
      <name val="Calibri"/>
      <family val="2"/>
    </font>
    <font>
      <sz val="16"/>
      <color theme="1"/>
      <name val="Calibri"/>
      <family val="2"/>
    </font>
    <font>
      <b/>
      <sz val="13"/>
      <color rgb="FF002060"/>
      <name val="Arial"/>
      <family val="2"/>
    </font>
    <font>
      <b/>
      <sz val="14"/>
      <color rgb="FFFF0066"/>
      <name val="Arial"/>
      <family val="2"/>
    </font>
    <font>
      <b/>
      <sz val="14"/>
      <color rgb="FF002060"/>
      <name val="Arial"/>
      <family val="2"/>
    </font>
    <font>
      <sz val="26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rgb="FFFF0066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rgb="FFC0000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FF"/>
      <name val="Calibri"/>
      <family val="2"/>
    </font>
    <font>
      <sz val="12"/>
      <color rgb="FF0000FF"/>
      <name val="Calibri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b/>
      <sz val="12"/>
      <color rgb="FF008000"/>
      <name val="Arial"/>
      <family val="2"/>
    </font>
    <font>
      <b/>
      <sz val="12"/>
      <color rgb="FF00B050"/>
      <name val="Arial"/>
      <family val="2"/>
    </font>
    <font>
      <b/>
      <sz val="14"/>
      <color rgb="FF008000"/>
      <name val="Calibri"/>
      <family val="2"/>
    </font>
    <font>
      <sz val="14"/>
      <color rgb="FFFF0000"/>
      <name val="Calibri"/>
      <family val="2"/>
    </font>
    <font>
      <b/>
      <sz val="16"/>
      <color rgb="FFC00000"/>
      <name val="Calibri"/>
      <family val="2"/>
    </font>
    <font>
      <b/>
      <sz val="16"/>
      <color rgb="FFC00000"/>
      <name val="Arial"/>
      <family val="2"/>
    </font>
    <font>
      <b/>
      <sz val="16"/>
      <color rgb="FFFF0066"/>
      <name val="Arial"/>
      <family val="2"/>
    </font>
    <font>
      <b/>
      <sz val="22"/>
      <color rgb="FF0000FF"/>
      <name val="Calibri"/>
      <family val="2"/>
    </font>
    <font>
      <b/>
      <sz val="18"/>
      <color rgb="FFFF0066"/>
      <name val="Arial"/>
      <family val="2"/>
    </font>
    <font>
      <b/>
      <sz val="20"/>
      <color rgb="FF0000FF"/>
      <name val="Calibri"/>
      <family val="2"/>
    </font>
    <font>
      <sz val="20"/>
      <color rgb="FF0000FF"/>
      <name val="Calibri"/>
      <family val="2"/>
    </font>
    <font>
      <sz val="20"/>
      <color theme="1"/>
      <name val="Calibri"/>
      <family val="2"/>
    </font>
    <font>
      <b/>
      <sz val="18"/>
      <color rgb="FFFF0000"/>
      <name val="Calibri"/>
      <family val="2"/>
    </font>
    <font>
      <b/>
      <sz val="18"/>
      <color theme="1"/>
      <name val="Arial"/>
      <family val="2"/>
    </font>
    <font>
      <b/>
      <sz val="18"/>
      <color rgb="FF002060"/>
      <name val="Arial"/>
      <family val="2"/>
    </font>
    <font>
      <sz val="18"/>
      <color theme="1"/>
      <name val="Arial"/>
      <family val="2"/>
    </font>
    <font>
      <b/>
      <sz val="20"/>
      <color rgb="FF002060"/>
      <name val="Arial"/>
      <family val="2"/>
    </font>
    <font>
      <b/>
      <sz val="20"/>
      <color rgb="FFFF0066"/>
      <name val="Arial"/>
      <family val="2"/>
    </font>
    <font>
      <b/>
      <sz val="20"/>
      <color rgb="FFC00000"/>
      <name val="Arial"/>
      <family val="2"/>
    </font>
    <font>
      <b/>
      <sz val="20"/>
      <color rgb="FFC00000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Arial"/>
      <family val="2"/>
    </font>
    <font>
      <b/>
      <sz val="22"/>
      <color rgb="FFFF0000"/>
      <name val="Calibri"/>
      <family val="2"/>
    </font>
    <font>
      <b/>
      <sz val="22"/>
      <color theme="1"/>
      <name val="Calibri"/>
      <family val="2"/>
    </font>
    <font>
      <b/>
      <sz val="22"/>
      <color rgb="FFC00000"/>
      <name val="Arial"/>
      <family val="2"/>
    </font>
    <font>
      <b/>
      <sz val="22"/>
      <color theme="1"/>
      <name val="Arial"/>
      <family val="2"/>
    </font>
    <font>
      <b/>
      <sz val="22"/>
      <color rgb="FFFF0066"/>
      <name val="Arial"/>
      <family val="2"/>
    </font>
    <font>
      <b/>
      <sz val="22"/>
      <color rgb="FF002060"/>
      <name val="Arial"/>
      <family val="2"/>
    </font>
    <font>
      <b/>
      <sz val="26"/>
      <color rgb="FF0000FF"/>
      <name val="Calibri"/>
      <family val="2"/>
    </font>
    <font>
      <sz val="26"/>
      <color rgb="FF0000FF"/>
      <name val="Calibri"/>
      <family val="2"/>
    </font>
    <font>
      <b/>
      <sz val="26"/>
      <color rgb="FFFF0000"/>
      <name val="Calibri"/>
      <family val="2"/>
    </font>
    <font>
      <b/>
      <sz val="26"/>
      <color rgb="FFC00000"/>
      <name val="Calibri"/>
      <family val="2"/>
    </font>
    <font>
      <sz val="26"/>
      <color theme="1"/>
      <name val="Arial"/>
      <family val="2"/>
    </font>
    <font>
      <b/>
      <sz val="26"/>
      <color theme="2" tint="-0.499984740745262"/>
      <name val="Arial"/>
      <family val="2"/>
    </font>
    <font>
      <b/>
      <sz val="26"/>
      <color theme="1"/>
      <name val="Calibri"/>
      <family val="2"/>
    </font>
    <font>
      <b/>
      <sz val="26"/>
      <color rgb="FFC00000"/>
      <name val="Arial"/>
      <family val="2"/>
    </font>
    <font>
      <b/>
      <sz val="26"/>
      <color theme="1"/>
      <name val="Arial"/>
      <family val="2"/>
    </font>
    <font>
      <b/>
      <sz val="26"/>
      <color rgb="FFFF0066"/>
      <name val="Arial"/>
      <family val="2"/>
    </font>
    <font>
      <b/>
      <sz val="26"/>
      <color rgb="FF002060"/>
      <name val="Arial"/>
      <family val="2"/>
    </font>
    <font>
      <b/>
      <sz val="22"/>
      <color rgb="FFFF0000"/>
      <name val="Arial"/>
      <family val="2"/>
    </font>
    <font>
      <b/>
      <sz val="22"/>
      <color rgb="FF008000"/>
      <name val="Calibri"/>
      <family val="2"/>
    </font>
    <font>
      <b/>
      <sz val="18"/>
      <color rgb="FFC00000"/>
      <name val="Calibri"/>
      <family val="2"/>
    </font>
    <font>
      <b/>
      <sz val="18"/>
      <color rgb="FFC00000"/>
      <name val="Arial"/>
      <family val="2"/>
    </font>
    <font>
      <b/>
      <sz val="14"/>
      <color rgb="FF0000FF"/>
      <name val="Calibri"/>
      <family val="2"/>
    </font>
    <font>
      <sz val="14"/>
      <color rgb="FF0000FF"/>
      <name val="Calibri"/>
      <family val="2"/>
    </font>
    <font>
      <b/>
      <sz val="14"/>
      <color rgb="FFC00000"/>
      <name val="Calibri"/>
      <family val="2"/>
    </font>
    <font>
      <b/>
      <i/>
      <sz val="22"/>
      <color theme="1"/>
      <name val="Calibri"/>
      <family val="2"/>
    </font>
    <font>
      <i/>
      <sz val="24"/>
      <color theme="1"/>
      <name val="Calibri"/>
      <family val="2"/>
    </font>
    <font>
      <i/>
      <u val="double"/>
      <sz val="24"/>
      <color rgb="FFFF0000"/>
      <name val="Calibri"/>
      <family val="2"/>
    </font>
    <font>
      <sz val="24"/>
      <color theme="1"/>
      <name val="Calibri"/>
      <family val="2"/>
    </font>
    <font>
      <b/>
      <i/>
      <u val="double"/>
      <sz val="18"/>
      <color rgb="FFFF0000"/>
      <name val="Calibri"/>
      <family val="2"/>
    </font>
    <font>
      <sz val="22"/>
      <color theme="1"/>
      <name val="Calibri"/>
      <family val="2"/>
    </font>
    <font>
      <sz val="20"/>
      <color theme="1"/>
      <name val="Arial"/>
      <family val="2"/>
    </font>
    <font>
      <b/>
      <i/>
      <u val="double"/>
      <sz val="16"/>
      <color rgb="FF00B050"/>
      <name val="Calibri"/>
      <family val="2"/>
    </font>
    <font>
      <b/>
      <i/>
      <sz val="16"/>
      <color rgb="FFFF0000"/>
      <name val="Baskerville Old Face"/>
      <family val="1"/>
    </font>
    <font>
      <b/>
      <i/>
      <sz val="16"/>
      <color theme="1"/>
      <name val="Calibri"/>
      <family val="2"/>
    </font>
    <font>
      <b/>
      <i/>
      <u val="double"/>
      <sz val="16"/>
      <color rgb="FFFF0000"/>
      <name val="Calibri"/>
      <family val="2"/>
    </font>
    <font>
      <b/>
      <i/>
      <sz val="16"/>
      <color rgb="FFFF0000"/>
      <name val="Calibri"/>
      <family val="2"/>
    </font>
    <font>
      <b/>
      <i/>
      <sz val="16"/>
      <color theme="1"/>
      <name val="Algerian"/>
      <family val="5"/>
    </font>
    <font>
      <b/>
      <i/>
      <sz val="14"/>
      <color rgb="FF008000"/>
      <name val="Arial"/>
      <family val="2"/>
    </font>
    <font>
      <b/>
      <i/>
      <sz val="20"/>
      <color rgb="FF002060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5"/>
      <color rgb="FFFF0000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3"/>
      <color theme="1"/>
      <name val="Arial"/>
      <family val="2"/>
    </font>
    <font>
      <b/>
      <sz val="11"/>
      <color rgb="FF00B050"/>
      <name val="Arial"/>
      <family val="2"/>
    </font>
    <font>
      <b/>
      <sz val="13"/>
      <color rgb="FF0000FF"/>
      <name val="Arial"/>
      <family val="2"/>
    </font>
    <font>
      <b/>
      <sz val="26"/>
      <color rgb="FFFF0000"/>
      <name val="Arial"/>
      <family val="2"/>
    </font>
    <font>
      <b/>
      <i/>
      <sz val="26"/>
      <color theme="1"/>
      <name val="Calibri"/>
      <family val="2"/>
    </font>
    <font>
      <sz val="26"/>
      <color rgb="FFC00000"/>
      <name val="Calibri"/>
      <family val="2"/>
    </font>
    <font>
      <sz val="26"/>
      <color rgb="FFFF0000"/>
      <name val="Calibri"/>
      <family val="2"/>
    </font>
    <font>
      <b/>
      <sz val="20"/>
      <color theme="0" tint="-4.9989318521683403E-2"/>
      <name val="Arial"/>
      <family val="2"/>
    </font>
    <font>
      <b/>
      <sz val="26"/>
      <color theme="0" tint="-4.9989318521683403E-2"/>
      <name val="Arial"/>
      <family val="2"/>
    </font>
    <font>
      <sz val="26"/>
      <color theme="0" tint="-4.9989318521683403E-2"/>
      <name val="Calibri"/>
      <family val="2"/>
    </font>
    <font>
      <sz val="26"/>
      <color theme="0" tint="-4.9989318521683403E-2"/>
      <name val="Arial"/>
      <family val="2"/>
    </font>
    <font>
      <b/>
      <sz val="26"/>
      <color theme="0" tint="-4.9989318521683403E-2"/>
      <name val="Calibri"/>
      <family val="2"/>
    </font>
    <font>
      <b/>
      <sz val="20"/>
      <color rgb="FFFF0000"/>
      <name val="Arial"/>
      <family val="2"/>
    </font>
    <font>
      <b/>
      <sz val="20"/>
      <color rgb="FF00B050"/>
      <name val="Arial"/>
      <family val="2"/>
    </font>
    <font>
      <u val="double"/>
      <sz val="11"/>
      <color theme="1"/>
      <name val="Calibri"/>
      <family val="2"/>
    </font>
    <font>
      <b/>
      <i/>
      <u val="double"/>
      <sz val="20"/>
      <color theme="1"/>
      <name val="Calibri"/>
      <family val="2"/>
    </font>
    <font>
      <sz val="11"/>
      <color rgb="FF3F3F76"/>
      <name val="Calibri"/>
      <family val="2"/>
    </font>
    <font>
      <b/>
      <i/>
      <sz val="20"/>
      <color theme="1"/>
      <name val="Arial"/>
      <family val="2"/>
    </font>
    <font>
      <sz val="20"/>
      <color rgb="FFC00000"/>
      <name val="Calibri"/>
      <family val="2"/>
    </font>
    <font>
      <sz val="11"/>
      <color rgb="FFC00000"/>
      <name val="Calibri"/>
      <family val="2"/>
    </font>
    <font>
      <b/>
      <sz val="24"/>
      <color rgb="FF0000FF"/>
      <name val="Calibri"/>
      <family val="2"/>
    </font>
    <font>
      <sz val="24"/>
      <color rgb="FF0000FF"/>
      <name val="Calibri"/>
      <family val="2"/>
    </font>
    <font>
      <b/>
      <sz val="24"/>
      <color rgb="FFC00000"/>
      <name val="Calibri"/>
      <family val="2"/>
    </font>
    <font>
      <b/>
      <sz val="24"/>
      <color rgb="FFFF0000"/>
      <name val="Calibri"/>
      <family val="2"/>
    </font>
    <font>
      <b/>
      <sz val="24"/>
      <color theme="1"/>
      <name val="Calibri"/>
      <family val="2"/>
    </font>
    <font>
      <b/>
      <sz val="24"/>
      <color rgb="FFC00000"/>
      <name val="Arial"/>
      <family val="2"/>
    </font>
    <font>
      <b/>
      <sz val="24"/>
      <color rgb="FFFF0066"/>
      <name val="Arial"/>
      <family val="2"/>
    </font>
    <font>
      <b/>
      <sz val="24"/>
      <color rgb="FF002060"/>
      <name val="Arial"/>
      <family val="2"/>
    </font>
    <font>
      <b/>
      <i/>
      <u val="double"/>
      <sz val="22"/>
      <color theme="1"/>
      <name val="Calibri"/>
      <family val="2"/>
    </font>
    <font>
      <b/>
      <sz val="36"/>
      <color rgb="FF0000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CC99"/>
      </patternFill>
    </fill>
    <fill>
      <patternFill patternType="solid">
        <fgColor rgb="FF008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25" fillId="16" borderId="45" applyNumberFormat="0" applyAlignment="0" applyProtection="0"/>
  </cellStyleXfs>
  <cellXfs count="7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7" fillId="0" borderId="0" xfId="0" applyFont="1" applyAlignment="1">
      <alignment horizontal="center"/>
    </xf>
    <xf numFmtId="0" fontId="5" fillId="0" borderId="0" xfId="0" applyFont="1"/>
    <xf numFmtId="0" fontId="0" fillId="0" borderId="12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14" fillId="0" borderId="0" xfId="0" applyFont="1"/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6" fillId="0" borderId="0" xfId="0" applyFont="1"/>
    <xf numFmtId="0" fontId="16" fillId="7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6" borderId="10" xfId="0" applyFill="1" applyBorder="1"/>
    <xf numFmtId="0" fontId="2" fillId="6" borderId="10" xfId="0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3" fillId="7" borderId="1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34" fillId="6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3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28" fillId="5" borderId="25" xfId="0" applyFont="1" applyFill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13" fillId="6" borderId="10" xfId="0" applyFont="1" applyFill="1" applyBorder="1"/>
    <xf numFmtId="0" fontId="29" fillId="7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3" fillId="6" borderId="0" xfId="0" applyFont="1" applyFill="1"/>
    <xf numFmtId="0" fontId="35" fillId="0" borderId="13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6" borderId="13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6" fillId="7" borderId="11" xfId="0" applyFont="1" applyFill="1" applyBorder="1" applyAlignment="1">
      <alignment vertical="center"/>
    </xf>
    <xf numFmtId="0" fontId="41" fillId="7" borderId="12" xfId="0" applyFont="1" applyFill="1" applyBorder="1" applyAlignment="1">
      <alignment vertical="center"/>
    </xf>
    <xf numFmtId="0" fontId="39" fillId="7" borderId="3" xfId="0" applyFont="1" applyFill="1" applyBorder="1" applyAlignment="1">
      <alignment horizontal="center" vertical="center" wrapText="1"/>
    </xf>
    <xf numFmtId="0" fontId="39" fillId="7" borderId="19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41" fillId="7" borderId="11" xfId="0" applyFont="1" applyFill="1" applyBorder="1" applyAlignment="1">
      <alignment horizontal="center" vertical="center"/>
    </xf>
    <xf numFmtId="0" fontId="41" fillId="7" borderId="11" xfId="0" applyFont="1" applyFill="1" applyBorder="1" applyAlignment="1">
      <alignment horizontal="center" vertical="center" wrapText="1"/>
    </xf>
    <xf numFmtId="0" fontId="36" fillId="7" borderId="12" xfId="0" applyFont="1" applyFill="1" applyBorder="1" applyAlignment="1">
      <alignment horizontal="center" vertical="center"/>
    </xf>
    <xf numFmtId="0" fontId="42" fillId="6" borderId="13" xfId="0" applyFont="1" applyFill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17" xfId="0" applyFont="1" applyBorder="1"/>
    <xf numFmtId="0" fontId="32" fillId="6" borderId="13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44" fillId="6" borderId="17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6" fillId="7" borderId="1" xfId="0" applyFont="1" applyFill="1" applyBorder="1" applyAlignment="1">
      <alignment horizontal="center" vertical="center"/>
    </xf>
    <xf numFmtId="0" fontId="45" fillId="7" borderId="1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45" fillId="7" borderId="12" xfId="0" applyFont="1" applyFill="1" applyBorder="1" applyAlignment="1">
      <alignment horizontal="center" vertical="center"/>
    </xf>
    <xf numFmtId="0" fontId="46" fillId="7" borderId="12" xfId="0" applyFont="1" applyFill="1" applyBorder="1" applyAlignment="1">
      <alignment horizontal="center" vertical="center"/>
    </xf>
    <xf numFmtId="0" fontId="47" fillId="5" borderId="25" xfId="0" applyFont="1" applyFill="1" applyBorder="1" applyAlignment="1">
      <alignment horizontal="center" vertical="center"/>
    </xf>
    <xf numFmtId="0" fontId="51" fillId="6" borderId="2" xfId="0" applyFont="1" applyFill="1" applyBorder="1" applyAlignment="1">
      <alignment horizontal="center" vertical="center"/>
    </xf>
    <xf numFmtId="0" fontId="50" fillId="6" borderId="4" xfId="0" applyFont="1" applyFill="1" applyBorder="1" applyAlignment="1">
      <alignment horizontal="center" vertical="center"/>
    </xf>
    <xf numFmtId="0" fontId="52" fillId="0" borderId="0" xfId="0" applyFont="1"/>
    <xf numFmtId="0" fontId="9" fillId="6" borderId="13" xfId="0" applyFont="1" applyFill="1" applyBorder="1" applyAlignment="1">
      <alignment horizontal="center" vertical="center"/>
    </xf>
    <xf numFmtId="0" fontId="47" fillId="5" borderId="11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32" fillId="6" borderId="11" xfId="0" applyFont="1" applyFill="1" applyBorder="1" applyAlignment="1">
      <alignment horizontal="center" vertical="center"/>
    </xf>
    <xf numFmtId="0" fontId="51" fillId="6" borderId="19" xfId="0" applyFont="1" applyFill="1" applyBorder="1" applyAlignment="1">
      <alignment horizontal="center" vertical="center"/>
    </xf>
    <xf numFmtId="0" fontId="51" fillId="0" borderId="0" xfId="0" applyFont="1"/>
    <xf numFmtId="0" fontId="54" fillId="0" borderId="1" xfId="0" applyFont="1" applyBorder="1" applyAlignment="1">
      <alignment horizontal="center" vertical="center"/>
    </xf>
    <xf numFmtId="0" fontId="49" fillId="5" borderId="1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8" fillId="5" borderId="1" xfId="0" applyFont="1" applyFill="1" applyBorder="1" applyAlignment="1">
      <alignment horizontal="center" vertical="center"/>
    </xf>
    <xf numFmtId="0" fontId="59" fillId="7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1" fillId="0" borderId="0" xfId="0" applyFont="1"/>
    <xf numFmtId="0" fontId="59" fillId="0" borderId="24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8" fillId="5" borderId="25" xfId="0" applyFont="1" applyFill="1" applyBorder="1" applyAlignment="1">
      <alignment horizontal="center" vertical="center"/>
    </xf>
    <xf numFmtId="0" fontId="64" fillId="0" borderId="0" xfId="0" applyFont="1"/>
    <xf numFmtId="0" fontId="66" fillId="0" borderId="1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8" fillId="5" borderId="1" xfId="0" applyFont="1" applyFill="1" applyBorder="1" applyAlignment="1">
      <alignment horizontal="center" vertical="center"/>
    </xf>
    <xf numFmtId="0" fontId="76" fillId="7" borderId="1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6" borderId="10" xfId="0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0" fillId="6" borderId="22" xfId="0" applyFont="1" applyFill="1" applyBorder="1"/>
    <xf numFmtId="0" fontId="61" fillId="6" borderId="37" xfId="0" applyFont="1" applyFill="1" applyBorder="1"/>
    <xf numFmtId="0" fontId="48" fillId="0" borderId="21" xfId="0" applyFont="1" applyBorder="1" applyAlignment="1">
      <alignment vertical="center"/>
    </xf>
    <xf numFmtId="0" fontId="63" fillId="0" borderId="30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64" fillId="6" borderId="0" xfId="0" applyFont="1" applyFill="1" applyAlignment="1">
      <alignment horizontal="center" vertical="center"/>
    </xf>
    <xf numFmtId="0" fontId="80" fillId="0" borderId="24" xfId="0" applyFont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6" fillId="3" borderId="2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80" fillId="2" borderId="1" xfId="0" applyFont="1" applyFill="1" applyBorder="1" applyAlignment="1">
      <alignment horizontal="center" vertical="center"/>
    </xf>
    <xf numFmtId="0" fontId="80" fillId="2" borderId="2" xfId="0" applyFont="1" applyFill="1" applyBorder="1" applyAlignment="1">
      <alignment horizontal="center" vertical="center"/>
    </xf>
    <xf numFmtId="0" fontId="80" fillId="0" borderId="26" xfId="0" applyFont="1" applyBorder="1" applyAlignment="1">
      <alignment horizontal="center" vertical="center"/>
    </xf>
    <xf numFmtId="0" fontId="80" fillId="2" borderId="25" xfId="0" applyFont="1" applyFill="1" applyBorder="1" applyAlignment="1">
      <alignment horizontal="center" vertical="center"/>
    </xf>
    <xf numFmtId="0" fontId="64" fillId="6" borderId="13" xfId="0" applyFont="1" applyFill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6" borderId="10" xfId="0" applyFont="1" applyFill="1" applyBorder="1" applyAlignment="1">
      <alignment horizontal="center" vertical="center"/>
    </xf>
    <xf numFmtId="0" fontId="64" fillId="6" borderId="23" xfId="0" applyFont="1" applyFill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81" fillId="12" borderId="0" xfId="0" applyFont="1" applyFill="1" applyAlignment="1">
      <alignment horizontal="center" vertical="center"/>
    </xf>
    <xf numFmtId="0" fontId="65" fillId="12" borderId="3" xfId="0" applyFont="1" applyFill="1" applyBorder="1" applyAlignment="1">
      <alignment horizontal="center" vertical="center"/>
    </xf>
    <xf numFmtId="0" fontId="66" fillId="12" borderId="19" xfId="0" applyFont="1" applyFill="1" applyBorder="1" applyAlignment="1">
      <alignment horizontal="center" vertical="center"/>
    </xf>
    <xf numFmtId="0" fontId="63" fillId="12" borderId="0" xfId="0" applyFont="1" applyFill="1" applyAlignment="1">
      <alignment horizontal="center" vertical="center"/>
    </xf>
    <xf numFmtId="0" fontId="65" fillId="12" borderId="17" xfId="0" applyFont="1" applyFill="1" applyBorder="1" applyAlignment="1">
      <alignment horizontal="center" vertical="center"/>
    </xf>
    <xf numFmtId="0" fontId="66" fillId="12" borderId="0" xfId="0" applyFont="1" applyFill="1" applyAlignment="1">
      <alignment horizontal="center" vertical="center"/>
    </xf>
    <xf numFmtId="0" fontId="66" fillId="12" borderId="13" xfId="0" applyFont="1" applyFill="1" applyBorder="1" applyAlignment="1">
      <alignment horizontal="center" vertical="center"/>
    </xf>
    <xf numFmtId="0" fontId="65" fillId="12" borderId="14" xfId="0" applyFont="1" applyFill="1" applyBorder="1" applyAlignment="1">
      <alignment horizontal="center" vertical="center"/>
    </xf>
    <xf numFmtId="0" fontId="66" fillId="12" borderId="9" xfId="0" applyFont="1" applyFill="1" applyBorder="1" applyAlignment="1">
      <alignment horizontal="center" vertical="center"/>
    </xf>
    <xf numFmtId="0" fontId="64" fillId="11" borderId="12" xfId="0" applyFont="1" applyFill="1" applyBorder="1" applyAlignment="1">
      <alignment horizontal="center" vertical="center"/>
    </xf>
    <xf numFmtId="0" fontId="64" fillId="11" borderId="1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6" borderId="0" xfId="0" applyFont="1" applyFill="1" applyAlignment="1">
      <alignment horizontal="center" vertical="center"/>
    </xf>
    <xf numFmtId="0" fontId="64" fillId="0" borderId="0" xfId="0" applyFont="1" applyAlignment="1">
      <alignment horizontal="center"/>
    </xf>
    <xf numFmtId="0" fontId="64" fillId="3" borderId="0" xfId="0" applyFont="1" applyFill="1" applyAlignment="1">
      <alignment horizontal="center"/>
    </xf>
    <xf numFmtId="0" fontId="53" fillId="0" borderId="8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83" fillId="7" borderId="1" xfId="0" applyFont="1" applyFill="1" applyBorder="1" applyAlignment="1">
      <alignment horizontal="center" vertical="center"/>
    </xf>
    <xf numFmtId="0" fontId="49" fillId="5" borderId="25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54" fillId="3" borderId="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26" fillId="6" borderId="13" xfId="0" applyFont="1" applyFill="1" applyBorder="1" applyAlignment="1">
      <alignment horizontal="center"/>
    </xf>
    <xf numFmtId="0" fontId="49" fillId="5" borderId="16" xfId="0" applyFont="1" applyFill="1" applyBorder="1" applyAlignment="1">
      <alignment horizontal="center" vertical="center"/>
    </xf>
    <xf numFmtId="0" fontId="83" fillId="7" borderId="11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/>
    </xf>
    <xf numFmtId="0" fontId="83" fillId="7" borderId="12" xfId="0" applyFont="1" applyFill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82" fillId="7" borderId="8" xfId="0" applyFont="1" applyFill="1" applyBorder="1" applyAlignment="1">
      <alignment horizontal="center" vertical="center"/>
    </xf>
    <xf numFmtId="0" fontId="53" fillId="6" borderId="2" xfId="0" applyFont="1" applyFill="1" applyBorder="1" applyAlignment="1">
      <alignment horizontal="center" vertical="center"/>
    </xf>
    <xf numFmtId="0" fontId="54" fillId="3" borderId="10" xfId="0" applyFont="1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6" fillId="11" borderId="12" xfId="0" applyFont="1" applyFill="1" applyBorder="1" applyAlignment="1">
      <alignment horizontal="center" vertical="center"/>
    </xf>
    <xf numFmtId="0" fontId="85" fillId="6" borderId="41" xfId="0" applyFont="1" applyFill="1" applyBorder="1" applyAlignment="1">
      <alignment horizontal="center" vertical="center"/>
    </xf>
    <xf numFmtId="0" fontId="85" fillId="6" borderId="22" xfId="0" applyFont="1" applyFill="1" applyBorder="1"/>
    <xf numFmtId="0" fontId="85" fillId="0" borderId="0" xfId="0" applyFont="1"/>
    <xf numFmtId="0" fontId="86" fillId="0" borderId="1" xfId="0" applyFont="1" applyBorder="1" applyAlignment="1">
      <alignment horizontal="center" vertical="center"/>
    </xf>
    <xf numFmtId="0" fontId="86" fillId="0" borderId="24" xfId="0" applyFont="1" applyBorder="1" applyAlignment="1">
      <alignment horizontal="center" vertical="center"/>
    </xf>
    <xf numFmtId="0" fontId="6" fillId="6" borderId="23" xfId="0" applyFont="1" applyFill="1" applyBorder="1"/>
    <xf numFmtId="0" fontId="3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23" xfId="0" applyFont="1" applyFill="1" applyBorder="1"/>
    <xf numFmtId="0" fontId="31" fillId="0" borderId="0" xfId="0" applyFont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6" fillId="6" borderId="13" xfId="0" applyFont="1" applyFill="1" applyBorder="1"/>
    <xf numFmtId="0" fontId="31" fillId="0" borderId="1" xfId="0" applyFont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15" xfId="0" applyFont="1" applyFill="1" applyBorder="1"/>
    <xf numFmtId="0" fontId="6" fillId="0" borderId="17" xfId="0" applyFont="1" applyBorder="1" applyAlignment="1">
      <alignment horizontal="center" vertical="center"/>
    </xf>
    <xf numFmtId="0" fontId="64" fillId="11" borderId="33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88" fillId="0" borderId="11" xfId="0" applyFont="1" applyBorder="1" applyAlignment="1">
      <alignment horizontal="center" vertical="center"/>
    </xf>
    <xf numFmtId="0" fontId="90" fillId="0" borderId="1" xfId="0" applyFont="1" applyBorder="1"/>
    <xf numFmtId="0" fontId="90" fillId="0" borderId="1" xfId="0" applyFont="1" applyBorder="1" applyAlignment="1">
      <alignment horizontal="center"/>
    </xf>
    <xf numFmtId="0" fontId="89" fillId="0" borderId="0" xfId="0" applyFont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92" fillId="0" borderId="0" xfId="0" applyFont="1" applyAlignment="1">
      <alignment horizontal="center" vertical="center" wrapText="1"/>
    </xf>
    <xf numFmtId="0" fontId="0" fillId="0" borderId="11" xfId="0" applyBorder="1"/>
    <xf numFmtId="0" fontId="64" fillId="0" borderId="30" xfId="0" applyFont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 wrapText="1"/>
    </xf>
    <xf numFmtId="0" fontId="64" fillId="0" borderId="4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7" xfId="0" applyBorder="1"/>
    <xf numFmtId="0" fontId="0" fillId="0" borderId="35" xfId="0" applyBorder="1"/>
    <xf numFmtId="0" fontId="0" fillId="0" borderId="36" xfId="0" applyBorder="1"/>
    <xf numFmtId="0" fontId="0" fillId="0" borderId="44" xfId="0" applyBorder="1"/>
    <xf numFmtId="0" fontId="61" fillId="6" borderId="0" xfId="0" applyFont="1" applyFill="1"/>
    <xf numFmtId="0" fontId="52" fillId="0" borderId="0" xfId="0" applyFont="1" applyAlignment="1">
      <alignment horizontal="center"/>
    </xf>
    <xf numFmtId="0" fontId="62" fillId="0" borderId="4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58" fillId="5" borderId="11" xfId="0" applyFont="1" applyFill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171" fontId="57" fillId="12" borderId="1" xfId="0" applyNumberFormat="1" applyFont="1" applyFill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/>
    </xf>
    <xf numFmtId="0" fontId="94" fillId="0" borderId="1" xfId="0" applyFont="1" applyBorder="1"/>
    <xf numFmtId="0" fontId="94" fillId="0" borderId="1" xfId="0" applyFont="1" applyBorder="1" applyAlignment="1">
      <alignment horizontal="center"/>
    </xf>
    <xf numFmtId="0" fontId="95" fillId="0" borderId="0" xfId="0" applyFont="1"/>
    <xf numFmtId="0" fontId="96" fillId="0" borderId="0" xfId="0" applyFont="1" applyAlignment="1">
      <alignment vertical="center" wrapText="1"/>
    </xf>
    <xf numFmtId="0" fontId="96" fillId="0" borderId="0" xfId="0" applyFont="1"/>
    <xf numFmtId="0" fontId="96" fillId="0" borderId="1" xfId="0" applyFont="1" applyBorder="1"/>
    <xf numFmtId="0" fontId="96" fillId="2" borderId="1" xfId="0" applyFont="1" applyFill="1" applyBorder="1" applyAlignment="1">
      <alignment horizontal="center"/>
    </xf>
    <xf numFmtId="0" fontId="96" fillId="0" borderId="1" xfId="0" applyFont="1" applyBorder="1" applyAlignment="1">
      <alignment horizontal="center"/>
    </xf>
    <xf numFmtId="0" fontId="98" fillId="0" borderId="0" xfId="0" applyFont="1"/>
    <xf numFmtId="0" fontId="96" fillId="0" borderId="0" xfId="0" applyFont="1" applyAlignment="1">
      <alignment horizontal="center"/>
    </xf>
    <xf numFmtId="14" fontId="95" fillId="0" borderId="0" xfId="0" applyNumberFormat="1" applyFont="1"/>
    <xf numFmtId="0" fontId="99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88" fillId="0" borderId="0" xfId="0" applyFont="1" applyAlignment="1">
      <alignment horizontal="center" vertical="center"/>
    </xf>
    <xf numFmtId="0" fontId="90" fillId="0" borderId="0" xfId="0" applyFont="1"/>
    <xf numFmtId="16" fontId="90" fillId="0" borderId="1" xfId="0" applyNumberFormat="1" applyFont="1" applyBorder="1" applyAlignment="1">
      <alignment horizontal="center"/>
    </xf>
    <xf numFmtId="0" fontId="90" fillId="0" borderId="0" xfId="0" applyFont="1" applyBorder="1" applyAlignment="1">
      <alignment horizontal="center"/>
    </xf>
    <xf numFmtId="0" fontId="88" fillId="0" borderId="0" xfId="0" applyFont="1" applyBorder="1" applyAlignment="1">
      <alignment horizontal="center" vertical="center"/>
    </xf>
    <xf numFmtId="0" fontId="90" fillId="0" borderId="10" xfId="0" applyFont="1" applyFill="1" applyBorder="1" applyAlignment="1">
      <alignment horizontal="center"/>
    </xf>
    <xf numFmtId="0" fontId="50" fillId="6" borderId="39" xfId="0" applyFont="1" applyFill="1" applyBorder="1" applyAlignment="1">
      <alignment horizontal="center" vertical="center"/>
    </xf>
    <xf numFmtId="0" fontId="51" fillId="6" borderId="22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60" fillId="0" borderId="33" xfId="0" applyFont="1" applyBorder="1" applyAlignment="1">
      <alignment horizontal="center" vertical="center"/>
    </xf>
    <xf numFmtId="0" fontId="61" fillId="6" borderId="13" xfId="0" applyFont="1" applyFill="1" applyBorder="1" applyAlignment="1">
      <alignment horizontal="center" vertical="center"/>
    </xf>
    <xf numFmtId="0" fontId="52" fillId="6" borderId="23" xfId="0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62" fillId="0" borderId="3" xfId="0" applyFont="1" applyBorder="1" applyAlignment="1">
      <alignment horizontal="center" vertical="center"/>
    </xf>
    <xf numFmtId="0" fontId="52" fillId="6" borderId="37" xfId="0" applyFont="1" applyFill="1" applyBorder="1" applyAlignment="1">
      <alignment vertical="center"/>
    </xf>
    <xf numFmtId="0" fontId="58" fillId="5" borderId="25" xfId="0" applyFont="1" applyFill="1" applyBorder="1" applyAlignment="1">
      <alignment horizontal="center" vertical="center" wrapText="1"/>
    </xf>
    <xf numFmtId="172" fontId="57" fillId="12" borderId="1" xfId="0" applyNumberFormat="1" applyFont="1" applyFill="1" applyBorder="1" applyAlignment="1">
      <alignment horizontal="center" vertical="center"/>
    </xf>
    <xf numFmtId="173" fontId="57" fillId="12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3" borderId="25" xfId="0" applyFont="1" applyFill="1" applyBorder="1" applyAlignment="1">
      <alignment horizontal="center" vertical="center" wrapText="1"/>
    </xf>
    <xf numFmtId="172" fontId="57" fillId="3" borderId="1" xfId="0" applyNumberFormat="1" applyFont="1" applyFill="1" applyBorder="1" applyAlignment="1">
      <alignment horizontal="center" vertical="center"/>
    </xf>
    <xf numFmtId="0" fontId="101" fillId="4" borderId="9" xfId="0" applyFont="1" applyFill="1" applyBorder="1" applyAlignment="1">
      <alignment horizontal="center" vertical="center"/>
    </xf>
    <xf numFmtId="0" fontId="101" fillId="4" borderId="11" xfId="0" applyFont="1" applyFill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102" fillId="9" borderId="2" xfId="0" applyFont="1" applyFill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/>
    <xf numFmtId="0" fontId="104" fillId="0" borderId="1" xfId="0" applyFont="1" applyBorder="1" applyAlignment="1">
      <alignment horizontal="center" vertical="center"/>
    </xf>
    <xf numFmtId="0" fontId="104" fillId="0" borderId="12" xfId="0" applyFont="1" applyBorder="1" applyAlignment="1">
      <alignment horizontal="center" vertical="center"/>
    </xf>
    <xf numFmtId="1" fontId="104" fillId="0" borderId="1" xfId="0" applyNumberFormat="1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/>
    </xf>
    <xf numFmtId="0" fontId="102" fillId="9" borderId="10" xfId="0" applyFont="1" applyFill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1" fontId="104" fillId="0" borderId="2" xfId="0" applyNumberFormat="1" applyFont="1" applyBorder="1" applyAlignment="1">
      <alignment horizontal="center" vertical="center"/>
    </xf>
    <xf numFmtId="0" fontId="104" fillId="0" borderId="3" xfId="0" applyFont="1" applyBorder="1" applyAlignment="1">
      <alignment horizontal="center" vertical="center"/>
    </xf>
    <xf numFmtId="0" fontId="105" fillId="0" borderId="3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107" fillId="0" borderId="1" xfId="0" applyFont="1" applyBorder="1" applyAlignment="1">
      <alignment horizontal="center" vertical="center"/>
    </xf>
    <xf numFmtId="164" fontId="107" fillId="0" borderId="1" xfId="0" applyNumberFormat="1" applyFont="1" applyBorder="1" applyAlignment="1">
      <alignment horizontal="center" vertical="center"/>
    </xf>
    <xf numFmtId="164" fontId="107" fillId="0" borderId="1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108" fillId="0" borderId="2" xfId="0" applyFont="1" applyBorder="1" applyAlignment="1">
      <alignment vertical="center" wrapText="1"/>
    </xf>
    <xf numFmtId="0" fontId="108" fillId="0" borderId="10" xfId="0" applyFont="1" applyBorder="1" applyAlignment="1">
      <alignment vertical="center" wrapText="1"/>
    </xf>
    <xf numFmtId="0" fontId="107" fillId="0" borderId="11" xfId="0" applyFont="1" applyBorder="1" applyAlignment="1">
      <alignment horizontal="center" vertical="center"/>
    </xf>
    <xf numFmtId="164" fontId="107" fillId="0" borderId="16" xfId="0" applyNumberFormat="1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164" fontId="107" fillId="0" borderId="2" xfId="0" applyNumberFormat="1" applyFont="1" applyBorder="1" applyAlignment="1">
      <alignment horizontal="center" vertical="center"/>
    </xf>
    <xf numFmtId="164" fontId="107" fillId="0" borderId="3" xfId="0" applyNumberFormat="1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164" fontId="107" fillId="0" borderId="8" xfId="0" applyNumberFormat="1" applyFont="1" applyBorder="1" applyAlignment="1">
      <alignment horizontal="center" vertical="center"/>
    </xf>
    <xf numFmtId="164" fontId="107" fillId="0" borderId="14" xfId="0" applyNumberFormat="1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108" fillId="0" borderId="8" xfId="0" applyFont="1" applyBorder="1" applyAlignment="1">
      <alignment vertical="center" wrapText="1"/>
    </xf>
    <xf numFmtId="0" fontId="4" fillId="0" borderId="0" xfId="0" applyFont="1"/>
    <xf numFmtId="1" fontId="102" fillId="0" borderId="0" xfId="0" applyNumberFormat="1" applyFont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102" fillId="0" borderId="17" xfId="0" applyFont="1" applyBorder="1" applyAlignment="1">
      <alignment horizontal="center" vertical="center"/>
    </xf>
    <xf numFmtId="0" fontId="102" fillId="9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2" fillId="0" borderId="1" xfId="0" applyNumberFormat="1" applyFont="1" applyBorder="1" applyAlignment="1">
      <alignment horizontal="center" vertical="center"/>
    </xf>
    <xf numFmtId="0" fontId="108" fillId="0" borderId="1" xfId="0" quotePrefix="1" applyFont="1" applyBorder="1" applyAlignment="1">
      <alignment horizontal="center" vertical="center"/>
    </xf>
    <xf numFmtId="164" fontId="102" fillId="0" borderId="17" xfId="0" applyNumberFormat="1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/>
    </xf>
    <xf numFmtId="174" fontId="62" fillId="3" borderId="1" xfId="0" applyNumberFormat="1" applyFont="1" applyFill="1" applyBorder="1" applyAlignment="1">
      <alignment horizontal="center" vertical="center"/>
    </xf>
    <xf numFmtId="0" fontId="59" fillId="7" borderId="11" xfId="0" applyFont="1" applyFill="1" applyBorder="1" applyAlignment="1">
      <alignment horizontal="center" vertical="center"/>
    </xf>
    <xf numFmtId="0" fontId="51" fillId="15" borderId="1" xfId="0" applyFont="1" applyFill="1" applyBorder="1" applyAlignment="1"/>
    <xf numFmtId="0" fontId="70" fillId="3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vertical="center"/>
    </xf>
    <xf numFmtId="0" fontId="72" fillId="3" borderId="1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/>
    <xf numFmtId="0" fontId="73" fillId="3" borderId="1" xfId="0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/>
    </xf>
    <xf numFmtId="0" fontId="71" fillId="3" borderId="1" xfId="0" applyFont="1" applyFill="1" applyBorder="1" applyAlignment="1"/>
    <xf numFmtId="0" fontId="74" fillId="3" borderId="1" xfId="0" applyFont="1" applyFill="1" applyBorder="1" applyAlignment="1">
      <alignment horizontal="center" vertical="center"/>
    </xf>
    <xf numFmtId="0" fontId="75" fillId="3" borderId="1" xfId="0" applyFont="1" applyFill="1" applyBorder="1"/>
    <xf numFmtId="0" fontId="24" fillId="3" borderId="1" xfId="0" applyFont="1" applyFill="1" applyBorder="1" applyAlignment="1">
      <alignment horizontal="center"/>
    </xf>
    <xf numFmtId="0" fontId="76" fillId="3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/>
    <xf numFmtId="0" fontId="79" fillId="3" borderId="1" xfId="0" applyFont="1" applyFill="1" applyBorder="1" applyAlignment="1">
      <alignment vertical="center"/>
    </xf>
    <xf numFmtId="0" fontId="112" fillId="3" borderId="1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14" fillId="3" borderId="1" xfId="0" applyFont="1" applyFill="1" applyBorder="1"/>
    <xf numFmtId="0" fontId="113" fillId="3" borderId="12" xfId="0" applyFont="1" applyFill="1" applyBorder="1" applyAlignment="1">
      <alignment horizontal="center" vertical="center"/>
    </xf>
    <xf numFmtId="172" fontId="58" fillId="5" borderId="1" xfId="0" applyNumberFormat="1" applyFont="1" applyFill="1" applyBorder="1" applyAlignment="1">
      <alignment horizontal="center" vertical="center" wrapText="1"/>
    </xf>
    <xf numFmtId="0" fontId="115" fillId="3" borderId="1" xfId="0" applyFont="1" applyFill="1" applyBorder="1" applyAlignment="1">
      <alignment horizontal="center" vertical="center"/>
    </xf>
    <xf numFmtId="0" fontId="112" fillId="7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7" xfId="0" applyFill="1" applyBorder="1"/>
    <xf numFmtId="0" fontId="0" fillId="3" borderId="13" xfId="0" applyFill="1" applyBorder="1"/>
    <xf numFmtId="0" fontId="24" fillId="3" borderId="0" xfId="0" applyFont="1" applyFill="1"/>
    <xf numFmtId="0" fontId="77" fillId="0" borderId="4" xfId="0" applyFont="1" applyBorder="1" applyAlignment="1">
      <alignment horizontal="center" vertical="center"/>
    </xf>
    <xf numFmtId="0" fontId="77" fillId="0" borderId="1" xfId="0" applyFont="1" applyFill="1" applyBorder="1" applyAlignment="1">
      <alignment horizontal="center" vertical="center"/>
    </xf>
    <xf numFmtId="169" fontId="77" fillId="0" borderId="1" xfId="0" applyNumberFormat="1" applyFont="1" applyFill="1" applyBorder="1" applyAlignment="1">
      <alignment horizontal="center" vertical="center"/>
    </xf>
    <xf numFmtId="0" fontId="78" fillId="5" borderId="25" xfId="0" applyFont="1" applyFill="1" applyBorder="1" applyAlignment="1">
      <alignment horizontal="center" vertical="center" wrapText="1"/>
    </xf>
    <xf numFmtId="0" fontId="116" fillId="7" borderId="1" xfId="0" applyFont="1" applyFill="1" applyBorder="1" applyAlignment="1">
      <alignment horizontal="center" vertical="center"/>
    </xf>
    <xf numFmtId="0" fontId="116" fillId="7" borderId="16" xfId="0" applyFont="1" applyFill="1" applyBorder="1" applyAlignment="1">
      <alignment horizontal="center" vertical="center"/>
    </xf>
    <xf numFmtId="0" fontId="116" fillId="7" borderId="12" xfId="0" applyFont="1" applyFill="1" applyBorder="1" applyAlignment="1">
      <alignment horizontal="center" vertical="center"/>
    </xf>
    <xf numFmtId="172" fontId="116" fillId="7" borderId="1" xfId="0" applyNumberFormat="1" applyFont="1" applyFill="1" applyBorder="1" applyAlignment="1">
      <alignment horizontal="center" vertical="center"/>
    </xf>
    <xf numFmtId="172" fontId="117" fillId="7" borderId="11" xfId="0" applyNumberFormat="1" applyFont="1" applyFill="1" applyBorder="1" applyAlignment="1">
      <alignment horizontal="center" vertical="center"/>
    </xf>
    <xf numFmtId="0" fontId="118" fillId="7" borderId="1" xfId="0" applyFont="1" applyFill="1" applyBorder="1" applyAlignment="1">
      <alignment horizontal="center" vertical="center"/>
    </xf>
    <xf numFmtId="0" fontId="118" fillId="7" borderId="1" xfId="0" applyFont="1" applyFill="1" applyBorder="1"/>
    <xf numFmtId="0" fontId="57" fillId="7" borderId="16" xfId="0" applyFont="1" applyFill="1" applyBorder="1" applyAlignment="1">
      <alignment horizontal="center" vertical="center"/>
    </xf>
    <xf numFmtId="0" fontId="57" fillId="7" borderId="12" xfId="0" applyFont="1" applyFill="1" applyBorder="1" applyAlignment="1">
      <alignment horizontal="center" vertical="center"/>
    </xf>
    <xf numFmtId="172" fontId="57" fillId="7" borderId="1" xfId="0" applyNumberFormat="1" applyFont="1" applyFill="1" applyBorder="1" applyAlignment="1">
      <alignment horizontal="center" vertical="center"/>
    </xf>
    <xf numFmtId="172" fontId="112" fillId="7" borderId="11" xfId="0" applyNumberFormat="1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" xfId="0" applyFont="1" applyFill="1" applyBorder="1"/>
    <xf numFmtId="0" fontId="114" fillId="7" borderId="1" xfId="0" applyFont="1" applyFill="1" applyBorder="1"/>
    <xf numFmtId="0" fontId="62" fillId="7" borderId="16" xfId="0" applyFont="1" applyFill="1" applyBorder="1" applyAlignment="1">
      <alignment horizontal="center" vertical="center"/>
    </xf>
    <xf numFmtId="0" fontId="62" fillId="7" borderId="12" xfId="0" applyFont="1" applyFill="1" applyBorder="1" applyAlignment="1">
      <alignment horizontal="center" vertical="center"/>
    </xf>
    <xf numFmtId="172" fontId="62" fillId="7" borderId="1" xfId="0" applyNumberFormat="1" applyFont="1" applyFill="1" applyBorder="1" applyAlignment="1">
      <alignment horizontal="center" vertical="center"/>
    </xf>
    <xf numFmtId="172" fontId="77" fillId="7" borderId="11" xfId="0" applyNumberFormat="1" applyFont="1" applyFill="1" applyBorder="1" applyAlignment="1">
      <alignment horizontal="center" vertical="center"/>
    </xf>
    <xf numFmtId="0" fontId="117" fillId="3" borderId="1" xfId="0" applyFont="1" applyFill="1" applyBorder="1" applyAlignment="1">
      <alignment horizontal="center" vertical="center"/>
    </xf>
    <xf numFmtId="0" fontId="119" fillId="3" borderId="1" xfId="0" applyFont="1" applyFill="1" applyBorder="1" applyAlignment="1">
      <alignment horizontal="center" vertical="center"/>
    </xf>
    <xf numFmtId="0" fontId="118" fillId="3" borderId="1" xfId="0" applyFont="1" applyFill="1" applyBorder="1"/>
    <xf numFmtId="0" fontId="119" fillId="3" borderId="1" xfId="0" applyFont="1" applyFill="1" applyBorder="1" applyAlignment="1">
      <alignment horizontal="center"/>
    </xf>
    <xf numFmtId="0" fontId="120" fillId="3" borderId="1" xfId="0" applyFont="1" applyFill="1" applyBorder="1" applyAlignment="1"/>
    <xf numFmtId="0" fontId="120" fillId="3" borderId="1" xfId="0" applyFont="1" applyFill="1" applyBorder="1"/>
    <xf numFmtId="0" fontId="118" fillId="3" borderId="1" xfId="0" applyFont="1" applyFill="1" applyBorder="1" applyAlignment="1">
      <alignment horizontal="center"/>
    </xf>
    <xf numFmtId="0" fontId="50" fillId="6" borderId="21" xfId="0" applyFont="1" applyFill="1" applyBorder="1" applyAlignment="1">
      <alignment vertical="center"/>
    </xf>
    <xf numFmtId="0" fontId="60" fillId="0" borderId="24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60" fillId="0" borderId="8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52" fillId="6" borderId="23" xfId="0" applyFont="1" applyFill="1" applyBorder="1"/>
    <xf numFmtId="0" fontId="27" fillId="0" borderId="1" xfId="0" applyFont="1" applyBorder="1" applyAlignment="1">
      <alignment horizontal="center" vertical="center"/>
    </xf>
    <xf numFmtId="0" fontId="62" fillId="2" borderId="11" xfId="0" applyFont="1" applyFill="1" applyBorder="1" applyAlignment="1">
      <alignment horizontal="center" vertical="center"/>
    </xf>
    <xf numFmtId="0" fontId="52" fillId="6" borderId="0" xfId="0" applyFont="1" applyFill="1" applyBorder="1"/>
    <xf numFmtId="0" fontId="93" fillId="3" borderId="0" xfId="0" applyFont="1" applyFill="1" applyAlignment="1">
      <alignment horizontal="center" vertical="center"/>
    </xf>
    <xf numFmtId="0" fontId="61" fillId="6" borderId="0" xfId="0" applyFont="1" applyFill="1" applyAlignment="1">
      <alignment horizontal="center"/>
    </xf>
    <xf numFmtId="0" fontId="52" fillId="6" borderId="0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 vertical="center"/>
    </xf>
    <xf numFmtId="0" fontId="61" fillId="6" borderId="1" xfId="0" applyFont="1" applyFill="1" applyBorder="1"/>
    <xf numFmtId="0" fontId="52" fillId="6" borderId="11" xfId="0" applyFont="1" applyFill="1" applyBorder="1"/>
    <xf numFmtId="0" fontId="58" fillId="3" borderId="0" xfId="0" applyFont="1" applyFill="1" applyAlignment="1">
      <alignment vertical="center"/>
    </xf>
    <xf numFmtId="0" fontId="59" fillId="3" borderId="0" xfId="0" applyFont="1" applyFill="1" applyAlignment="1">
      <alignment horizontal="center" vertical="center"/>
    </xf>
    <xf numFmtId="170" fontId="57" fillId="3" borderId="0" xfId="0" applyNumberFormat="1" applyFont="1" applyFill="1" applyAlignment="1">
      <alignment horizontal="center" vertical="center"/>
    </xf>
    <xf numFmtId="0" fontId="93" fillId="0" borderId="2" xfId="0" applyFont="1" applyBorder="1" applyAlignment="1">
      <alignment horizontal="center" vertical="center"/>
    </xf>
    <xf numFmtId="0" fontId="122" fillId="6" borderId="0" xfId="0" applyFont="1" applyFill="1" applyBorder="1" applyAlignment="1">
      <alignment horizontal="center"/>
    </xf>
    <xf numFmtId="0" fontId="62" fillId="6" borderId="0" xfId="0" applyFont="1" applyFill="1" applyAlignment="1">
      <alignment horizontal="center" vertical="center"/>
    </xf>
    <xf numFmtId="0" fontId="121" fillId="12" borderId="11" xfId="0" applyFont="1" applyFill="1" applyBorder="1" applyAlignment="1">
      <alignment horizontal="center" vertical="center"/>
    </xf>
    <xf numFmtId="0" fontId="121" fillId="12" borderId="1" xfId="0" applyFont="1" applyFill="1" applyBorder="1" applyAlignment="1">
      <alignment horizontal="center" vertical="center" wrapText="1"/>
    </xf>
    <xf numFmtId="0" fontId="121" fillId="12" borderId="11" xfId="0" applyFont="1" applyFill="1" applyBorder="1" applyAlignment="1">
      <alignment horizontal="center" vertical="center" wrapText="1"/>
    </xf>
    <xf numFmtId="0" fontId="121" fillId="12" borderId="12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62" fillId="12" borderId="1" xfId="0" applyFont="1" applyFill="1" applyBorder="1" applyAlignment="1">
      <alignment horizontal="center" vertical="center" wrapText="1"/>
    </xf>
    <xf numFmtId="0" fontId="61" fillId="6" borderId="28" xfId="0" applyFont="1" applyFill="1" applyBorder="1" applyAlignment="1">
      <alignment horizontal="center"/>
    </xf>
    <xf numFmtId="0" fontId="61" fillId="0" borderId="0" xfId="0" applyFont="1" applyAlignment="1">
      <alignment horizontal="center"/>
    </xf>
    <xf numFmtId="0" fontId="52" fillId="6" borderId="17" xfId="0" applyFont="1" applyFill="1" applyBorder="1" applyAlignment="1">
      <alignment horizontal="center"/>
    </xf>
    <xf numFmtId="0" fontId="52" fillId="0" borderId="0" xfId="0" applyFont="1" applyAlignment="1">
      <alignment horizontal="center" vertical="center"/>
    </xf>
    <xf numFmtId="0" fontId="61" fillId="0" borderId="1" xfId="0" applyFont="1" applyBorder="1" applyAlignment="1">
      <alignment horizontal="center"/>
    </xf>
    <xf numFmtId="0" fontId="72" fillId="0" borderId="24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50" fillId="6" borderId="22" xfId="0" applyFont="1" applyFill="1" applyBorder="1" applyAlignment="1">
      <alignment vertical="center"/>
    </xf>
    <xf numFmtId="0" fontId="50" fillId="6" borderId="23" xfId="0" applyFont="1" applyFill="1" applyBorder="1" applyAlignment="1">
      <alignment vertical="center"/>
    </xf>
    <xf numFmtId="0" fontId="50" fillId="6" borderId="38" xfId="0" applyFont="1" applyFill="1" applyBorder="1" applyAlignment="1">
      <alignment vertical="center"/>
    </xf>
    <xf numFmtId="0" fontId="69" fillId="3" borderId="11" xfId="0" applyFont="1" applyFill="1" applyBorder="1" applyAlignment="1">
      <alignment vertical="center"/>
    </xf>
    <xf numFmtId="0" fontId="69" fillId="3" borderId="16" xfId="0" applyFont="1" applyFill="1" applyBorder="1" applyAlignment="1">
      <alignment vertical="center"/>
    </xf>
    <xf numFmtId="0" fontId="69" fillId="3" borderId="12" xfId="0" applyFont="1" applyFill="1" applyBorder="1" applyAlignment="1">
      <alignment vertical="center"/>
    </xf>
    <xf numFmtId="0" fontId="118" fillId="0" borderId="1" xfId="0" applyFont="1" applyFill="1" applyBorder="1"/>
    <xf numFmtId="168" fontId="62" fillId="3" borderId="1" xfId="0" applyNumberFormat="1" applyFont="1" applyFill="1" applyBorder="1" applyAlignment="1">
      <alignment horizontal="center" vertical="center"/>
    </xf>
    <xf numFmtId="0" fontId="58" fillId="5" borderId="11" xfId="0" applyFont="1" applyFill="1" applyBorder="1" applyAlignment="1">
      <alignment horizontal="center" vertical="center" wrapText="1"/>
    </xf>
    <xf numFmtId="0" fontId="0" fillId="6" borderId="0" xfId="0" applyFill="1"/>
    <xf numFmtId="164" fontId="4" fillId="5" borderId="10" xfId="0" applyNumberFormat="1" applyFont="1" applyFill="1" applyBorder="1" applyAlignment="1">
      <alignment horizontal="center" vertical="center"/>
    </xf>
    <xf numFmtId="0" fontId="108" fillId="0" borderId="2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164" fontId="107" fillId="0" borderId="12" xfId="0" applyNumberFormat="1" applyFont="1" applyBorder="1" applyAlignment="1">
      <alignment horizontal="center" vertical="center"/>
    </xf>
    <xf numFmtId="0" fontId="108" fillId="0" borderId="8" xfId="0" applyFont="1" applyBorder="1" applyAlignment="1">
      <alignment horizontal="center" vertical="center" wrapText="1"/>
    </xf>
    <xf numFmtId="0" fontId="107" fillId="0" borderId="3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/>
    </xf>
    <xf numFmtId="0" fontId="107" fillId="0" borderId="17" xfId="0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13" xfId="0" applyFont="1" applyBorder="1" applyAlignment="1">
      <alignment horizontal="center" vertical="center"/>
    </xf>
    <xf numFmtId="0" fontId="107" fillId="0" borderId="14" xfId="0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0" fontId="103" fillId="9" borderId="0" xfId="0" applyFont="1" applyFill="1" applyAlignment="1">
      <alignment horizontal="center" vertical="center"/>
    </xf>
    <xf numFmtId="0" fontId="111" fillId="9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23" fillId="0" borderId="0" xfId="0" applyFont="1"/>
    <xf numFmtId="0" fontId="124" fillId="0" borderId="0" xfId="0" applyFont="1" applyAlignment="1">
      <alignment horizontal="center" vertical="center"/>
    </xf>
    <xf numFmtId="0" fontId="125" fillId="16" borderId="45" xfId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/>
    </xf>
    <xf numFmtId="0" fontId="62" fillId="2" borderId="1" xfId="0" applyFont="1" applyFill="1" applyBorder="1" applyAlignment="1">
      <alignment horizontal="center" vertical="center"/>
    </xf>
    <xf numFmtId="0" fontId="48" fillId="6" borderId="21" xfId="0" applyFont="1" applyFill="1" applyBorder="1" applyAlignment="1">
      <alignment vertical="center"/>
    </xf>
    <xf numFmtId="0" fontId="64" fillId="6" borderId="0" xfId="0" applyFont="1" applyFill="1" applyBorder="1" applyAlignment="1">
      <alignment horizontal="center" vertical="center"/>
    </xf>
    <xf numFmtId="0" fontId="64" fillId="6" borderId="17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3" borderId="11" xfId="0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0" fontId="64" fillId="11" borderId="8" xfId="0" applyFont="1" applyFill="1" applyBorder="1" applyAlignment="1">
      <alignment horizontal="center" vertical="center"/>
    </xf>
    <xf numFmtId="0" fontId="66" fillId="12" borderId="0" xfId="0" applyFont="1" applyFill="1" applyBorder="1" applyAlignment="1">
      <alignment horizontal="center" vertical="center"/>
    </xf>
    <xf numFmtId="0" fontId="102" fillId="0" borderId="14" xfId="0" applyFont="1" applyBorder="1" applyAlignment="1">
      <alignment horizontal="center" vertical="center"/>
    </xf>
    <xf numFmtId="0" fontId="57" fillId="12" borderId="12" xfId="0" applyFont="1" applyFill="1" applyBorder="1" applyAlignment="1">
      <alignment horizontal="center" vertical="center"/>
    </xf>
    <xf numFmtId="0" fontId="57" fillId="12" borderId="16" xfId="0" applyFont="1" applyFill="1" applyBorder="1" applyAlignment="1">
      <alignment horizontal="center" vertical="center"/>
    </xf>
    <xf numFmtId="171" fontId="57" fillId="12" borderId="31" xfId="0" applyNumberFormat="1" applyFont="1" applyFill="1" applyBorder="1" applyAlignment="1">
      <alignment horizontal="center" vertical="center"/>
    </xf>
    <xf numFmtId="0" fontId="57" fillId="12" borderId="25" xfId="0" applyFont="1" applyFill="1" applyBorder="1" applyAlignment="1">
      <alignment horizontal="center" vertical="center"/>
    </xf>
    <xf numFmtId="0" fontId="50" fillId="8" borderId="25" xfId="0" applyFont="1" applyFill="1" applyBorder="1" applyAlignment="1">
      <alignment horizontal="center" vertical="center"/>
    </xf>
    <xf numFmtId="0" fontId="51" fillId="15" borderId="0" xfId="0" applyFont="1" applyFill="1" applyAlignment="1">
      <alignment horizontal="center"/>
    </xf>
    <xf numFmtId="0" fontId="76" fillId="0" borderId="25" xfId="0" applyFont="1" applyBorder="1" applyAlignment="1">
      <alignment horizontal="center" vertical="center"/>
    </xf>
    <xf numFmtId="0" fontId="59" fillId="0" borderId="26" xfId="0" applyFon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/>
    </xf>
    <xf numFmtId="175" fontId="121" fillId="3" borderId="1" xfId="0" applyNumberFormat="1" applyFont="1" applyFill="1" applyBorder="1" applyAlignment="1">
      <alignment horizontal="center" vertical="center"/>
    </xf>
    <xf numFmtId="0" fontId="59" fillId="5" borderId="25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171" fontId="57" fillId="12" borderId="12" xfId="0" applyNumberFormat="1" applyFont="1" applyFill="1" applyBorder="1" applyAlignment="1">
      <alignment vertical="center"/>
    </xf>
    <xf numFmtId="0" fontId="57" fillId="12" borderId="17" xfId="0" applyFont="1" applyFill="1" applyBorder="1" applyAlignment="1">
      <alignment vertical="center"/>
    </xf>
    <xf numFmtId="0" fontId="57" fillId="12" borderId="11" xfId="0" applyFont="1" applyFill="1" applyBorder="1" applyAlignment="1">
      <alignment vertical="center"/>
    </xf>
    <xf numFmtId="0" fontId="58" fillId="0" borderId="1" xfId="0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171" fontId="57" fillId="0" borderId="1" xfId="0" applyNumberFormat="1" applyFont="1" applyFill="1" applyBorder="1" applyAlignment="1">
      <alignment horizontal="center" vertical="center"/>
    </xf>
    <xf numFmtId="0" fontId="58" fillId="5" borderId="11" xfId="0" applyFont="1" applyFill="1" applyBorder="1" applyAlignment="1">
      <alignment vertical="center"/>
    </xf>
    <xf numFmtId="171" fontId="58" fillId="5" borderId="12" xfId="0" applyNumberFormat="1" applyFont="1" applyFill="1" applyBorder="1" applyAlignment="1">
      <alignment horizontal="center" vertical="center"/>
    </xf>
    <xf numFmtId="175" fontId="59" fillId="7" borderId="11" xfId="0" applyNumberFormat="1" applyFont="1" applyFill="1" applyBorder="1" applyAlignment="1">
      <alignment horizontal="center" vertical="center"/>
    </xf>
    <xf numFmtId="175" fontId="59" fillId="7" borderId="1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59" fillId="5" borderId="11" xfId="0" applyFont="1" applyFill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57" fillId="12" borderId="1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21" fillId="0" borderId="1" xfId="0" applyFont="1" applyFill="1" applyBorder="1" applyAlignment="1">
      <alignment horizontal="center" vertical="center"/>
    </xf>
    <xf numFmtId="174" fontId="62" fillId="0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vertical="center"/>
    </xf>
    <xf numFmtId="0" fontId="60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 wrapText="1"/>
    </xf>
    <xf numFmtId="0" fontId="79" fillId="17" borderId="1" xfId="0" applyFont="1" applyFill="1" applyBorder="1" applyAlignment="1">
      <alignment vertical="center" wrapText="1"/>
    </xf>
    <xf numFmtId="0" fontId="61" fillId="17" borderId="1" xfId="0" applyFont="1" applyFill="1" applyBorder="1" applyAlignment="1">
      <alignment horizontal="center" vertical="center"/>
    </xf>
    <xf numFmtId="0" fontId="129" fillId="6" borderId="38" xfId="0" applyFont="1" applyFill="1" applyBorder="1" applyAlignment="1">
      <alignment horizontal="center" vertical="center"/>
    </xf>
    <xf numFmtId="0" fontId="129" fillId="6" borderId="22" xfId="0" applyFont="1" applyFill="1" applyBorder="1" applyAlignment="1">
      <alignment horizontal="center" vertical="center"/>
    </xf>
    <xf numFmtId="0" fontId="130" fillId="15" borderId="0" xfId="0" applyFont="1" applyFill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131" fillId="0" borderId="33" xfId="0" applyFont="1" applyBorder="1" applyAlignment="1">
      <alignment horizontal="center" vertical="center"/>
    </xf>
    <xf numFmtId="0" fontId="132" fillId="0" borderId="8" xfId="0" applyFont="1" applyBorder="1" applyAlignment="1">
      <alignment horizontal="center" vertical="center"/>
    </xf>
    <xf numFmtId="0" fontId="132" fillId="0" borderId="14" xfId="0" applyFont="1" applyBorder="1" applyAlignment="1">
      <alignment horizontal="center" vertical="center"/>
    </xf>
    <xf numFmtId="0" fontId="133" fillId="6" borderId="10" xfId="0" applyFont="1" applyFill="1" applyBorder="1" applyAlignment="1">
      <alignment horizontal="center" vertical="center"/>
    </xf>
    <xf numFmtId="0" fontId="133" fillId="6" borderId="37" xfId="0" applyFont="1" applyFill="1" applyBorder="1"/>
    <xf numFmtId="0" fontId="130" fillId="15" borderId="0" xfId="0" applyFont="1" applyFill="1" applyAlignment="1">
      <alignment horizontal="center"/>
    </xf>
    <xf numFmtId="0" fontId="134" fillId="0" borderId="24" xfId="0" applyFont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3" fillId="0" borderId="11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 vertical="center"/>
    </xf>
    <xf numFmtId="0" fontId="135" fillId="5" borderId="16" xfId="0" applyFont="1" applyFill="1" applyBorder="1" applyAlignment="1">
      <alignment horizontal="center" vertical="center" wrapText="1"/>
    </xf>
    <xf numFmtId="0" fontId="135" fillId="5" borderId="1" xfId="0" applyFont="1" applyFill="1" applyBorder="1" applyAlignment="1">
      <alignment horizontal="center" vertical="center"/>
    </xf>
    <xf numFmtId="0" fontId="134" fillId="7" borderId="1" xfId="0" applyFont="1" applyFill="1" applyBorder="1" applyAlignment="1">
      <alignment horizontal="center" vertical="center"/>
    </xf>
    <xf numFmtId="0" fontId="135" fillId="5" borderId="25" xfId="0" applyFont="1" applyFill="1" applyBorder="1" applyAlignment="1">
      <alignment horizontal="center" vertical="center" wrapText="1"/>
    </xf>
    <xf numFmtId="0" fontId="134" fillId="7" borderId="11" xfId="0" applyFont="1" applyFill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3" fillId="0" borderId="0" xfId="0" applyFont="1"/>
    <xf numFmtId="0" fontId="129" fillId="8" borderId="12" xfId="0" applyFont="1" applyFill="1" applyBorder="1" applyAlignment="1">
      <alignment horizontal="center" vertical="center"/>
    </xf>
    <xf numFmtId="0" fontId="130" fillId="15" borderId="0" xfId="0" applyFont="1" applyFill="1" applyBorder="1" applyAlignment="1"/>
    <xf numFmtId="0" fontId="130" fillId="15" borderId="12" xfId="0" applyFont="1" applyFill="1" applyBorder="1" applyAlignment="1"/>
    <xf numFmtId="172" fontId="57" fillId="0" borderId="1" xfId="0" applyNumberFormat="1" applyFont="1" applyFill="1" applyBorder="1" applyAlignment="1">
      <alignment horizontal="center" vertical="center"/>
    </xf>
    <xf numFmtId="0" fontId="60" fillId="0" borderId="46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169" fontId="76" fillId="7" borderId="1" xfId="0" applyNumberFormat="1" applyFont="1" applyFill="1" applyBorder="1" applyAlignment="1">
      <alignment horizontal="center" vertical="center"/>
    </xf>
    <xf numFmtId="168" fontId="59" fillId="7" borderId="1" xfId="0" applyNumberFormat="1" applyFont="1" applyFill="1" applyBorder="1" applyAlignment="1">
      <alignment horizontal="center" vertical="center"/>
    </xf>
    <xf numFmtId="168" fontId="121" fillId="0" borderId="1" xfId="0" applyNumberFormat="1" applyFont="1" applyFill="1" applyBorder="1" applyAlignment="1">
      <alignment horizontal="center" vertical="center"/>
    </xf>
    <xf numFmtId="168" fontId="59" fillId="7" borderId="11" xfId="0" applyNumberFormat="1" applyFont="1" applyFill="1" applyBorder="1" applyAlignment="1">
      <alignment horizontal="center" vertical="center"/>
    </xf>
    <xf numFmtId="0" fontId="57" fillId="12" borderId="0" xfId="0" applyFont="1" applyFill="1" applyBorder="1" applyAlignment="1">
      <alignment horizontal="center" vertical="center"/>
    </xf>
    <xf numFmtId="171" fontId="62" fillId="0" borderId="1" xfId="0" applyNumberFormat="1" applyFont="1" applyFill="1" applyBorder="1" applyAlignment="1">
      <alignment horizontal="center" vertical="center"/>
    </xf>
    <xf numFmtId="171" fontId="58" fillId="5" borderId="1" xfId="0" applyNumberFormat="1" applyFont="1" applyFill="1" applyBorder="1" applyAlignment="1">
      <alignment horizontal="center" vertical="center"/>
    </xf>
    <xf numFmtId="171" fontId="59" fillId="7" borderId="1" xfId="0" applyNumberFormat="1" applyFont="1" applyFill="1" applyBorder="1" applyAlignment="1">
      <alignment horizontal="center" vertical="center"/>
    </xf>
    <xf numFmtId="174" fontId="59" fillId="7" borderId="11" xfId="0" applyNumberFormat="1" applyFont="1" applyFill="1" applyBorder="1" applyAlignment="1">
      <alignment horizontal="center" vertical="center"/>
    </xf>
    <xf numFmtId="174" fontId="59" fillId="7" borderId="1" xfId="0" applyNumberFormat="1" applyFont="1" applyFill="1" applyBorder="1" applyAlignment="1">
      <alignment horizontal="center" vertical="center"/>
    </xf>
    <xf numFmtId="171" fontId="59" fillId="7" borderId="11" xfId="0" applyNumberFormat="1" applyFont="1" applyFill="1" applyBorder="1" applyAlignment="1">
      <alignment horizontal="center" vertical="center"/>
    </xf>
    <xf numFmtId="172" fontId="59" fillId="7" borderId="1" xfId="0" applyNumberFormat="1" applyFont="1" applyFill="1" applyBorder="1" applyAlignment="1">
      <alignment horizontal="center" vertical="center"/>
    </xf>
    <xf numFmtId="172" fontId="58" fillId="5" borderId="1" xfId="0" applyNumberFormat="1" applyFont="1" applyFill="1" applyBorder="1" applyAlignment="1">
      <alignment horizontal="center" vertical="center"/>
    </xf>
    <xf numFmtId="0" fontId="52" fillId="0" borderId="1" xfId="0" applyFont="1" applyBorder="1"/>
    <xf numFmtId="0" fontId="64" fillId="11" borderId="14" xfId="0" applyFont="1" applyFill="1" applyBorder="1" applyAlignment="1">
      <alignment horizontal="center" vertical="center"/>
    </xf>
    <xf numFmtId="0" fontId="64" fillId="11" borderId="15" xfId="0" applyFont="1" applyFill="1" applyBorder="1" applyAlignment="1">
      <alignment horizontal="center" vertical="center"/>
    </xf>
    <xf numFmtId="0" fontId="63" fillId="8" borderId="29" xfId="0" applyFont="1" applyFill="1" applyBorder="1" applyAlignment="1">
      <alignment horizontal="center" vertical="center"/>
    </xf>
    <xf numFmtId="0" fontId="63" fillId="8" borderId="21" xfId="0" applyFont="1" applyFill="1" applyBorder="1" applyAlignment="1">
      <alignment horizontal="center" vertical="center"/>
    </xf>
    <xf numFmtId="0" fontId="63" fillId="8" borderId="22" xfId="0" applyFont="1" applyFill="1" applyBorder="1" applyAlignment="1">
      <alignment horizontal="center" vertical="center"/>
    </xf>
    <xf numFmtId="0" fontId="68" fillId="12" borderId="11" xfId="0" applyFont="1" applyFill="1" applyBorder="1" applyAlignment="1">
      <alignment horizontal="center" vertical="center"/>
    </xf>
    <xf numFmtId="0" fontId="68" fillId="12" borderId="12" xfId="0" applyFont="1" applyFill="1" applyBorder="1" applyAlignment="1">
      <alignment horizontal="center" vertical="center"/>
    </xf>
    <xf numFmtId="0" fontId="64" fillId="11" borderId="11" xfId="0" applyFont="1" applyFill="1" applyBorder="1" applyAlignment="1">
      <alignment horizontal="center" vertical="center"/>
    </xf>
    <xf numFmtId="0" fontId="64" fillId="11" borderId="16" xfId="0" applyFont="1" applyFill="1" applyBorder="1" applyAlignment="1">
      <alignment horizontal="center" vertical="center"/>
    </xf>
    <xf numFmtId="0" fontId="63" fillId="8" borderId="1" xfId="0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 vertical="center"/>
    </xf>
    <xf numFmtId="0" fontId="68" fillId="12" borderId="25" xfId="0" applyFont="1" applyFill="1" applyBorder="1" applyAlignment="1">
      <alignment horizontal="center" vertical="center"/>
    </xf>
    <xf numFmtId="165" fontId="66" fillId="14" borderId="11" xfId="0" applyNumberFormat="1" applyFont="1" applyFill="1" applyBorder="1" applyAlignment="1">
      <alignment horizontal="center" vertical="center"/>
    </xf>
    <xf numFmtId="165" fontId="66" fillId="14" borderId="16" xfId="0" applyNumberFormat="1" applyFont="1" applyFill="1" applyBorder="1" applyAlignment="1">
      <alignment horizontal="center" vertical="center"/>
    </xf>
    <xf numFmtId="165" fontId="66" fillId="14" borderId="12" xfId="0" applyNumberFormat="1" applyFont="1" applyFill="1" applyBorder="1" applyAlignment="1">
      <alignment horizontal="center" vertical="center"/>
    </xf>
    <xf numFmtId="167" fontId="68" fillId="12" borderId="11" xfId="0" applyNumberFormat="1" applyFont="1" applyFill="1" applyBorder="1" applyAlignment="1">
      <alignment horizontal="center" vertical="center"/>
    </xf>
    <xf numFmtId="167" fontId="68" fillId="12" borderId="16" xfId="0" applyNumberFormat="1" applyFont="1" applyFill="1" applyBorder="1" applyAlignment="1">
      <alignment horizontal="center" vertical="center"/>
    </xf>
    <xf numFmtId="167" fontId="68" fillId="12" borderId="12" xfId="0" applyNumberFormat="1" applyFont="1" applyFill="1" applyBorder="1" applyAlignment="1">
      <alignment horizontal="center" vertical="center"/>
    </xf>
    <xf numFmtId="166" fontId="68" fillId="12" borderId="11" xfId="0" applyNumberFormat="1" applyFont="1" applyFill="1" applyBorder="1" applyAlignment="1">
      <alignment horizontal="center" vertical="center"/>
    </xf>
    <xf numFmtId="166" fontId="68" fillId="12" borderId="16" xfId="0" applyNumberFormat="1" applyFont="1" applyFill="1" applyBorder="1" applyAlignment="1">
      <alignment horizontal="center" vertical="center"/>
    </xf>
    <xf numFmtId="166" fontId="68" fillId="12" borderId="12" xfId="0" applyNumberFormat="1" applyFont="1" applyFill="1" applyBorder="1" applyAlignment="1">
      <alignment horizontal="center" vertical="center"/>
    </xf>
    <xf numFmtId="168" fontId="112" fillId="12" borderId="11" xfId="0" applyNumberFormat="1" applyFont="1" applyFill="1" applyBorder="1" applyAlignment="1">
      <alignment horizontal="center" vertical="center"/>
    </xf>
    <xf numFmtId="168" fontId="112" fillId="12" borderId="16" xfId="0" applyNumberFormat="1" applyFont="1" applyFill="1" applyBorder="1" applyAlignment="1">
      <alignment horizontal="center" vertical="center"/>
    </xf>
    <xf numFmtId="168" fontId="112" fillId="12" borderId="12" xfId="0" applyNumberFormat="1" applyFont="1" applyFill="1" applyBorder="1" applyAlignment="1">
      <alignment horizontal="center" vertical="center"/>
    </xf>
    <xf numFmtId="0" fontId="69" fillId="8" borderId="6" xfId="0" applyFont="1" applyFill="1" applyBorder="1" applyAlignment="1">
      <alignment horizontal="center"/>
    </xf>
    <xf numFmtId="0" fontId="69" fillId="8" borderId="5" xfId="0" applyFont="1" applyFill="1" applyBorder="1" applyAlignment="1">
      <alignment horizontal="center"/>
    </xf>
    <xf numFmtId="0" fontId="69" fillId="8" borderId="7" xfId="0" applyFont="1" applyFill="1" applyBorder="1" applyAlignment="1">
      <alignment horizontal="center"/>
    </xf>
    <xf numFmtId="0" fontId="79" fillId="12" borderId="25" xfId="0" applyFont="1" applyFill="1" applyBorder="1" applyAlignment="1">
      <alignment horizontal="center" vertical="center" wrapText="1"/>
    </xf>
    <xf numFmtId="0" fontId="79" fillId="12" borderId="12" xfId="0" applyFont="1" applyFill="1" applyBorder="1" applyAlignment="1">
      <alignment horizontal="center" vertical="center" wrapText="1"/>
    </xf>
    <xf numFmtId="168" fontId="121" fillId="12" borderId="11" xfId="0" applyNumberFormat="1" applyFont="1" applyFill="1" applyBorder="1" applyAlignment="1">
      <alignment horizontal="center" vertical="center"/>
    </xf>
    <xf numFmtId="168" fontId="121" fillId="12" borderId="16" xfId="0" applyNumberFormat="1" applyFont="1" applyFill="1" applyBorder="1" applyAlignment="1">
      <alignment horizontal="center" vertical="center"/>
    </xf>
    <xf numFmtId="168" fontId="121" fillId="12" borderId="12" xfId="0" applyNumberFormat="1" applyFont="1" applyFill="1" applyBorder="1" applyAlignment="1">
      <alignment horizontal="center" vertical="center"/>
    </xf>
    <xf numFmtId="0" fontId="57" fillId="12" borderId="25" xfId="0" applyFont="1" applyFill="1" applyBorder="1" applyAlignment="1">
      <alignment horizontal="center" vertical="center"/>
    </xf>
    <xf numFmtId="0" fontId="57" fillId="12" borderId="12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170" fontId="57" fillId="3" borderId="0" xfId="0" applyNumberFormat="1" applyFont="1" applyFill="1" applyAlignment="1">
      <alignment horizontal="center" vertical="center"/>
    </xf>
    <xf numFmtId="0" fontId="50" fillId="8" borderId="6" xfId="0" applyFont="1" applyFill="1" applyBorder="1" applyAlignment="1">
      <alignment horizontal="center" vertical="center"/>
    </xf>
    <xf numFmtId="0" fontId="50" fillId="8" borderId="5" xfId="0" applyFont="1" applyFill="1" applyBorder="1" applyAlignment="1">
      <alignment horizontal="center" vertical="center"/>
    </xf>
    <xf numFmtId="0" fontId="50" fillId="8" borderId="7" xfId="0" applyFont="1" applyFill="1" applyBorder="1" applyAlignment="1">
      <alignment horizontal="center" vertical="center"/>
    </xf>
    <xf numFmtId="0" fontId="50" fillId="8" borderId="29" xfId="0" applyFont="1" applyFill="1" applyBorder="1" applyAlignment="1">
      <alignment horizontal="center" vertical="center"/>
    </xf>
    <xf numFmtId="0" fontId="50" fillId="8" borderId="21" xfId="0" applyFont="1" applyFill="1" applyBorder="1" applyAlignment="1">
      <alignment horizontal="center" vertical="center"/>
    </xf>
    <xf numFmtId="0" fontId="50" fillId="8" borderId="22" xfId="0" applyFont="1" applyFill="1" applyBorder="1" applyAlignment="1">
      <alignment horizontal="center" vertical="center"/>
    </xf>
    <xf numFmtId="0" fontId="50" fillId="8" borderId="11" xfId="0" applyFont="1" applyFill="1" applyBorder="1" applyAlignment="1">
      <alignment horizontal="center" vertical="center"/>
    </xf>
    <xf numFmtId="0" fontId="50" fillId="8" borderId="16" xfId="0" applyFont="1" applyFill="1" applyBorder="1" applyAlignment="1">
      <alignment horizontal="center" vertical="center"/>
    </xf>
    <xf numFmtId="0" fontId="50" fillId="8" borderId="34" xfId="0" applyFont="1" applyFill="1" applyBorder="1" applyAlignment="1">
      <alignment horizontal="center" vertical="center"/>
    </xf>
    <xf numFmtId="0" fontId="50" fillId="8" borderId="25" xfId="0" applyFont="1" applyFill="1" applyBorder="1" applyAlignment="1">
      <alignment horizontal="center" vertical="center"/>
    </xf>
    <xf numFmtId="0" fontId="50" fillId="8" borderId="12" xfId="0" applyFont="1" applyFill="1" applyBorder="1" applyAlignment="1">
      <alignment horizontal="center" vertical="center"/>
    </xf>
    <xf numFmtId="0" fontId="57" fillId="12" borderId="32" xfId="0" applyFont="1" applyFill="1" applyBorder="1" applyAlignment="1">
      <alignment horizontal="center" vertical="center"/>
    </xf>
    <xf numFmtId="0" fontId="57" fillId="12" borderId="31" xfId="0" applyFont="1" applyFill="1" applyBorder="1" applyAlignment="1">
      <alignment horizontal="center" vertical="center"/>
    </xf>
    <xf numFmtId="0" fontId="57" fillId="12" borderId="1" xfId="0" applyFont="1" applyFill="1" applyBorder="1" applyAlignment="1">
      <alignment horizontal="center" vertical="center"/>
    </xf>
    <xf numFmtId="171" fontId="57" fillId="12" borderId="1" xfId="0" applyNumberFormat="1" applyFont="1" applyFill="1" applyBorder="1" applyAlignment="1">
      <alignment horizontal="center" vertical="center"/>
    </xf>
    <xf numFmtId="171" fontId="57" fillId="12" borderId="3" xfId="0" applyNumberFormat="1" applyFont="1" applyFill="1" applyBorder="1" applyAlignment="1">
      <alignment horizontal="center" vertical="center"/>
    </xf>
    <xf numFmtId="171" fontId="57" fillId="12" borderId="19" xfId="0" applyNumberFormat="1" applyFont="1" applyFill="1" applyBorder="1" applyAlignment="1">
      <alignment horizontal="center" vertical="center"/>
    </xf>
    <xf numFmtId="171" fontId="57" fillId="12" borderId="4" xfId="0" applyNumberFormat="1" applyFont="1" applyFill="1" applyBorder="1" applyAlignment="1">
      <alignment horizontal="center" vertical="center"/>
    </xf>
    <xf numFmtId="0" fontId="57" fillId="12" borderId="11" xfId="0" applyFont="1" applyFill="1" applyBorder="1" applyAlignment="1">
      <alignment horizontal="center" vertical="center"/>
    </xf>
    <xf numFmtId="171" fontId="57" fillId="12" borderId="11" xfId="0" applyNumberFormat="1" applyFont="1" applyFill="1" applyBorder="1" applyAlignment="1">
      <alignment horizontal="center" vertical="center"/>
    </xf>
    <xf numFmtId="171" fontId="57" fillId="12" borderId="12" xfId="0" applyNumberFormat="1" applyFont="1" applyFill="1" applyBorder="1" applyAlignment="1">
      <alignment horizontal="center" vertical="center"/>
    </xf>
    <xf numFmtId="0" fontId="57" fillId="12" borderId="17" xfId="0" applyFont="1" applyFill="1" applyBorder="1" applyAlignment="1">
      <alignment horizontal="center" vertical="center"/>
    </xf>
    <xf numFmtId="0" fontId="57" fillId="12" borderId="0" xfId="0" applyFont="1" applyFill="1" applyBorder="1" applyAlignment="1">
      <alignment horizontal="center" vertical="center"/>
    </xf>
    <xf numFmtId="0" fontId="57" fillId="12" borderId="16" xfId="0" applyFont="1" applyFill="1" applyBorder="1" applyAlignment="1">
      <alignment horizontal="center" vertical="center"/>
    </xf>
    <xf numFmtId="171" fontId="57" fillId="12" borderId="16" xfId="0" applyNumberFormat="1" applyFont="1" applyFill="1" applyBorder="1" applyAlignment="1">
      <alignment horizontal="center" vertical="center"/>
    </xf>
    <xf numFmtId="172" fontId="57" fillId="12" borderId="11" xfId="0" applyNumberFormat="1" applyFont="1" applyFill="1" applyBorder="1" applyAlignment="1">
      <alignment horizontal="center" vertical="center"/>
    </xf>
    <xf numFmtId="172" fontId="57" fillId="12" borderId="12" xfId="0" applyNumberFormat="1" applyFont="1" applyFill="1" applyBorder="1" applyAlignment="1">
      <alignment horizontal="center" vertical="center"/>
    </xf>
    <xf numFmtId="0" fontId="57" fillId="3" borderId="25" xfId="0" applyFont="1" applyFill="1" applyBorder="1" applyAlignment="1">
      <alignment horizontal="center" vertical="center"/>
    </xf>
    <xf numFmtId="0" fontId="57" fillId="3" borderId="12" xfId="0" applyFont="1" applyFill="1" applyBorder="1" applyAlignment="1">
      <alignment horizontal="center" vertical="center"/>
    </xf>
    <xf numFmtId="172" fontId="57" fillId="3" borderId="11" xfId="0" applyNumberFormat="1" applyFont="1" applyFill="1" applyBorder="1" applyAlignment="1">
      <alignment horizontal="center" vertical="center"/>
    </xf>
    <xf numFmtId="172" fontId="57" fillId="3" borderId="12" xfId="0" applyNumberFormat="1" applyFont="1" applyFill="1" applyBorder="1" applyAlignment="1">
      <alignment horizontal="center" vertical="center"/>
    </xf>
    <xf numFmtId="173" fontId="57" fillId="12" borderId="11" xfId="0" applyNumberFormat="1" applyFont="1" applyFill="1" applyBorder="1" applyAlignment="1">
      <alignment horizontal="center" vertical="center"/>
    </xf>
    <xf numFmtId="173" fontId="57" fillId="12" borderId="12" xfId="0" applyNumberFormat="1" applyFont="1" applyFill="1" applyBorder="1" applyAlignment="1">
      <alignment horizontal="center" vertical="center"/>
    </xf>
    <xf numFmtId="0" fontId="50" fillId="8" borderId="25" xfId="0" applyFont="1" applyFill="1" applyBorder="1" applyAlignment="1">
      <alignment horizontal="center"/>
    </xf>
    <xf numFmtId="0" fontId="50" fillId="8" borderId="16" xfId="0" applyFont="1" applyFill="1" applyBorder="1" applyAlignment="1">
      <alignment horizontal="center"/>
    </xf>
    <xf numFmtId="0" fontId="50" fillId="8" borderId="12" xfId="0" applyFont="1" applyFill="1" applyBorder="1" applyAlignment="1">
      <alignment horizontal="center"/>
    </xf>
    <xf numFmtId="172" fontId="57" fillId="12" borderId="16" xfId="0" applyNumberFormat="1" applyFont="1" applyFill="1" applyBorder="1" applyAlignment="1">
      <alignment horizontal="center" vertical="center"/>
    </xf>
    <xf numFmtId="0" fontId="129" fillId="8" borderId="25" xfId="0" applyFont="1" applyFill="1" applyBorder="1" applyAlignment="1">
      <alignment horizontal="center" vertical="center"/>
    </xf>
    <xf numFmtId="0" fontId="129" fillId="8" borderId="16" xfId="0" applyFont="1" applyFill="1" applyBorder="1" applyAlignment="1">
      <alignment horizontal="center" vertical="center"/>
    </xf>
    <xf numFmtId="0" fontId="129" fillId="8" borderId="34" xfId="0" applyFont="1" applyFill="1" applyBorder="1" applyAlignment="1">
      <alignment horizontal="center" vertical="center"/>
    </xf>
    <xf numFmtId="0" fontId="129" fillId="8" borderId="12" xfId="0" applyFont="1" applyFill="1" applyBorder="1" applyAlignment="1">
      <alignment horizontal="center" vertical="center"/>
    </xf>
    <xf numFmtId="0" fontId="136" fillId="12" borderId="25" xfId="0" applyFont="1" applyFill="1" applyBorder="1" applyAlignment="1">
      <alignment horizontal="center" vertical="center"/>
    </xf>
    <xf numFmtId="0" fontId="136" fillId="12" borderId="12" xfId="0" applyFont="1" applyFill="1" applyBorder="1" applyAlignment="1">
      <alignment horizontal="center" vertical="center"/>
    </xf>
    <xf numFmtId="0" fontId="129" fillId="8" borderId="11" xfId="0" applyFont="1" applyFill="1" applyBorder="1" applyAlignment="1">
      <alignment horizontal="center" vertical="center"/>
    </xf>
    <xf numFmtId="172" fontId="136" fillId="12" borderId="11" xfId="0" applyNumberFormat="1" applyFont="1" applyFill="1" applyBorder="1" applyAlignment="1">
      <alignment horizontal="center" vertical="center"/>
    </xf>
    <xf numFmtId="172" fontId="136" fillId="12" borderId="16" xfId="0" applyNumberFormat="1" applyFont="1" applyFill="1" applyBorder="1" applyAlignment="1">
      <alignment horizontal="center" vertical="center"/>
    </xf>
    <xf numFmtId="172" fontId="136" fillId="12" borderId="12" xfId="0" applyNumberFormat="1" applyFont="1" applyFill="1" applyBorder="1" applyAlignment="1">
      <alignment horizontal="center" vertical="center"/>
    </xf>
    <xf numFmtId="0" fontId="41" fillId="7" borderId="12" xfId="0" applyFont="1" applyFill="1" applyBorder="1" applyAlignment="1">
      <alignment vertical="center" wrapText="1"/>
    </xf>
    <xf numFmtId="0" fontId="41" fillId="7" borderId="1" xfId="0" applyFont="1" applyFill="1" applyBorder="1" applyAlignment="1">
      <alignment vertical="center" wrapText="1"/>
    </xf>
    <xf numFmtId="0" fontId="41" fillId="7" borderId="12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30" fillId="12" borderId="25" xfId="0" applyFont="1" applyFill="1" applyBorder="1" applyAlignment="1">
      <alignment horizontal="center" vertical="center"/>
    </xf>
    <xf numFmtId="0" fontId="30" fillId="12" borderId="16" xfId="0" applyFont="1" applyFill="1" applyBorder="1" applyAlignment="1">
      <alignment horizontal="center" vertical="center"/>
    </xf>
    <xf numFmtId="0" fontId="30" fillId="12" borderId="12" xfId="0" applyFont="1" applyFill="1" applyBorder="1" applyAlignment="1">
      <alignment horizontal="center" vertical="center"/>
    </xf>
    <xf numFmtId="0" fontId="30" fillId="12" borderId="11" xfId="0" applyFont="1" applyFill="1" applyBorder="1" applyAlignment="1">
      <alignment horizontal="center" vertical="center"/>
    </xf>
    <xf numFmtId="0" fontId="30" fillId="12" borderId="11" xfId="0" applyFont="1" applyFill="1" applyBorder="1" applyAlignment="1">
      <alignment vertical="center"/>
    </xf>
    <xf numFmtId="0" fontId="30" fillId="12" borderId="12" xfId="0" applyFont="1" applyFill="1" applyBorder="1" applyAlignment="1">
      <alignment vertical="center"/>
    </xf>
    <xf numFmtId="0" fontId="37" fillId="8" borderId="1" xfId="0" applyFont="1" applyFill="1" applyBorder="1" applyAlignment="1">
      <alignment horizontal="center" vertical="center"/>
    </xf>
    <xf numFmtId="0" fontId="39" fillId="7" borderId="19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39" fillId="7" borderId="3" xfId="0" applyFont="1" applyFill="1" applyBorder="1" applyAlignment="1">
      <alignment horizontal="center" vertical="center" wrapText="1"/>
    </xf>
    <xf numFmtId="0" fontId="39" fillId="7" borderId="14" xfId="0" applyFont="1" applyFill="1" applyBorder="1" applyAlignment="1">
      <alignment horizontal="center" vertical="center" wrapText="1"/>
    </xf>
    <xf numFmtId="0" fontId="39" fillId="7" borderId="9" xfId="0" applyFont="1" applyFill="1" applyBorder="1" applyAlignment="1">
      <alignment horizontal="center" vertical="center" wrapText="1"/>
    </xf>
    <xf numFmtId="0" fontId="39" fillId="7" borderId="15" xfId="0" applyFont="1" applyFill="1" applyBorder="1" applyAlignment="1">
      <alignment horizontal="center" vertical="center" wrapText="1"/>
    </xf>
    <xf numFmtId="0" fontId="39" fillId="7" borderId="0" xfId="0" applyFont="1" applyFill="1" applyAlignment="1">
      <alignment horizontal="center" vertical="center" wrapText="1"/>
    </xf>
    <xf numFmtId="0" fontId="39" fillId="7" borderId="13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5" fillId="13" borderId="36" xfId="0" applyFont="1" applyFill="1" applyBorder="1" applyAlignment="1">
      <alignment horizontal="center" vertical="center"/>
    </xf>
    <xf numFmtId="0" fontId="35" fillId="13" borderId="30" xfId="0" applyFont="1" applyFill="1" applyBorder="1" applyAlignment="1">
      <alignment horizontal="center" vertical="center"/>
    </xf>
    <xf numFmtId="0" fontId="35" fillId="13" borderId="24" xfId="0" applyFont="1" applyFill="1" applyBorder="1" applyAlignment="1">
      <alignment horizontal="center" vertical="center"/>
    </xf>
    <xf numFmtId="0" fontId="35" fillId="13" borderId="35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138" fillId="8" borderId="16" xfId="0" applyFont="1" applyFill="1" applyBorder="1" applyAlignment="1">
      <alignment horizontal="center" vertical="center"/>
    </xf>
    <xf numFmtId="0" fontId="23" fillId="12" borderId="25" xfId="0" applyFont="1" applyFill="1" applyBorder="1" applyAlignment="1">
      <alignment horizontal="center" vertical="center"/>
    </xf>
    <xf numFmtId="0" fontId="23" fillId="12" borderId="16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21" fillId="12" borderId="12" xfId="0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21" fillId="12" borderId="16" xfId="0" applyFont="1" applyFill="1" applyBorder="1" applyAlignment="1">
      <alignment horizontal="center" vertical="center"/>
    </xf>
    <xf numFmtId="0" fontId="55" fillId="12" borderId="25" xfId="0" applyFont="1" applyFill="1" applyBorder="1" applyAlignment="1">
      <alignment horizontal="center" vertical="center"/>
    </xf>
    <xf numFmtId="0" fontId="55" fillId="12" borderId="16" xfId="0" applyFont="1" applyFill="1" applyBorder="1" applyAlignment="1">
      <alignment horizontal="center" vertical="center"/>
    </xf>
    <xf numFmtId="0" fontId="55" fillId="12" borderId="12" xfId="0" applyFont="1" applyFill="1" applyBorder="1" applyAlignment="1">
      <alignment horizontal="center" vertical="center"/>
    </xf>
    <xf numFmtId="0" fontId="55" fillId="12" borderId="11" xfId="0" applyFont="1" applyFill="1" applyBorder="1" applyAlignment="1">
      <alignment horizontal="center" vertical="center"/>
    </xf>
    <xf numFmtId="0" fontId="26" fillId="11" borderId="11" xfId="0" applyFont="1" applyFill="1" applyBorder="1" applyAlignment="1">
      <alignment horizontal="center" vertical="center"/>
    </xf>
    <xf numFmtId="0" fontId="26" fillId="11" borderId="12" xfId="0" applyFont="1" applyFill="1" applyBorder="1" applyAlignment="1">
      <alignment horizontal="center" vertical="center"/>
    </xf>
    <xf numFmtId="0" fontId="23" fillId="12" borderId="20" xfId="0" applyFont="1" applyFill="1" applyBorder="1" applyAlignment="1">
      <alignment horizontal="center" vertical="center"/>
    </xf>
    <xf numFmtId="0" fontId="84" fillId="8" borderId="20" xfId="0" applyFont="1" applyFill="1" applyBorder="1" applyAlignment="1">
      <alignment horizontal="center" vertical="center"/>
    </xf>
    <xf numFmtId="0" fontId="84" fillId="8" borderId="19" xfId="0" applyFont="1" applyFill="1" applyBorder="1" applyAlignment="1">
      <alignment horizontal="center" vertical="center"/>
    </xf>
    <xf numFmtId="0" fontId="84" fillId="8" borderId="4" xfId="0" applyFont="1" applyFill="1" applyBorder="1" applyAlignment="1">
      <alignment horizontal="center" vertical="center"/>
    </xf>
    <xf numFmtId="0" fontId="84" fillId="8" borderId="3" xfId="0" applyFont="1" applyFill="1" applyBorder="1" applyAlignment="1">
      <alignment horizontal="center" vertical="center"/>
    </xf>
    <xf numFmtId="0" fontId="84" fillId="8" borderId="40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16" fontId="100" fillId="0" borderId="13" xfId="0" applyNumberFormat="1" applyFont="1" applyBorder="1" applyAlignment="1">
      <alignment horizontal="center" vertical="center"/>
    </xf>
    <xf numFmtId="0" fontId="100" fillId="0" borderId="13" xfId="0" applyFont="1" applyBorder="1" applyAlignment="1">
      <alignment horizontal="center" vertical="center"/>
    </xf>
    <xf numFmtId="16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97" fillId="0" borderId="0" xfId="0" applyFont="1" applyAlignment="1">
      <alignment horizontal="center"/>
    </xf>
    <xf numFmtId="0" fontId="97" fillId="0" borderId="11" xfId="0" applyFont="1" applyBorder="1" applyAlignment="1">
      <alignment horizontal="center"/>
    </xf>
    <xf numFmtId="0" fontId="96" fillId="0" borderId="12" xfId="0" applyFont="1" applyBorder="1"/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61" fillId="0" borderId="29" xfId="0" applyFont="1" applyBorder="1" applyAlignment="1">
      <alignment horizontal="center"/>
    </xf>
    <xf numFmtId="0" fontId="61" fillId="0" borderId="21" xfId="0" applyFont="1" applyBorder="1" applyAlignment="1">
      <alignment horizontal="center"/>
    </xf>
    <xf numFmtId="0" fontId="61" fillId="0" borderId="22" xfId="0" applyFont="1" applyBorder="1" applyAlignment="1">
      <alignment horizontal="center"/>
    </xf>
    <xf numFmtId="0" fontId="137" fillId="0" borderId="1" xfId="0" applyFont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colors>
    <mruColors>
      <color rgb="FF008000"/>
      <color rgb="FF3399FF"/>
      <color rgb="FF0000FF"/>
      <color rgb="FFFF0066"/>
      <color rgb="FF33CC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M788"/>
  <sheetViews>
    <sheetView topLeftCell="A5" workbookViewId="0">
      <selection activeCell="K7" sqref="K7"/>
    </sheetView>
  </sheetViews>
  <sheetFormatPr defaultRowHeight="24.95" customHeight="1"/>
  <cols>
    <col min="1" max="1" width="23.5703125" style="205" customWidth="1"/>
    <col min="2" max="2" width="24.85546875" style="205" customWidth="1"/>
    <col min="3" max="3" width="21.140625" style="205" customWidth="1"/>
    <col min="4" max="4" width="17.28515625" style="205" customWidth="1"/>
    <col min="5" max="5" width="20.5703125" style="205" customWidth="1"/>
    <col min="6" max="6" width="2.7109375" style="159" hidden="1" customWidth="1"/>
    <col min="7" max="7" width="0.28515625" style="159" customWidth="1"/>
    <col min="8" max="8" width="21.140625" style="205" customWidth="1"/>
    <col min="9" max="9" width="24.85546875" style="205" customWidth="1"/>
    <col min="10" max="10" width="25.7109375" style="205" customWidth="1"/>
    <col min="11" max="11" width="25.140625" style="205" customWidth="1"/>
    <col min="12" max="12" width="24.5703125" style="205" customWidth="1"/>
  </cols>
  <sheetData>
    <row r="1" spans="1:12" s="29" customFormat="1" ht="48.75" customHeight="1" thickBot="1">
      <c r="A1" s="595" t="s">
        <v>146</v>
      </c>
      <c r="B1" s="596"/>
      <c r="C1" s="596"/>
      <c r="D1" s="596"/>
      <c r="E1" s="597"/>
      <c r="F1" s="172"/>
      <c r="G1" s="501"/>
      <c r="H1" s="602" t="s">
        <v>147</v>
      </c>
      <c r="I1" s="602"/>
      <c r="J1" s="602"/>
      <c r="K1" s="602"/>
      <c r="L1" s="602"/>
    </row>
    <row r="2" spans="1:12" s="16" customFormat="1" ht="69.75" customHeight="1">
      <c r="A2" s="173" t="s">
        <v>4</v>
      </c>
      <c r="B2" s="174" t="s">
        <v>3</v>
      </c>
      <c r="C2" s="174" t="s">
        <v>0</v>
      </c>
      <c r="D2" s="174" t="s">
        <v>1</v>
      </c>
      <c r="E2" s="174" t="s">
        <v>60</v>
      </c>
      <c r="F2" s="175"/>
      <c r="G2" s="176"/>
      <c r="H2" s="504" t="s">
        <v>4</v>
      </c>
      <c r="I2" s="504" t="s">
        <v>3</v>
      </c>
      <c r="J2" s="504" t="s">
        <v>0</v>
      </c>
      <c r="K2" s="504" t="s">
        <v>1</v>
      </c>
      <c r="L2" s="504" t="s">
        <v>60</v>
      </c>
    </row>
    <row r="3" spans="1:12" s="16" customFormat="1" ht="69.75" customHeight="1">
      <c r="A3" s="177">
        <v>10</v>
      </c>
      <c r="B3" s="178" t="s">
        <v>38</v>
      </c>
      <c r="C3" s="179">
        <v>250</v>
      </c>
      <c r="D3" s="180">
        <v>250</v>
      </c>
      <c r="E3" s="178">
        <f t="shared" ref="E3:E14" si="0">+C3-D3</f>
        <v>0</v>
      </c>
      <c r="F3" s="169"/>
      <c r="G3" s="176"/>
      <c r="H3" s="181">
        <v>20</v>
      </c>
      <c r="I3" s="160" t="s">
        <v>45</v>
      </c>
      <c r="J3" s="179">
        <v>90</v>
      </c>
      <c r="K3" s="179">
        <v>0</v>
      </c>
      <c r="L3" s="160">
        <f t="shared" ref="L3:L8" si="1">+J3-K3</f>
        <v>90</v>
      </c>
    </row>
    <row r="4" spans="1:12" s="16" customFormat="1" ht="69.75" customHeight="1">
      <c r="A4" s="177">
        <v>9</v>
      </c>
      <c r="B4" s="178" t="s">
        <v>38</v>
      </c>
      <c r="C4" s="179">
        <v>250</v>
      </c>
      <c r="D4" s="180">
        <v>250</v>
      </c>
      <c r="E4" s="178">
        <f t="shared" si="0"/>
        <v>0</v>
      </c>
      <c r="F4" s="169"/>
      <c r="G4" s="176"/>
      <c r="H4" s="181">
        <v>19</v>
      </c>
      <c r="I4" s="160" t="s">
        <v>45</v>
      </c>
      <c r="J4" s="505">
        <v>90</v>
      </c>
      <c r="K4" s="179">
        <v>90</v>
      </c>
      <c r="L4" s="160">
        <f t="shared" si="1"/>
        <v>0</v>
      </c>
    </row>
    <row r="5" spans="1:12" s="16" customFormat="1" ht="69.75" customHeight="1">
      <c r="A5" s="177">
        <v>8</v>
      </c>
      <c r="B5" s="178" t="s">
        <v>38</v>
      </c>
      <c r="C5" s="179">
        <v>250</v>
      </c>
      <c r="D5" s="180">
        <v>112</v>
      </c>
      <c r="E5" s="178">
        <f t="shared" si="0"/>
        <v>138</v>
      </c>
      <c r="F5" s="169"/>
      <c r="G5" s="176"/>
      <c r="H5" s="181">
        <v>18</v>
      </c>
      <c r="I5" s="160" t="s">
        <v>45</v>
      </c>
      <c r="J5" s="505">
        <v>90</v>
      </c>
      <c r="K5" s="179">
        <v>90</v>
      </c>
      <c r="L5" s="160">
        <f t="shared" si="1"/>
        <v>0</v>
      </c>
    </row>
    <row r="6" spans="1:12" s="16" customFormat="1" ht="69.75" customHeight="1">
      <c r="A6" s="186" t="s">
        <v>83</v>
      </c>
      <c r="B6" s="183">
        <f>+D6*42</f>
        <v>25704</v>
      </c>
      <c r="C6" s="183">
        <f>SUM(C3:C5)</f>
        <v>750</v>
      </c>
      <c r="D6" s="183">
        <f>SUM(D3:D5)</f>
        <v>612</v>
      </c>
      <c r="E6" s="184">
        <f>SUM(E3:E5)</f>
        <v>138</v>
      </c>
      <c r="F6" s="169"/>
      <c r="G6" s="176"/>
      <c r="H6" s="181">
        <v>17</v>
      </c>
      <c r="I6" s="160" t="s">
        <v>45</v>
      </c>
      <c r="J6" s="505">
        <v>90</v>
      </c>
      <c r="K6" s="179">
        <v>90</v>
      </c>
      <c r="L6" s="160">
        <f t="shared" si="1"/>
        <v>0</v>
      </c>
    </row>
    <row r="7" spans="1:12" s="16" customFormat="1" ht="69.75" customHeight="1">
      <c r="A7" s="598" t="s">
        <v>84</v>
      </c>
      <c r="B7" s="599"/>
      <c r="C7" s="605">
        <f>+B6/6</f>
        <v>4284</v>
      </c>
      <c r="D7" s="606"/>
      <c r="E7" s="607"/>
      <c r="F7" s="169"/>
      <c r="G7" s="176"/>
      <c r="H7" s="181">
        <v>16</v>
      </c>
      <c r="I7" s="160" t="s">
        <v>45</v>
      </c>
      <c r="J7" s="505">
        <v>90</v>
      </c>
      <c r="K7" s="179">
        <v>90</v>
      </c>
      <c r="L7" s="160">
        <f t="shared" si="1"/>
        <v>0</v>
      </c>
    </row>
    <row r="8" spans="1:12" s="16" customFormat="1" ht="69.75" customHeight="1">
      <c r="A8" s="185">
        <v>7</v>
      </c>
      <c r="B8" s="178" t="s">
        <v>37</v>
      </c>
      <c r="C8" s="180">
        <v>287</v>
      </c>
      <c r="D8" s="180">
        <v>287</v>
      </c>
      <c r="E8" s="178">
        <f t="shared" si="0"/>
        <v>0</v>
      </c>
      <c r="F8" s="169"/>
      <c r="G8" s="176"/>
      <c r="H8" s="181">
        <v>15</v>
      </c>
      <c r="I8" s="160" t="s">
        <v>45</v>
      </c>
      <c r="J8" s="505">
        <v>90</v>
      </c>
      <c r="K8" s="179">
        <v>59</v>
      </c>
      <c r="L8" s="160">
        <f t="shared" si="1"/>
        <v>31</v>
      </c>
    </row>
    <row r="9" spans="1:12" s="16" customFormat="1" ht="117.75" customHeight="1">
      <c r="A9" s="185">
        <v>6</v>
      </c>
      <c r="B9" s="178" t="s">
        <v>37</v>
      </c>
      <c r="C9" s="180">
        <v>287</v>
      </c>
      <c r="D9" s="180">
        <v>175</v>
      </c>
      <c r="E9" s="178">
        <f t="shared" si="0"/>
        <v>112</v>
      </c>
      <c r="F9" s="169"/>
      <c r="G9" s="176"/>
      <c r="H9" s="182" t="s">
        <v>83</v>
      </c>
      <c r="I9" s="182">
        <f>+K9*29</f>
        <v>12151</v>
      </c>
      <c r="J9" s="506">
        <f>SUM(J3:J8)</f>
        <v>540</v>
      </c>
      <c r="K9" s="183">
        <f>SUM(K3:K8)</f>
        <v>419</v>
      </c>
      <c r="L9" s="183">
        <f>SUM(L3:L8)</f>
        <v>121</v>
      </c>
    </row>
    <row r="10" spans="1:12" s="16" customFormat="1" ht="69.75" customHeight="1">
      <c r="A10" s="185">
        <v>5</v>
      </c>
      <c r="B10" s="178" t="s">
        <v>37</v>
      </c>
      <c r="C10" s="180">
        <v>287</v>
      </c>
      <c r="D10" s="180">
        <v>175</v>
      </c>
      <c r="E10" s="178">
        <f t="shared" si="0"/>
        <v>112</v>
      </c>
      <c r="F10" s="169"/>
      <c r="G10" s="176"/>
      <c r="H10" s="603" t="s">
        <v>84</v>
      </c>
      <c r="I10" s="603"/>
      <c r="J10" s="611">
        <f>+I9/2</f>
        <v>6075.5</v>
      </c>
      <c r="K10" s="612"/>
      <c r="L10" s="613"/>
    </row>
    <row r="11" spans="1:12" s="16" customFormat="1" ht="69.75" customHeight="1">
      <c r="A11" s="186" t="s">
        <v>83</v>
      </c>
      <c r="B11" s="183">
        <f>+D11*42</f>
        <v>26754</v>
      </c>
      <c r="C11" s="183">
        <f>SUM(C8:C10)</f>
        <v>861</v>
      </c>
      <c r="D11" s="183">
        <f>SUM(D8:D10)</f>
        <v>637</v>
      </c>
      <c r="E11" s="184">
        <f>SUM(E8:E10)</f>
        <v>224</v>
      </c>
      <c r="F11" s="169"/>
      <c r="G11" s="176"/>
      <c r="H11" s="181">
        <v>14</v>
      </c>
      <c r="I11" s="160" t="s">
        <v>44</v>
      </c>
      <c r="J11" s="505">
        <v>116</v>
      </c>
      <c r="K11" s="179">
        <v>116</v>
      </c>
      <c r="L11" s="160">
        <f>+J11-K11</f>
        <v>0</v>
      </c>
    </row>
    <row r="12" spans="1:12" s="16" customFormat="1" ht="69.75" customHeight="1">
      <c r="A12" s="598" t="s">
        <v>84</v>
      </c>
      <c r="B12" s="599"/>
      <c r="C12" s="605">
        <f>+B11/6</f>
        <v>4459</v>
      </c>
      <c r="D12" s="606"/>
      <c r="E12" s="607"/>
      <c r="F12" s="169"/>
      <c r="G12" s="176"/>
      <c r="H12" s="181">
        <v>13</v>
      </c>
      <c r="I12" s="160" t="s">
        <v>44</v>
      </c>
      <c r="J12" s="505">
        <v>116</v>
      </c>
      <c r="K12" s="179">
        <v>116</v>
      </c>
      <c r="L12" s="160">
        <f>+J12-K12</f>
        <v>0</v>
      </c>
    </row>
    <row r="13" spans="1:12" s="16" customFormat="1" ht="69.75" customHeight="1">
      <c r="A13" s="185">
        <v>4</v>
      </c>
      <c r="B13" s="178" t="s">
        <v>31</v>
      </c>
      <c r="C13" s="180">
        <v>500</v>
      </c>
      <c r="D13" s="180">
        <v>500</v>
      </c>
      <c r="E13" s="178">
        <f t="shared" si="0"/>
        <v>0</v>
      </c>
      <c r="F13" s="169"/>
      <c r="G13" s="502"/>
      <c r="H13" s="181">
        <v>12</v>
      </c>
      <c r="I13" s="160" t="s">
        <v>44</v>
      </c>
      <c r="J13" s="507">
        <v>116</v>
      </c>
      <c r="K13" s="160">
        <v>116</v>
      </c>
      <c r="L13" s="160">
        <f>+J13-K13</f>
        <v>0</v>
      </c>
    </row>
    <row r="14" spans="1:12" s="16" customFormat="1" ht="69.75" customHeight="1">
      <c r="A14" s="185">
        <v>3</v>
      </c>
      <c r="B14" s="178" t="s">
        <v>31</v>
      </c>
      <c r="C14" s="180">
        <v>500</v>
      </c>
      <c r="D14" s="180">
        <v>317</v>
      </c>
      <c r="E14" s="178">
        <f t="shared" si="0"/>
        <v>183</v>
      </c>
      <c r="F14" s="188"/>
      <c r="G14" s="503"/>
      <c r="H14" s="181">
        <v>11</v>
      </c>
      <c r="I14" s="160" t="s">
        <v>44</v>
      </c>
      <c r="J14" s="507">
        <v>116</v>
      </c>
      <c r="K14" s="160">
        <v>116</v>
      </c>
      <c r="L14" s="160">
        <f>+J14-K14</f>
        <v>0</v>
      </c>
    </row>
    <row r="15" spans="1:12" s="16" customFormat="1" ht="128.25" customHeight="1">
      <c r="A15" s="186" t="s">
        <v>83</v>
      </c>
      <c r="B15" s="183">
        <f>+D15*62</f>
        <v>50654</v>
      </c>
      <c r="C15" s="183">
        <f>+SUM(C13:C14)</f>
        <v>1000</v>
      </c>
      <c r="D15" s="183">
        <f>+SUM(D13:D14)</f>
        <v>817</v>
      </c>
      <c r="E15" s="184">
        <f>+SUM(E13:E14)</f>
        <v>183</v>
      </c>
      <c r="F15" s="188"/>
      <c r="G15" s="503"/>
      <c r="H15" s="183" t="s">
        <v>83</v>
      </c>
      <c r="I15" s="183">
        <f>+K15*29</f>
        <v>13456</v>
      </c>
      <c r="J15" s="506">
        <f>SUM(J11:J14)</f>
        <v>464</v>
      </c>
      <c r="K15" s="183">
        <f>SUM(K11:K14)</f>
        <v>464</v>
      </c>
      <c r="L15" s="183">
        <f>SUM(L11:L14)</f>
        <v>0</v>
      </c>
    </row>
    <row r="16" spans="1:12" s="16" customFormat="1" ht="69.75" customHeight="1">
      <c r="A16" s="598" t="s">
        <v>84</v>
      </c>
      <c r="B16" s="599"/>
      <c r="C16" s="605">
        <f>+B15/6</f>
        <v>8442.3333333333339</v>
      </c>
      <c r="D16" s="606"/>
      <c r="E16" s="607"/>
      <c r="F16" s="169"/>
      <c r="G16" s="190"/>
      <c r="H16" s="604" t="s">
        <v>84</v>
      </c>
      <c r="I16" s="599"/>
      <c r="J16" s="608">
        <f>+I15/2</f>
        <v>6728</v>
      </c>
      <c r="K16" s="609"/>
      <c r="L16" s="610"/>
    </row>
    <row r="17" spans="1:13" s="25" customFormat="1" ht="69.75" customHeight="1">
      <c r="A17" s="177">
        <v>2</v>
      </c>
      <c r="B17" s="191" t="s">
        <v>30</v>
      </c>
      <c r="C17" s="160">
        <v>565</v>
      </c>
      <c r="D17" s="249">
        <v>565</v>
      </c>
      <c r="E17" s="178">
        <f>+C17-D17</f>
        <v>0</v>
      </c>
      <c r="F17" s="192"/>
      <c r="G17" s="189"/>
      <c r="H17" s="193"/>
      <c r="I17" s="194"/>
      <c r="J17" s="194"/>
      <c r="K17" s="509"/>
      <c r="L17" s="198"/>
    </row>
    <row r="18" spans="1:13" s="25" customFormat="1" ht="69.75" customHeight="1">
      <c r="A18" s="177">
        <v>1</v>
      </c>
      <c r="B18" s="191" t="s">
        <v>30</v>
      </c>
      <c r="C18" s="160">
        <v>565</v>
      </c>
      <c r="D18" s="178">
        <v>565</v>
      </c>
      <c r="E18" s="178">
        <f>+C18-D18</f>
        <v>0</v>
      </c>
      <c r="F18" s="195"/>
      <c r="G18" s="189"/>
      <c r="H18" s="196"/>
      <c r="I18" s="197"/>
      <c r="J18" s="197"/>
      <c r="K18" s="509"/>
      <c r="L18" s="198"/>
    </row>
    <row r="19" spans="1:13" s="16" customFormat="1" ht="127.5" customHeight="1">
      <c r="A19" s="186" t="s">
        <v>83</v>
      </c>
      <c r="B19" s="183">
        <f>+D19*62</f>
        <v>70060</v>
      </c>
      <c r="C19" s="183">
        <f>+SUM(C17:C18)</f>
        <v>1130</v>
      </c>
      <c r="D19" s="183">
        <f>+SUM(D17:D18)</f>
        <v>1130</v>
      </c>
      <c r="E19" s="184">
        <f>+SUM(E17:E18)</f>
        <v>0</v>
      </c>
      <c r="F19" s="188"/>
      <c r="G19" s="189"/>
      <c r="H19" s="196"/>
      <c r="I19" s="197"/>
      <c r="J19" s="197"/>
      <c r="K19" s="509"/>
      <c r="L19" s="198"/>
    </row>
    <row r="20" spans="1:13" s="16" customFormat="1" ht="105.75" customHeight="1">
      <c r="A20" s="598" t="s">
        <v>84</v>
      </c>
      <c r="B20" s="599"/>
      <c r="C20" s="605">
        <f>+B19/6</f>
        <v>11676.666666666666</v>
      </c>
      <c r="D20" s="606"/>
      <c r="E20" s="607"/>
      <c r="F20" s="169"/>
      <c r="G20" s="187"/>
      <c r="H20" s="199"/>
      <c r="I20" s="200"/>
      <c r="J20" s="200"/>
      <c r="K20" s="509"/>
      <c r="L20" s="198"/>
    </row>
    <row r="21" spans="1:13" s="150" customFormat="1" ht="69.75" customHeight="1">
      <c r="A21" s="248"/>
      <c r="B21" s="593"/>
      <c r="C21" s="594"/>
      <c r="D21" s="201"/>
      <c r="E21" s="202"/>
      <c r="F21" s="203"/>
      <c r="G21" s="204"/>
      <c r="H21" s="202"/>
      <c r="I21" s="600"/>
      <c r="J21" s="601"/>
      <c r="K21" s="202"/>
      <c r="L21" s="508"/>
    </row>
    <row r="22" spans="1:13" ht="24.95" customHeight="1">
      <c r="A22" s="159"/>
      <c r="B22" s="159"/>
      <c r="C22" s="203"/>
      <c r="D22" s="203"/>
      <c r="E22" s="203"/>
      <c r="H22" s="203"/>
      <c r="I22" s="203"/>
      <c r="J22" s="203"/>
      <c r="K22" s="203"/>
      <c r="L22" s="203"/>
    </row>
    <row r="23" spans="1:13" ht="24.95" customHeight="1">
      <c r="A23" s="159"/>
      <c r="B23" s="159"/>
      <c r="C23" s="203"/>
      <c r="D23" s="203"/>
      <c r="E23" s="203"/>
      <c r="H23" s="203"/>
      <c r="I23" s="203"/>
      <c r="J23" s="203"/>
      <c r="K23" s="203"/>
      <c r="L23" s="203"/>
    </row>
    <row r="24" spans="1:13" ht="24.95" customHeight="1">
      <c r="A24" s="159"/>
      <c r="B24" s="159"/>
      <c r="C24" s="203"/>
      <c r="D24" s="203"/>
      <c r="E24" s="203"/>
      <c r="H24" s="203"/>
      <c r="I24" s="203"/>
      <c r="J24" s="203"/>
      <c r="K24" s="203"/>
      <c r="L24" s="203"/>
    </row>
    <row r="25" spans="1:13" ht="24.95" customHeight="1">
      <c r="A25" s="159"/>
      <c r="B25" s="159"/>
      <c r="C25" s="203"/>
      <c r="D25" s="203"/>
      <c r="E25" s="203"/>
      <c r="H25" s="203"/>
      <c r="I25" s="203"/>
      <c r="J25" s="159"/>
      <c r="K25" s="159"/>
      <c r="L25" s="159"/>
    </row>
    <row r="26" spans="1:13" ht="24.95" customHeight="1">
      <c r="A26" s="159"/>
      <c r="B26" s="159"/>
      <c r="C26" s="203"/>
      <c r="D26" s="203"/>
      <c r="E26" s="203"/>
      <c r="H26" s="159"/>
      <c r="I26" s="159"/>
      <c r="J26" s="159"/>
      <c r="K26" s="159"/>
      <c r="L26" s="159"/>
    </row>
    <row r="27" spans="1:13" ht="24.95" customHeight="1">
      <c r="A27" s="159"/>
      <c r="B27" s="159"/>
      <c r="C27" s="159"/>
      <c r="D27" s="159"/>
      <c r="E27" s="203"/>
      <c r="H27" s="159"/>
      <c r="I27" s="159"/>
      <c r="J27" s="159"/>
      <c r="K27" s="159"/>
      <c r="L27" s="159"/>
    </row>
    <row r="28" spans="1:13" ht="24.95" customHeight="1">
      <c r="A28" s="159"/>
      <c r="B28" s="159"/>
      <c r="C28" s="159"/>
      <c r="D28" s="159"/>
      <c r="E28" s="159"/>
      <c r="H28" s="159"/>
      <c r="I28" s="159"/>
      <c r="J28" s="159"/>
      <c r="K28" s="159"/>
      <c r="L28" s="159"/>
    </row>
    <row r="29" spans="1:13" ht="24.95" customHeight="1">
      <c r="A29" s="159"/>
      <c r="B29" s="159"/>
      <c r="C29" s="159"/>
      <c r="D29" s="159"/>
      <c r="E29" s="159"/>
      <c r="H29" s="159"/>
      <c r="I29" s="159"/>
      <c r="J29" s="159"/>
      <c r="K29" s="159"/>
      <c r="L29" s="159"/>
    </row>
    <row r="30" spans="1:13" ht="24.95" customHeight="1">
      <c r="A30" s="159"/>
      <c r="B30" s="159"/>
      <c r="C30" s="159"/>
      <c r="D30" s="159"/>
      <c r="E30" s="159"/>
      <c r="H30" s="159"/>
      <c r="I30" s="159"/>
      <c r="J30" s="159"/>
      <c r="K30" s="159"/>
      <c r="L30" s="159"/>
    </row>
    <row r="31" spans="1:13" ht="24.95" customHeight="1">
      <c r="A31" s="159"/>
      <c r="B31" s="159"/>
      <c r="C31" s="159"/>
      <c r="D31" s="159"/>
      <c r="E31" s="159"/>
      <c r="H31" s="159"/>
      <c r="I31" s="159"/>
      <c r="J31" s="159"/>
      <c r="K31" s="159"/>
      <c r="L31" s="159"/>
      <c r="M31">
        <f>90-42</f>
        <v>48</v>
      </c>
    </row>
    <row r="32" spans="1:13" ht="24.95" customHeight="1">
      <c r="A32" s="159"/>
      <c r="B32" s="159"/>
      <c r="C32" s="159"/>
      <c r="D32" s="159"/>
      <c r="E32" s="159"/>
      <c r="H32" s="159"/>
      <c r="I32" s="159"/>
      <c r="J32" s="159"/>
      <c r="K32" s="159"/>
      <c r="L32" s="159"/>
    </row>
    <row r="33" spans="1:12" ht="24.95" customHeight="1">
      <c r="A33" s="159"/>
      <c r="B33" s="159"/>
      <c r="C33" s="159"/>
      <c r="D33" s="159"/>
      <c r="E33" s="159"/>
      <c r="H33" s="159"/>
      <c r="I33" s="159"/>
      <c r="J33" s="159"/>
      <c r="K33" s="159"/>
      <c r="L33" s="159"/>
    </row>
    <row r="34" spans="1:12" ht="24.95" customHeight="1">
      <c r="A34" s="159"/>
      <c r="B34" s="159"/>
      <c r="C34" s="159"/>
      <c r="D34" s="159"/>
      <c r="E34" s="159"/>
      <c r="H34" s="159"/>
      <c r="I34" s="159"/>
      <c r="J34" s="159"/>
      <c r="K34" s="159"/>
      <c r="L34" s="159"/>
    </row>
    <row r="35" spans="1:12" ht="24.95" customHeight="1">
      <c r="A35" s="159"/>
      <c r="B35" s="159"/>
      <c r="C35" s="159"/>
      <c r="D35" s="159"/>
      <c r="E35" s="159"/>
      <c r="H35" s="159"/>
      <c r="I35" s="159"/>
      <c r="J35" s="159"/>
      <c r="K35" s="159"/>
    </row>
    <row r="36" spans="1:12" ht="24.95" customHeight="1">
      <c r="A36" s="159"/>
      <c r="B36" s="159"/>
      <c r="C36" s="159"/>
      <c r="D36" s="159"/>
      <c r="E36" s="159"/>
    </row>
    <row r="37" spans="1:12" ht="24.95" customHeight="1">
      <c r="A37" s="159"/>
      <c r="B37" s="159"/>
      <c r="C37" s="159"/>
      <c r="D37" s="159"/>
      <c r="E37" s="159"/>
    </row>
    <row r="38" spans="1:12" ht="24.95" customHeight="1">
      <c r="A38" s="159"/>
    </row>
    <row r="39" spans="1:12" ht="24.95" customHeight="1">
      <c r="A39" s="159"/>
    </row>
    <row r="40" spans="1:12" ht="24.95" customHeight="1">
      <c r="A40" s="159"/>
    </row>
    <row r="41" spans="1:12" ht="24.95" customHeight="1">
      <c r="A41" s="159"/>
    </row>
    <row r="42" spans="1:12" ht="24.95" customHeight="1">
      <c r="A42" s="159"/>
    </row>
    <row r="43" spans="1:12" ht="24.95" customHeight="1">
      <c r="A43" s="159"/>
    </row>
    <row r="44" spans="1:12" ht="24.95" customHeight="1">
      <c r="A44" s="159"/>
    </row>
    <row r="45" spans="1:12" ht="24.95" customHeight="1">
      <c r="A45" s="206"/>
    </row>
    <row r="46" spans="1:12" ht="24.95" customHeight="1">
      <c r="A46" s="206"/>
    </row>
    <row r="47" spans="1:12" ht="24.95" customHeight="1">
      <c r="A47" s="206"/>
    </row>
    <row r="48" spans="1:12" ht="24.95" customHeight="1">
      <c r="A48" s="206"/>
      <c r="H48" s="159"/>
      <c r="I48" s="159"/>
      <c r="J48" s="159"/>
      <c r="K48" s="159"/>
      <c r="L48" s="159"/>
    </row>
    <row r="49" spans="1:12" ht="24.95" customHeight="1">
      <c r="A49" s="206"/>
      <c r="H49" s="159"/>
      <c r="I49" s="159"/>
      <c r="J49" s="159"/>
      <c r="K49" s="159"/>
      <c r="L49" s="159"/>
    </row>
    <row r="50" spans="1:12" ht="24.95" customHeight="1">
      <c r="A50" s="206"/>
      <c r="B50" s="159"/>
      <c r="C50" s="159"/>
      <c r="D50" s="159"/>
      <c r="E50" s="159"/>
      <c r="H50" s="159"/>
      <c r="I50" s="159"/>
      <c r="J50" s="159"/>
      <c r="K50" s="159"/>
      <c r="L50" s="159"/>
    </row>
    <row r="51" spans="1:12" ht="24.95" customHeight="1">
      <c r="A51" s="206"/>
      <c r="B51" s="159"/>
      <c r="C51" s="159"/>
      <c r="D51" s="159"/>
      <c r="E51" s="159"/>
      <c r="H51" s="159"/>
      <c r="I51" s="159"/>
      <c r="J51" s="159"/>
      <c r="K51" s="159"/>
      <c r="L51" s="159"/>
    </row>
    <row r="52" spans="1:12" ht="24.95" customHeight="1">
      <c r="A52" s="206"/>
      <c r="B52" s="159"/>
      <c r="C52" s="159"/>
      <c r="D52" s="159"/>
      <c r="E52" s="159"/>
      <c r="H52" s="159"/>
      <c r="I52" s="159"/>
      <c r="J52" s="159"/>
      <c r="K52" s="159"/>
      <c r="L52" s="159"/>
    </row>
    <row r="53" spans="1:12" ht="24.95" customHeight="1">
      <c r="A53" s="206"/>
      <c r="B53" s="159"/>
      <c r="C53" s="159"/>
      <c r="D53" s="159"/>
      <c r="E53" s="159"/>
      <c r="H53" s="159"/>
      <c r="I53" s="159"/>
      <c r="J53" s="159"/>
      <c r="K53" s="159"/>
      <c r="L53" s="159"/>
    </row>
    <row r="54" spans="1:12" ht="24.95" customHeight="1">
      <c r="A54" s="206"/>
      <c r="B54" s="159"/>
      <c r="C54" s="159"/>
      <c r="D54" s="159"/>
      <c r="E54" s="159"/>
      <c r="H54" s="159"/>
      <c r="I54" s="159"/>
      <c r="J54" s="159"/>
      <c r="K54" s="159"/>
      <c r="L54" s="159"/>
    </row>
    <row r="55" spans="1:12" ht="24.95" customHeight="1">
      <c r="A55" s="206"/>
      <c r="B55" s="159"/>
      <c r="C55" s="159"/>
      <c r="D55" s="159"/>
      <c r="E55" s="159"/>
      <c r="H55" s="159"/>
      <c r="I55" s="159"/>
      <c r="J55" s="159"/>
      <c r="K55" s="159"/>
      <c r="L55" s="159"/>
    </row>
    <row r="56" spans="1:12" ht="24.95" customHeight="1">
      <c r="A56" s="206"/>
      <c r="B56" s="159"/>
      <c r="C56" s="159"/>
      <c r="D56" s="159"/>
      <c r="E56" s="159"/>
      <c r="H56" s="159"/>
      <c r="I56" s="159"/>
      <c r="J56" s="159"/>
      <c r="K56" s="159"/>
      <c r="L56" s="159"/>
    </row>
    <row r="57" spans="1:12" ht="24.95" customHeight="1">
      <c r="A57" s="206"/>
      <c r="B57" s="159"/>
      <c r="C57" s="159"/>
      <c r="D57" s="159"/>
      <c r="E57" s="159"/>
      <c r="H57" s="159"/>
      <c r="I57" s="159"/>
      <c r="J57" s="159"/>
      <c r="K57" s="159"/>
      <c r="L57" s="159"/>
    </row>
    <row r="58" spans="1:12" ht="24.95" customHeight="1">
      <c r="A58" s="206"/>
      <c r="B58" s="159"/>
      <c r="C58" s="159"/>
      <c r="D58" s="159"/>
      <c r="E58" s="159"/>
      <c r="H58" s="159"/>
      <c r="I58" s="159"/>
      <c r="J58" s="159"/>
      <c r="K58" s="159"/>
      <c r="L58" s="159"/>
    </row>
    <row r="59" spans="1:12" ht="24.95" customHeight="1">
      <c r="A59" s="206"/>
      <c r="B59" s="159"/>
      <c r="C59" s="159"/>
      <c r="D59" s="159"/>
      <c r="E59" s="159"/>
      <c r="H59" s="159"/>
      <c r="I59" s="159"/>
      <c r="J59" s="159"/>
      <c r="K59" s="159"/>
      <c r="L59" s="159"/>
    </row>
    <row r="60" spans="1:12" ht="24.95" customHeight="1">
      <c r="A60" s="206"/>
      <c r="B60" s="159"/>
      <c r="C60" s="159"/>
      <c r="D60" s="159"/>
      <c r="E60" s="159"/>
      <c r="H60" s="159"/>
      <c r="I60" s="159"/>
      <c r="J60" s="159"/>
      <c r="K60" s="159"/>
      <c r="L60" s="159"/>
    </row>
    <row r="61" spans="1:12" ht="24.95" customHeight="1">
      <c r="A61" s="206"/>
      <c r="B61" s="159"/>
      <c r="C61" s="159"/>
      <c r="D61" s="159"/>
      <c r="E61" s="159"/>
      <c r="H61" s="159"/>
      <c r="I61" s="159"/>
      <c r="J61" s="159"/>
      <c r="K61" s="159"/>
      <c r="L61" s="159"/>
    </row>
    <row r="62" spans="1:12" ht="24.95" customHeight="1">
      <c r="A62" s="206"/>
      <c r="B62" s="159"/>
      <c r="C62" s="159"/>
      <c r="D62" s="159"/>
      <c r="E62" s="159"/>
      <c r="H62" s="159"/>
      <c r="I62" s="159"/>
      <c r="J62" s="159"/>
      <c r="K62" s="159"/>
      <c r="L62" s="159"/>
    </row>
    <row r="63" spans="1:12" ht="24.95" customHeight="1">
      <c r="A63" s="206"/>
      <c r="B63" s="159"/>
      <c r="C63" s="159"/>
      <c r="D63" s="159"/>
      <c r="E63" s="159"/>
      <c r="H63" s="159"/>
      <c r="I63" s="159"/>
      <c r="J63" s="159"/>
      <c r="K63" s="159"/>
      <c r="L63" s="159"/>
    </row>
    <row r="64" spans="1:12" ht="24.95" customHeight="1">
      <c r="A64" s="206"/>
      <c r="B64" s="159"/>
      <c r="C64" s="159"/>
      <c r="D64" s="159"/>
      <c r="E64" s="159"/>
      <c r="H64" s="159"/>
      <c r="I64" s="159"/>
      <c r="J64" s="159"/>
      <c r="K64" s="159"/>
      <c r="L64" s="159"/>
    </row>
    <row r="65" spans="1:12" ht="24.95" customHeight="1">
      <c r="A65" s="206"/>
      <c r="B65" s="159"/>
      <c r="C65" s="159"/>
      <c r="D65" s="159"/>
      <c r="E65" s="159"/>
      <c r="H65" s="159"/>
      <c r="I65" s="159"/>
      <c r="J65" s="159"/>
      <c r="K65" s="159"/>
      <c r="L65" s="159"/>
    </row>
    <row r="66" spans="1:12" ht="24.95" customHeight="1">
      <c r="A66" s="206"/>
      <c r="B66" s="159"/>
      <c r="C66" s="159"/>
      <c r="D66" s="159"/>
      <c r="E66" s="159"/>
      <c r="H66" s="159"/>
      <c r="I66" s="159"/>
      <c r="J66" s="159"/>
      <c r="K66" s="159"/>
      <c r="L66" s="159"/>
    </row>
    <row r="67" spans="1:12" ht="24.95" customHeight="1">
      <c r="A67" s="206"/>
      <c r="B67" s="159"/>
      <c r="C67" s="159"/>
      <c r="D67" s="159"/>
      <c r="E67" s="159"/>
      <c r="H67" s="159"/>
      <c r="I67" s="159"/>
      <c r="J67" s="159"/>
      <c r="K67" s="159"/>
      <c r="L67" s="159"/>
    </row>
    <row r="68" spans="1:12" ht="24.95" customHeight="1">
      <c r="A68" s="206"/>
      <c r="B68" s="159"/>
      <c r="C68" s="159"/>
      <c r="D68" s="159"/>
      <c r="E68" s="159"/>
      <c r="H68" s="159"/>
      <c r="I68" s="159"/>
      <c r="J68" s="159"/>
      <c r="K68" s="159"/>
      <c r="L68" s="159"/>
    </row>
    <row r="69" spans="1:12" ht="24.95" customHeight="1">
      <c r="A69" s="206"/>
      <c r="B69" s="159"/>
      <c r="C69" s="159"/>
      <c r="D69" s="159"/>
      <c r="E69" s="159"/>
      <c r="H69" s="159"/>
      <c r="I69" s="159"/>
      <c r="J69" s="159"/>
      <c r="K69" s="159"/>
      <c r="L69" s="159"/>
    </row>
    <row r="70" spans="1:12" ht="24.95" customHeight="1">
      <c r="A70" s="206"/>
      <c r="B70" s="159"/>
      <c r="C70" s="159"/>
      <c r="D70" s="159"/>
      <c r="E70" s="159"/>
      <c r="H70" s="159"/>
      <c r="I70" s="159"/>
      <c r="J70" s="159"/>
      <c r="K70" s="159"/>
      <c r="L70" s="159"/>
    </row>
    <row r="71" spans="1:12" ht="24.95" customHeight="1">
      <c r="A71" s="206"/>
      <c r="B71" s="159"/>
      <c r="C71" s="159"/>
      <c r="D71" s="159"/>
      <c r="E71" s="159"/>
      <c r="H71" s="159"/>
      <c r="I71" s="159"/>
      <c r="J71" s="159"/>
      <c r="K71" s="159"/>
      <c r="L71" s="159"/>
    </row>
    <row r="72" spans="1:12" ht="24.95" customHeight="1">
      <c r="A72" s="206"/>
      <c r="B72" s="159"/>
      <c r="C72" s="159"/>
      <c r="D72" s="159"/>
      <c r="E72" s="159"/>
      <c r="H72" s="159"/>
      <c r="I72" s="159"/>
      <c r="J72" s="159"/>
      <c r="K72" s="159"/>
      <c r="L72" s="159"/>
    </row>
    <row r="73" spans="1:12" ht="24.95" customHeight="1">
      <c r="A73" s="206"/>
      <c r="B73" s="159"/>
      <c r="C73" s="159"/>
      <c r="D73" s="159"/>
      <c r="E73" s="159"/>
      <c r="H73" s="159"/>
      <c r="I73" s="159"/>
      <c r="J73" s="159"/>
      <c r="K73" s="159"/>
      <c r="L73" s="159"/>
    </row>
    <row r="74" spans="1:12" ht="24.95" customHeight="1">
      <c r="A74" s="206"/>
      <c r="B74" s="159"/>
      <c r="C74" s="159"/>
      <c r="D74" s="159"/>
      <c r="E74" s="159"/>
      <c r="H74" s="159"/>
      <c r="I74" s="159"/>
      <c r="J74" s="159"/>
      <c r="K74" s="159"/>
      <c r="L74" s="159"/>
    </row>
    <row r="75" spans="1:12" ht="24.95" customHeight="1">
      <c r="A75" s="206"/>
      <c r="B75" s="159"/>
      <c r="C75" s="159"/>
      <c r="D75" s="159"/>
      <c r="E75" s="159"/>
      <c r="H75" s="159"/>
      <c r="I75" s="159"/>
      <c r="J75" s="159"/>
      <c r="K75" s="159"/>
      <c r="L75" s="159"/>
    </row>
    <row r="76" spans="1:12" ht="24.95" customHeight="1">
      <c r="A76" s="206"/>
      <c r="B76" s="159"/>
      <c r="C76" s="159"/>
      <c r="D76" s="159"/>
      <c r="E76" s="159"/>
      <c r="H76" s="159"/>
      <c r="I76" s="159"/>
      <c r="J76" s="159"/>
      <c r="K76" s="159"/>
      <c r="L76" s="159"/>
    </row>
    <row r="77" spans="1:12" ht="24.95" customHeight="1">
      <c r="A77" s="206"/>
      <c r="B77" s="159"/>
      <c r="C77" s="159"/>
      <c r="D77" s="159"/>
      <c r="E77" s="159"/>
      <c r="H77" s="159"/>
      <c r="I77" s="159"/>
      <c r="J77" s="159"/>
      <c r="K77" s="159"/>
      <c r="L77" s="159"/>
    </row>
    <row r="78" spans="1:12" ht="24.95" customHeight="1">
      <c r="A78" s="206"/>
      <c r="B78" s="159"/>
      <c r="C78" s="159"/>
      <c r="D78" s="159"/>
      <c r="E78" s="159"/>
      <c r="H78" s="159"/>
      <c r="I78" s="159"/>
      <c r="J78" s="159"/>
      <c r="K78" s="159"/>
      <c r="L78" s="159"/>
    </row>
    <row r="79" spans="1:12" ht="24.95" customHeight="1">
      <c r="A79" s="206"/>
      <c r="B79" s="159"/>
      <c r="C79" s="159"/>
      <c r="D79" s="159"/>
      <c r="E79" s="159"/>
      <c r="H79" s="159"/>
      <c r="I79" s="159"/>
      <c r="J79" s="159"/>
      <c r="K79" s="159"/>
      <c r="L79" s="159"/>
    </row>
    <row r="80" spans="1:12" ht="24.95" customHeight="1">
      <c r="A80" s="206"/>
      <c r="B80" s="159"/>
      <c r="C80" s="159"/>
      <c r="D80" s="159"/>
      <c r="E80" s="159"/>
      <c r="H80" s="159"/>
      <c r="I80" s="159"/>
      <c r="J80" s="159"/>
      <c r="K80" s="159"/>
      <c r="L80" s="159"/>
    </row>
    <row r="81" spans="1:12" ht="24.95" customHeight="1">
      <c r="A81" s="206"/>
      <c r="B81" s="159"/>
      <c r="C81" s="159"/>
      <c r="D81" s="159"/>
      <c r="E81" s="159"/>
      <c r="H81" s="159"/>
      <c r="I81" s="159"/>
      <c r="J81" s="159"/>
      <c r="K81" s="159"/>
      <c r="L81" s="159"/>
    </row>
    <row r="82" spans="1:12" ht="24.95" customHeight="1">
      <c r="A82" s="206"/>
      <c r="B82" s="159"/>
      <c r="C82" s="159"/>
      <c r="D82" s="159"/>
      <c r="E82" s="159"/>
      <c r="H82" s="159"/>
      <c r="I82" s="159"/>
      <c r="J82" s="159"/>
      <c r="K82" s="159"/>
      <c r="L82" s="159"/>
    </row>
    <row r="83" spans="1:12" ht="24.95" customHeight="1">
      <c r="A83" s="206"/>
      <c r="B83" s="159"/>
      <c r="C83" s="159"/>
      <c r="D83" s="159"/>
      <c r="E83" s="159"/>
      <c r="H83" s="159"/>
      <c r="I83" s="159"/>
      <c r="J83" s="159"/>
      <c r="K83" s="159"/>
      <c r="L83" s="159"/>
    </row>
    <row r="84" spans="1:12" ht="24.95" customHeight="1">
      <c r="A84" s="206"/>
      <c r="B84" s="159"/>
      <c r="C84" s="159"/>
      <c r="D84" s="159"/>
      <c r="E84" s="159"/>
      <c r="H84" s="159"/>
      <c r="I84" s="159"/>
      <c r="J84" s="159"/>
      <c r="K84" s="159"/>
      <c r="L84" s="159"/>
    </row>
    <row r="85" spans="1:12" ht="24.95" customHeight="1">
      <c r="A85" s="206"/>
      <c r="B85" s="159"/>
      <c r="C85" s="159"/>
      <c r="D85" s="159"/>
      <c r="E85" s="159"/>
      <c r="H85" s="159"/>
      <c r="I85" s="159"/>
      <c r="J85" s="159"/>
      <c r="K85" s="159"/>
      <c r="L85" s="159"/>
    </row>
    <row r="86" spans="1:12" ht="24.95" customHeight="1">
      <c r="A86" s="206"/>
      <c r="B86" s="159"/>
      <c r="C86" s="159"/>
      <c r="D86" s="159"/>
      <c r="E86" s="159"/>
      <c r="H86" s="159"/>
      <c r="I86" s="159"/>
      <c r="J86" s="159"/>
      <c r="K86" s="159"/>
      <c r="L86" s="159"/>
    </row>
    <row r="87" spans="1:12" ht="24.95" customHeight="1">
      <c r="A87" s="206"/>
      <c r="B87" s="159"/>
      <c r="C87" s="159"/>
      <c r="D87" s="159"/>
      <c r="E87" s="159"/>
      <c r="H87" s="159"/>
      <c r="I87" s="159"/>
      <c r="J87" s="159"/>
      <c r="K87" s="159"/>
      <c r="L87" s="159"/>
    </row>
    <row r="88" spans="1:12" ht="24.95" customHeight="1">
      <c r="A88" s="206"/>
      <c r="B88" s="159"/>
      <c r="C88" s="159"/>
      <c r="D88" s="159"/>
      <c r="E88" s="159"/>
      <c r="H88" s="159"/>
      <c r="I88" s="159"/>
      <c r="J88" s="159"/>
      <c r="K88" s="159"/>
      <c r="L88" s="159"/>
    </row>
    <row r="89" spans="1:12" ht="24.95" customHeight="1">
      <c r="A89" s="206"/>
      <c r="B89" s="159"/>
      <c r="C89" s="159"/>
      <c r="D89" s="159"/>
      <c r="E89" s="159"/>
      <c r="H89" s="159"/>
      <c r="I89" s="159"/>
      <c r="J89" s="159"/>
      <c r="K89" s="159"/>
      <c r="L89" s="159"/>
    </row>
    <row r="90" spans="1:12" ht="24.95" customHeight="1">
      <c r="A90" s="206"/>
      <c r="B90" s="159"/>
      <c r="C90" s="159"/>
      <c r="D90" s="159"/>
      <c r="E90" s="159"/>
      <c r="H90" s="159"/>
      <c r="I90" s="159"/>
      <c r="J90" s="159"/>
      <c r="K90" s="159"/>
      <c r="L90" s="159"/>
    </row>
    <row r="91" spans="1:12" ht="24.95" customHeight="1">
      <c r="A91" s="206"/>
      <c r="B91" s="159"/>
      <c r="C91" s="159"/>
      <c r="D91" s="159"/>
      <c r="E91" s="159"/>
      <c r="H91" s="159"/>
      <c r="I91" s="159"/>
      <c r="J91" s="159"/>
      <c r="K91" s="159"/>
      <c r="L91" s="159"/>
    </row>
    <row r="92" spans="1:12" ht="24.95" customHeight="1">
      <c r="A92" s="206"/>
      <c r="B92" s="159"/>
      <c r="C92" s="159"/>
      <c r="D92" s="159"/>
      <c r="E92" s="159"/>
      <c r="H92" s="159"/>
      <c r="I92" s="159"/>
      <c r="J92" s="159"/>
      <c r="K92" s="159"/>
      <c r="L92" s="159"/>
    </row>
    <row r="93" spans="1:12" ht="24.95" customHeight="1">
      <c r="A93" s="206"/>
      <c r="B93" s="159"/>
      <c r="C93" s="159"/>
      <c r="D93" s="159"/>
      <c r="E93" s="159"/>
      <c r="H93" s="159"/>
      <c r="I93" s="159"/>
      <c r="J93" s="159"/>
      <c r="K93" s="159"/>
      <c r="L93" s="159"/>
    </row>
    <row r="94" spans="1:12" ht="24.95" customHeight="1">
      <c r="A94" s="206"/>
      <c r="B94" s="159"/>
      <c r="C94" s="159"/>
      <c r="D94" s="159"/>
      <c r="E94" s="159"/>
      <c r="H94" s="159"/>
      <c r="I94" s="159"/>
      <c r="J94" s="159"/>
      <c r="K94" s="159"/>
      <c r="L94" s="159"/>
    </row>
    <row r="95" spans="1:12" ht="24.95" customHeight="1">
      <c r="A95" s="206"/>
      <c r="B95" s="159"/>
      <c r="C95" s="159"/>
      <c r="D95" s="159"/>
      <c r="E95" s="159"/>
      <c r="H95" s="159"/>
      <c r="I95" s="159"/>
      <c r="J95" s="159"/>
      <c r="K95" s="159"/>
      <c r="L95" s="159"/>
    </row>
    <row r="96" spans="1:12" ht="24.95" customHeight="1">
      <c r="A96" s="206"/>
      <c r="B96" s="159"/>
      <c r="C96" s="159"/>
      <c r="D96" s="159"/>
      <c r="E96" s="159"/>
      <c r="H96" s="159"/>
      <c r="I96" s="159"/>
      <c r="J96" s="159"/>
      <c r="K96" s="159"/>
      <c r="L96" s="159"/>
    </row>
    <row r="97" spans="1:12" ht="24.95" customHeight="1">
      <c r="A97" s="206"/>
      <c r="B97" s="159"/>
      <c r="C97" s="159"/>
      <c r="D97" s="159"/>
      <c r="E97" s="159"/>
      <c r="H97" s="159"/>
      <c r="I97" s="159"/>
      <c r="J97" s="159"/>
      <c r="K97" s="159"/>
      <c r="L97" s="159"/>
    </row>
    <row r="98" spans="1:12" ht="24.95" customHeight="1">
      <c r="A98" s="206"/>
      <c r="B98" s="159"/>
      <c r="C98" s="159"/>
      <c r="D98" s="159"/>
      <c r="E98" s="159"/>
      <c r="H98" s="159"/>
      <c r="I98" s="159"/>
      <c r="J98" s="159"/>
      <c r="K98" s="159"/>
      <c r="L98" s="159"/>
    </row>
    <row r="99" spans="1:12" ht="24.95" customHeight="1">
      <c r="A99" s="206"/>
      <c r="B99" s="159"/>
      <c r="C99" s="159"/>
      <c r="D99" s="159"/>
      <c r="E99" s="159"/>
      <c r="H99" s="159"/>
      <c r="I99" s="159"/>
      <c r="J99" s="159"/>
      <c r="K99" s="159"/>
      <c r="L99" s="159"/>
    </row>
    <row r="100" spans="1:12" ht="24.95" customHeight="1">
      <c r="A100" s="206"/>
      <c r="B100" s="159"/>
      <c r="C100" s="159"/>
      <c r="D100" s="159"/>
      <c r="E100" s="159"/>
      <c r="H100" s="159"/>
      <c r="I100" s="159"/>
      <c r="J100" s="159"/>
      <c r="K100" s="159"/>
      <c r="L100" s="159"/>
    </row>
    <row r="101" spans="1:12" ht="24.95" customHeight="1">
      <c r="A101" s="206"/>
      <c r="B101" s="159"/>
      <c r="C101" s="159"/>
      <c r="D101" s="159"/>
      <c r="E101" s="159"/>
      <c r="H101" s="159"/>
      <c r="I101" s="159"/>
      <c r="J101" s="159"/>
      <c r="K101" s="159"/>
      <c r="L101" s="159"/>
    </row>
    <row r="102" spans="1:12" ht="24.95" customHeight="1">
      <c r="A102" s="206"/>
      <c r="B102" s="159"/>
      <c r="C102" s="159"/>
      <c r="D102" s="159"/>
      <c r="E102" s="159"/>
      <c r="H102" s="159"/>
      <c r="I102" s="159"/>
      <c r="J102" s="159"/>
      <c r="K102" s="159"/>
      <c r="L102" s="159"/>
    </row>
    <row r="103" spans="1:12" ht="24.95" customHeight="1">
      <c r="A103" s="206"/>
      <c r="B103" s="159"/>
      <c r="C103" s="159"/>
      <c r="D103" s="159"/>
      <c r="E103" s="159"/>
      <c r="H103" s="159"/>
      <c r="I103" s="159"/>
      <c r="J103" s="159"/>
      <c r="K103" s="159"/>
      <c r="L103" s="159"/>
    </row>
    <row r="104" spans="1:12" ht="24.95" customHeight="1">
      <c r="A104" s="206"/>
      <c r="B104" s="159"/>
      <c r="C104" s="159"/>
      <c r="D104" s="159"/>
      <c r="E104" s="159"/>
      <c r="H104" s="159"/>
      <c r="I104" s="159"/>
      <c r="J104" s="159"/>
      <c r="K104" s="159"/>
      <c r="L104" s="159"/>
    </row>
    <row r="105" spans="1:12" ht="24.95" customHeight="1">
      <c r="A105" s="206"/>
      <c r="B105" s="159"/>
      <c r="C105" s="159"/>
      <c r="D105" s="159"/>
      <c r="E105" s="159"/>
      <c r="H105" s="159"/>
      <c r="I105" s="159"/>
      <c r="J105" s="159"/>
      <c r="K105" s="159"/>
      <c r="L105" s="159"/>
    </row>
    <row r="106" spans="1:12" ht="24.95" customHeight="1">
      <c r="A106" s="206"/>
      <c r="B106" s="159"/>
      <c r="C106" s="159"/>
      <c r="D106" s="159"/>
      <c r="E106" s="159"/>
      <c r="H106" s="159"/>
      <c r="I106" s="159"/>
      <c r="J106" s="159"/>
      <c r="K106" s="159"/>
      <c r="L106" s="159"/>
    </row>
    <row r="107" spans="1:12" ht="24.95" customHeight="1">
      <c r="A107" s="206"/>
      <c r="B107" s="159"/>
      <c r="C107" s="159"/>
      <c r="D107" s="159"/>
      <c r="E107" s="159"/>
      <c r="H107" s="159"/>
      <c r="I107" s="159"/>
      <c r="J107" s="159"/>
      <c r="K107" s="159"/>
      <c r="L107" s="159"/>
    </row>
    <row r="108" spans="1:12" ht="24.95" customHeight="1">
      <c r="A108" s="206"/>
      <c r="B108" s="159"/>
      <c r="C108" s="159"/>
      <c r="D108" s="159"/>
      <c r="E108" s="159"/>
      <c r="H108" s="159"/>
      <c r="I108" s="159"/>
      <c r="J108" s="159"/>
      <c r="K108" s="159"/>
      <c r="L108" s="159"/>
    </row>
    <row r="109" spans="1:12" ht="24.95" customHeight="1">
      <c r="A109" s="206"/>
      <c r="B109" s="159"/>
      <c r="C109" s="159"/>
      <c r="D109" s="159"/>
      <c r="E109" s="159"/>
      <c r="H109" s="159"/>
      <c r="I109" s="159"/>
      <c r="J109" s="159"/>
      <c r="K109" s="159"/>
      <c r="L109" s="159"/>
    </row>
    <row r="110" spans="1:12" ht="24.95" customHeight="1">
      <c r="A110" s="206"/>
      <c r="B110" s="159"/>
      <c r="C110" s="159"/>
      <c r="D110" s="159"/>
      <c r="E110" s="159"/>
      <c r="H110" s="159"/>
      <c r="I110" s="159"/>
      <c r="J110" s="159"/>
      <c r="K110" s="159"/>
      <c r="L110" s="159"/>
    </row>
    <row r="111" spans="1:12" ht="24.95" customHeight="1">
      <c r="A111" s="206"/>
      <c r="B111" s="159"/>
      <c r="C111" s="159"/>
      <c r="D111" s="159"/>
      <c r="E111" s="159"/>
      <c r="H111" s="159"/>
      <c r="I111" s="159"/>
      <c r="J111" s="159"/>
      <c r="K111" s="159"/>
      <c r="L111" s="159"/>
    </row>
    <row r="112" spans="1:12" ht="24.95" customHeight="1">
      <c r="A112" s="206"/>
      <c r="B112" s="159"/>
      <c r="C112" s="159"/>
      <c r="D112" s="159"/>
      <c r="E112" s="159"/>
      <c r="H112" s="159"/>
      <c r="I112" s="159"/>
      <c r="J112" s="159"/>
      <c r="K112" s="159"/>
      <c r="L112" s="159"/>
    </row>
    <row r="113" spans="1:12" ht="24.95" customHeight="1">
      <c r="A113" s="206"/>
      <c r="B113" s="159"/>
      <c r="C113" s="159"/>
      <c r="D113" s="159"/>
      <c r="E113" s="159"/>
      <c r="H113" s="159"/>
      <c r="I113" s="159"/>
      <c r="J113" s="159"/>
      <c r="K113" s="159"/>
      <c r="L113" s="159"/>
    </row>
    <row r="114" spans="1:12" ht="24.95" customHeight="1">
      <c r="A114" s="206"/>
      <c r="B114" s="159"/>
      <c r="C114" s="159"/>
      <c r="D114" s="159"/>
      <c r="E114" s="159"/>
      <c r="H114" s="159"/>
      <c r="I114" s="159"/>
      <c r="J114" s="159"/>
      <c r="K114" s="159"/>
      <c r="L114" s="159"/>
    </row>
    <row r="115" spans="1:12" ht="24.95" customHeight="1">
      <c r="A115" s="206"/>
      <c r="B115" s="159"/>
      <c r="C115" s="159"/>
      <c r="D115" s="159"/>
      <c r="E115" s="159"/>
      <c r="H115" s="159"/>
      <c r="I115" s="159"/>
      <c r="J115" s="159"/>
      <c r="K115" s="159"/>
      <c r="L115" s="159"/>
    </row>
    <row r="116" spans="1:12" ht="24.95" customHeight="1">
      <c r="A116" s="206"/>
      <c r="B116" s="159"/>
      <c r="C116" s="159"/>
      <c r="D116" s="159"/>
      <c r="E116" s="159"/>
      <c r="H116" s="159"/>
      <c r="I116" s="159"/>
      <c r="J116" s="159"/>
      <c r="K116" s="159"/>
      <c r="L116" s="159"/>
    </row>
    <row r="117" spans="1:12" ht="24.95" customHeight="1">
      <c r="A117" s="206"/>
      <c r="B117" s="159"/>
      <c r="C117" s="159"/>
      <c r="D117" s="159"/>
      <c r="E117" s="159"/>
      <c r="H117" s="159"/>
      <c r="I117" s="159"/>
      <c r="J117" s="159"/>
      <c r="K117" s="159"/>
      <c r="L117" s="159"/>
    </row>
    <row r="118" spans="1:12" ht="24.95" customHeight="1">
      <c r="A118" s="206"/>
      <c r="B118" s="159"/>
      <c r="C118" s="159"/>
      <c r="D118" s="159"/>
      <c r="E118" s="159"/>
      <c r="H118" s="159"/>
      <c r="I118" s="159"/>
      <c r="J118" s="159"/>
      <c r="K118" s="159"/>
      <c r="L118" s="159"/>
    </row>
    <row r="119" spans="1:12" ht="24.95" customHeight="1">
      <c r="A119" s="206"/>
      <c r="B119" s="159"/>
      <c r="C119" s="159"/>
      <c r="D119" s="159"/>
      <c r="E119" s="159"/>
      <c r="H119" s="159"/>
      <c r="I119" s="159"/>
      <c r="J119" s="159"/>
      <c r="K119" s="159"/>
      <c r="L119" s="159"/>
    </row>
    <row r="120" spans="1:12" ht="24.95" customHeight="1">
      <c r="A120" s="206"/>
      <c r="B120" s="159"/>
      <c r="C120" s="159"/>
      <c r="D120" s="159"/>
      <c r="E120" s="159"/>
      <c r="H120" s="159"/>
      <c r="I120" s="159"/>
      <c r="J120" s="159"/>
      <c r="K120" s="159"/>
      <c r="L120" s="159"/>
    </row>
    <row r="121" spans="1:12" ht="24.95" customHeight="1">
      <c r="A121" s="206"/>
      <c r="B121" s="159"/>
      <c r="C121" s="159"/>
      <c r="D121" s="159"/>
      <c r="E121" s="159"/>
      <c r="H121" s="159"/>
      <c r="I121" s="159"/>
      <c r="J121" s="159"/>
      <c r="K121" s="159"/>
      <c r="L121" s="159"/>
    </row>
    <row r="122" spans="1:12" ht="24.95" customHeight="1">
      <c r="A122" s="206"/>
      <c r="B122" s="159"/>
      <c r="C122" s="159"/>
      <c r="D122" s="159"/>
      <c r="E122" s="159"/>
      <c r="H122" s="159"/>
      <c r="I122" s="159"/>
      <c r="J122" s="159"/>
      <c r="K122" s="159"/>
      <c r="L122" s="159"/>
    </row>
    <row r="123" spans="1:12" ht="24.95" customHeight="1">
      <c r="A123" s="206"/>
      <c r="B123" s="159"/>
      <c r="C123" s="159"/>
      <c r="D123" s="159"/>
      <c r="E123" s="159"/>
      <c r="H123" s="159"/>
      <c r="I123" s="159"/>
      <c r="J123" s="159"/>
      <c r="K123" s="159"/>
      <c r="L123" s="159"/>
    </row>
    <row r="124" spans="1:12" ht="24.95" customHeight="1">
      <c r="A124" s="206"/>
      <c r="B124" s="159"/>
      <c r="C124" s="159"/>
      <c r="D124" s="159"/>
      <c r="E124" s="159"/>
      <c r="H124" s="159"/>
      <c r="I124" s="159"/>
      <c r="J124" s="159"/>
      <c r="K124" s="159"/>
      <c r="L124" s="159"/>
    </row>
    <row r="125" spans="1:12" ht="24.95" customHeight="1">
      <c r="A125" s="206"/>
      <c r="B125" s="159"/>
      <c r="C125" s="159"/>
      <c r="D125" s="159"/>
      <c r="E125" s="159"/>
      <c r="H125" s="159"/>
      <c r="I125" s="159"/>
      <c r="J125" s="159"/>
      <c r="K125" s="159"/>
      <c r="L125" s="159"/>
    </row>
    <row r="126" spans="1:12" ht="24.95" customHeight="1">
      <c r="A126" s="206"/>
      <c r="B126" s="159"/>
      <c r="C126" s="159"/>
      <c r="D126" s="159"/>
      <c r="E126" s="159"/>
      <c r="H126" s="159"/>
      <c r="I126" s="159"/>
      <c r="J126" s="159"/>
      <c r="K126" s="159"/>
      <c r="L126" s="159"/>
    </row>
    <row r="127" spans="1:12" ht="24.95" customHeight="1">
      <c r="A127" s="206"/>
      <c r="B127" s="159"/>
      <c r="C127" s="159"/>
      <c r="D127" s="159"/>
      <c r="E127" s="159"/>
      <c r="H127" s="159"/>
      <c r="I127" s="159"/>
      <c r="J127" s="159"/>
      <c r="K127" s="159"/>
      <c r="L127" s="159"/>
    </row>
    <row r="128" spans="1:12" ht="24.95" customHeight="1">
      <c r="A128" s="206"/>
      <c r="B128" s="159"/>
      <c r="C128" s="159"/>
      <c r="D128" s="159"/>
      <c r="E128" s="159"/>
      <c r="H128" s="159"/>
      <c r="I128" s="159"/>
      <c r="J128" s="159"/>
      <c r="K128" s="159"/>
      <c r="L128" s="159"/>
    </row>
    <row r="129" spans="1:12" ht="24.95" customHeight="1">
      <c r="A129" s="206"/>
      <c r="B129" s="159"/>
      <c r="C129" s="159"/>
      <c r="D129" s="159"/>
      <c r="E129" s="159"/>
      <c r="H129" s="159"/>
      <c r="I129" s="159"/>
      <c r="J129" s="159"/>
      <c r="K129" s="159"/>
      <c r="L129" s="159"/>
    </row>
    <row r="130" spans="1:12" ht="24.95" customHeight="1">
      <c r="A130" s="206"/>
      <c r="B130" s="159"/>
      <c r="C130" s="159"/>
      <c r="D130" s="159"/>
      <c r="E130" s="159"/>
      <c r="H130" s="159"/>
      <c r="I130" s="159"/>
      <c r="J130" s="159"/>
      <c r="K130" s="159"/>
      <c r="L130" s="159"/>
    </row>
    <row r="131" spans="1:12" ht="24.95" customHeight="1">
      <c r="A131" s="206"/>
      <c r="B131" s="159"/>
      <c r="C131" s="159"/>
      <c r="D131" s="159"/>
      <c r="E131" s="159"/>
      <c r="H131" s="159"/>
      <c r="I131" s="159"/>
      <c r="J131" s="159"/>
      <c r="K131" s="159"/>
      <c r="L131" s="159"/>
    </row>
    <row r="132" spans="1:12" ht="24.95" customHeight="1">
      <c r="A132" s="206"/>
      <c r="B132" s="159"/>
      <c r="C132" s="159"/>
      <c r="D132" s="159"/>
      <c r="E132" s="159"/>
      <c r="H132" s="159"/>
      <c r="I132" s="159"/>
      <c r="J132" s="159"/>
      <c r="K132" s="159"/>
      <c r="L132" s="159"/>
    </row>
    <row r="133" spans="1:12" ht="24.95" customHeight="1">
      <c r="A133" s="206"/>
      <c r="B133" s="159"/>
      <c r="C133" s="159"/>
      <c r="D133" s="159"/>
      <c r="E133" s="159"/>
      <c r="H133" s="159"/>
      <c r="I133" s="159"/>
      <c r="J133" s="159"/>
      <c r="K133" s="159"/>
      <c r="L133" s="159"/>
    </row>
    <row r="134" spans="1:12" ht="24.95" customHeight="1">
      <c r="A134" s="206"/>
      <c r="B134" s="159"/>
      <c r="C134" s="159"/>
      <c r="D134" s="159"/>
      <c r="E134" s="159"/>
      <c r="H134" s="159"/>
      <c r="I134" s="159"/>
      <c r="J134" s="159"/>
      <c r="K134" s="159"/>
      <c r="L134" s="159"/>
    </row>
    <row r="135" spans="1:12" ht="24.95" customHeight="1">
      <c r="A135" s="206"/>
      <c r="B135" s="159"/>
      <c r="C135" s="159"/>
      <c r="D135" s="159"/>
      <c r="E135" s="159"/>
      <c r="H135" s="159"/>
      <c r="I135" s="159"/>
      <c r="J135" s="159"/>
      <c r="K135" s="159"/>
      <c r="L135" s="159"/>
    </row>
    <row r="136" spans="1:12" ht="24.95" customHeight="1">
      <c r="A136" s="206"/>
      <c r="B136" s="159"/>
      <c r="C136" s="159"/>
      <c r="D136" s="159"/>
      <c r="E136" s="159"/>
      <c r="H136" s="159"/>
      <c r="I136" s="159"/>
      <c r="J136" s="159"/>
      <c r="K136" s="159"/>
      <c r="L136" s="159"/>
    </row>
    <row r="137" spans="1:12" ht="24.95" customHeight="1">
      <c r="A137" s="206"/>
      <c r="B137" s="159"/>
      <c r="C137" s="159"/>
      <c r="D137" s="159"/>
      <c r="E137" s="159"/>
      <c r="H137" s="159"/>
      <c r="I137" s="159"/>
      <c r="J137" s="159"/>
      <c r="K137" s="159"/>
      <c r="L137" s="159"/>
    </row>
    <row r="138" spans="1:12" ht="24.95" customHeight="1">
      <c r="A138" s="206"/>
      <c r="B138" s="159"/>
      <c r="C138" s="159"/>
      <c r="D138" s="159"/>
      <c r="E138" s="159"/>
      <c r="H138" s="159"/>
      <c r="I138" s="159"/>
      <c r="J138" s="159"/>
      <c r="K138" s="159"/>
      <c r="L138" s="159"/>
    </row>
    <row r="139" spans="1:12" ht="24.95" customHeight="1">
      <c r="A139" s="206"/>
      <c r="B139" s="159"/>
      <c r="C139" s="159"/>
      <c r="D139" s="159"/>
      <c r="E139" s="159"/>
      <c r="H139" s="159"/>
      <c r="I139" s="159"/>
      <c r="J139" s="159"/>
      <c r="K139" s="159"/>
      <c r="L139" s="159"/>
    </row>
    <row r="140" spans="1:12" ht="24.95" customHeight="1">
      <c r="A140" s="206"/>
      <c r="B140" s="159"/>
      <c r="C140" s="159"/>
      <c r="D140" s="159"/>
      <c r="E140" s="159"/>
      <c r="H140" s="159"/>
      <c r="I140" s="159"/>
      <c r="J140" s="159"/>
      <c r="K140" s="159"/>
      <c r="L140" s="159"/>
    </row>
    <row r="141" spans="1:12" ht="24.95" customHeight="1">
      <c r="A141" s="206"/>
      <c r="B141" s="159"/>
      <c r="C141" s="159"/>
      <c r="D141" s="159"/>
      <c r="E141" s="159"/>
      <c r="H141" s="159"/>
      <c r="I141" s="159"/>
      <c r="J141" s="159"/>
      <c r="K141" s="159"/>
      <c r="L141" s="159"/>
    </row>
    <row r="142" spans="1:12" ht="24.95" customHeight="1">
      <c r="A142" s="206"/>
      <c r="B142" s="159"/>
      <c r="C142" s="159"/>
      <c r="D142" s="159"/>
      <c r="E142" s="159"/>
      <c r="H142" s="159"/>
      <c r="I142" s="159"/>
      <c r="J142" s="159"/>
      <c r="K142" s="159"/>
      <c r="L142" s="159"/>
    </row>
    <row r="143" spans="1:12" ht="24.95" customHeight="1">
      <c r="A143" s="206"/>
      <c r="B143" s="159"/>
      <c r="C143" s="159"/>
      <c r="D143" s="159"/>
      <c r="E143" s="159"/>
      <c r="H143" s="159"/>
      <c r="I143" s="159"/>
      <c r="J143" s="159"/>
      <c r="K143" s="159"/>
      <c r="L143" s="159"/>
    </row>
    <row r="144" spans="1:12" ht="24.95" customHeight="1">
      <c r="A144" s="206"/>
      <c r="B144" s="159"/>
      <c r="C144" s="159"/>
      <c r="D144" s="159"/>
      <c r="E144" s="159"/>
      <c r="H144" s="159"/>
      <c r="I144" s="159"/>
      <c r="J144" s="159"/>
      <c r="K144" s="159"/>
      <c r="L144" s="159"/>
    </row>
    <row r="145" spans="1:12" ht="24.95" customHeight="1">
      <c r="A145" s="206"/>
      <c r="B145" s="159"/>
      <c r="C145" s="159"/>
      <c r="D145" s="159"/>
      <c r="E145" s="159"/>
      <c r="H145" s="159"/>
      <c r="I145" s="159"/>
      <c r="J145" s="159"/>
      <c r="K145" s="159"/>
      <c r="L145" s="159"/>
    </row>
    <row r="146" spans="1:12" ht="24.95" customHeight="1">
      <c r="A146" s="206"/>
      <c r="B146" s="159"/>
      <c r="C146" s="159"/>
      <c r="D146" s="159"/>
      <c r="E146" s="159"/>
      <c r="H146" s="159"/>
      <c r="I146" s="159"/>
      <c r="J146" s="159"/>
      <c r="K146" s="159"/>
      <c r="L146" s="159"/>
    </row>
    <row r="147" spans="1:12" ht="24.95" customHeight="1">
      <c r="A147" s="206"/>
      <c r="B147" s="159"/>
      <c r="C147" s="159"/>
      <c r="D147" s="159"/>
      <c r="E147" s="159"/>
      <c r="H147" s="159"/>
      <c r="I147" s="159"/>
      <c r="J147" s="159"/>
      <c r="K147" s="159"/>
      <c r="L147" s="159"/>
    </row>
    <row r="148" spans="1:12" ht="24.95" customHeight="1">
      <c r="A148" s="206"/>
      <c r="B148" s="159"/>
      <c r="C148" s="159"/>
      <c r="D148" s="159"/>
      <c r="E148" s="159"/>
      <c r="H148" s="159"/>
      <c r="I148" s="159"/>
      <c r="J148" s="159"/>
      <c r="K148" s="159"/>
      <c r="L148" s="159"/>
    </row>
    <row r="149" spans="1:12" ht="24.95" customHeight="1">
      <c r="A149" s="206"/>
      <c r="B149" s="159"/>
      <c r="C149" s="159"/>
      <c r="D149" s="159"/>
      <c r="E149" s="159"/>
      <c r="H149" s="159"/>
      <c r="I149" s="159"/>
      <c r="J149" s="159"/>
      <c r="K149" s="159"/>
      <c r="L149" s="159"/>
    </row>
    <row r="150" spans="1:12" ht="24.95" customHeight="1">
      <c r="A150" s="206"/>
      <c r="B150" s="159"/>
      <c r="C150" s="159"/>
      <c r="D150" s="159"/>
      <c r="E150" s="159"/>
      <c r="H150" s="159"/>
      <c r="I150" s="159"/>
      <c r="J150" s="159"/>
      <c r="K150" s="159"/>
      <c r="L150" s="159"/>
    </row>
    <row r="151" spans="1:12" ht="24.95" customHeight="1">
      <c r="A151" s="206"/>
      <c r="B151" s="159"/>
      <c r="C151" s="159"/>
      <c r="D151" s="159"/>
      <c r="E151" s="159"/>
      <c r="H151" s="159"/>
      <c r="I151" s="159"/>
      <c r="J151" s="159"/>
      <c r="K151" s="159"/>
      <c r="L151" s="159"/>
    </row>
    <row r="152" spans="1:12" ht="24.95" customHeight="1">
      <c r="A152" s="206"/>
      <c r="B152" s="159"/>
      <c r="C152" s="159"/>
      <c r="D152" s="159"/>
      <c r="E152" s="159"/>
      <c r="H152" s="159"/>
      <c r="I152" s="159"/>
      <c r="J152" s="159"/>
      <c r="K152" s="159"/>
      <c r="L152" s="159"/>
    </row>
    <row r="153" spans="1:12" ht="24.95" customHeight="1">
      <c r="A153" s="206"/>
      <c r="B153" s="159"/>
      <c r="C153" s="159"/>
      <c r="D153" s="159"/>
      <c r="E153" s="159"/>
      <c r="H153" s="159"/>
      <c r="I153" s="159"/>
      <c r="J153" s="159"/>
      <c r="K153" s="159"/>
      <c r="L153" s="159"/>
    </row>
    <row r="154" spans="1:12" ht="24.95" customHeight="1">
      <c r="A154" s="206"/>
      <c r="B154" s="159"/>
      <c r="C154" s="159"/>
      <c r="D154" s="159"/>
      <c r="E154" s="159"/>
      <c r="H154" s="159"/>
      <c r="I154" s="159"/>
      <c r="J154" s="159"/>
      <c r="K154" s="159"/>
      <c r="L154" s="159"/>
    </row>
    <row r="155" spans="1:12" ht="24.95" customHeight="1">
      <c r="A155" s="206"/>
      <c r="B155" s="159"/>
      <c r="C155" s="159"/>
      <c r="D155" s="159"/>
      <c r="E155" s="159"/>
      <c r="H155" s="159"/>
      <c r="I155" s="159"/>
      <c r="J155" s="159"/>
      <c r="K155" s="159"/>
      <c r="L155" s="159"/>
    </row>
    <row r="156" spans="1:12" ht="24.95" customHeight="1">
      <c r="A156" s="206"/>
      <c r="B156" s="159"/>
      <c r="C156" s="159"/>
      <c r="D156" s="159"/>
      <c r="E156" s="159"/>
      <c r="H156" s="159"/>
      <c r="I156" s="159"/>
      <c r="J156" s="159"/>
      <c r="K156" s="159"/>
      <c r="L156" s="159"/>
    </row>
    <row r="157" spans="1:12" ht="24.95" customHeight="1">
      <c r="A157" s="206"/>
      <c r="B157" s="159"/>
      <c r="C157" s="159"/>
      <c r="D157" s="159"/>
      <c r="E157" s="159"/>
      <c r="H157" s="159"/>
      <c r="I157" s="159"/>
      <c r="J157" s="159"/>
      <c r="K157" s="159"/>
      <c r="L157" s="159"/>
    </row>
    <row r="158" spans="1:12" ht="24.95" customHeight="1">
      <c r="A158" s="206"/>
      <c r="B158" s="159"/>
      <c r="C158" s="159"/>
      <c r="D158" s="159"/>
      <c r="E158" s="159"/>
      <c r="H158" s="159"/>
      <c r="I158" s="159"/>
      <c r="J158" s="159"/>
      <c r="K158" s="159"/>
      <c r="L158" s="159"/>
    </row>
    <row r="159" spans="1:12" ht="24.95" customHeight="1">
      <c r="A159" s="206"/>
      <c r="B159" s="159"/>
      <c r="C159" s="159"/>
      <c r="D159" s="159"/>
      <c r="E159" s="159"/>
      <c r="H159" s="159"/>
      <c r="I159" s="159"/>
      <c r="J159" s="159"/>
      <c r="K159" s="159"/>
      <c r="L159" s="159"/>
    </row>
    <row r="160" spans="1:12" ht="24.95" customHeight="1">
      <c r="A160" s="206"/>
      <c r="B160" s="159"/>
      <c r="C160" s="159"/>
      <c r="D160" s="159"/>
      <c r="E160" s="159"/>
      <c r="H160" s="159"/>
      <c r="I160" s="159"/>
      <c r="J160" s="159"/>
      <c r="K160" s="159"/>
      <c r="L160" s="159"/>
    </row>
    <row r="161" spans="1:12" ht="24.95" customHeight="1">
      <c r="A161" s="206"/>
      <c r="B161" s="159"/>
      <c r="C161" s="159"/>
      <c r="D161" s="159"/>
      <c r="E161" s="159"/>
      <c r="H161" s="159"/>
      <c r="I161" s="159"/>
      <c r="J161" s="159"/>
      <c r="K161" s="159"/>
      <c r="L161" s="159"/>
    </row>
    <row r="162" spans="1:12" ht="24.95" customHeight="1">
      <c r="A162" s="206"/>
      <c r="B162" s="159"/>
      <c r="C162" s="159"/>
      <c r="D162" s="159"/>
      <c r="E162" s="159"/>
      <c r="H162" s="159"/>
      <c r="I162" s="159"/>
      <c r="J162" s="159"/>
      <c r="K162" s="159"/>
      <c r="L162" s="159"/>
    </row>
    <row r="163" spans="1:12" ht="24.95" customHeight="1">
      <c r="A163" s="206"/>
      <c r="B163" s="159"/>
      <c r="C163" s="159"/>
      <c r="D163" s="159"/>
      <c r="E163" s="159"/>
      <c r="H163" s="159"/>
      <c r="I163" s="159"/>
      <c r="J163" s="159"/>
      <c r="K163" s="159"/>
      <c r="L163" s="159"/>
    </row>
    <row r="164" spans="1:12" ht="24.95" customHeight="1">
      <c r="A164" s="206"/>
      <c r="B164" s="159"/>
      <c r="C164" s="159"/>
      <c r="D164" s="159"/>
      <c r="E164" s="159"/>
      <c r="H164" s="159"/>
      <c r="I164" s="159"/>
      <c r="J164" s="159"/>
      <c r="K164" s="159"/>
      <c r="L164" s="159"/>
    </row>
    <row r="165" spans="1:12" ht="24.95" customHeight="1">
      <c r="A165" s="206"/>
      <c r="B165" s="159"/>
      <c r="C165" s="159"/>
      <c r="D165" s="159"/>
      <c r="E165" s="159"/>
      <c r="H165" s="159"/>
      <c r="I165" s="159"/>
      <c r="J165" s="159"/>
      <c r="K165" s="159"/>
      <c r="L165" s="159"/>
    </row>
    <row r="166" spans="1:12" ht="24.95" customHeight="1">
      <c r="A166" s="206"/>
      <c r="B166" s="159"/>
      <c r="C166" s="159"/>
      <c r="D166" s="159"/>
      <c r="E166" s="159"/>
      <c r="H166" s="159"/>
      <c r="I166" s="159"/>
      <c r="J166" s="159"/>
      <c r="K166" s="159"/>
      <c r="L166" s="159"/>
    </row>
    <row r="167" spans="1:12" ht="24.95" customHeight="1">
      <c r="A167" s="206"/>
      <c r="B167" s="159"/>
      <c r="C167" s="159"/>
      <c r="D167" s="159"/>
      <c r="E167" s="159"/>
      <c r="H167" s="159"/>
      <c r="I167" s="159"/>
      <c r="J167" s="159"/>
      <c r="K167" s="159"/>
      <c r="L167" s="159"/>
    </row>
    <row r="168" spans="1:12" ht="24.95" customHeight="1">
      <c r="A168" s="206"/>
      <c r="B168" s="159"/>
      <c r="C168" s="159"/>
      <c r="D168" s="159"/>
      <c r="E168" s="159"/>
      <c r="H168" s="159"/>
      <c r="I168" s="159"/>
      <c r="J168" s="159"/>
      <c r="K168" s="159"/>
      <c r="L168" s="159"/>
    </row>
    <row r="169" spans="1:12" ht="24.95" customHeight="1">
      <c r="A169" s="206"/>
      <c r="B169" s="159"/>
      <c r="C169" s="159"/>
      <c r="D169" s="159"/>
      <c r="E169" s="159"/>
      <c r="H169" s="159"/>
      <c r="I169" s="159"/>
      <c r="J169" s="159"/>
      <c r="K169" s="159"/>
      <c r="L169" s="159"/>
    </row>
    <row r="170" spans="1:12" ht="24.95" customHeight="1">
      <c r="A170" s="206"/>
      <c r="B170" s="159"/>
      <c r="C170" s="159"/>
      <c r="D170" s="159"/>
      <c r="E170" s="159"/>
      <c r="H170" s="159"/>
      <c r="I170" s="159"/>
      <c r="J170" s="159"/>
      <c r="K170" s="159"/>
      <c r="L170" s="159"/>
    </row>
    <row r="171" spans="1:12" ht="24.95" customHeight="1">
      <c r="A171" s="206"/>
      <c r="B171" s="159"/>
      <c r="C171" s="159"/>
      <c r="D171" s="159"/>
      <c r="E171" s="159"/>
      <c r="H171" s="159"/>
      <c r="I171" s="159"/>
      <c r="J171" s="159"/>
      <c r="K171" s="159"/>
      <c r="L171" s="159"/>
    </row>
    <row r="172" spans="1:12" ht="24.95" customHeight="1">
      <c r="A172" s="206"/>
      <c r="B172" s="159"/>
      <c r="C172" s="159"/>
      <c r="D172" s="159"/>
      <c r="E172" s="159"/>
      <c r="H172" s="159"/>
      <c r="I172" s="159"/>
      <c r="J172" s="159"/>
      <c r="K172" s="159"/>
      <c r="L172" s="159"/>
    </row>
    <row r="173" spans="1:12" ht="24.95" customHeight="1">
      <c r="A173" s="206"/>
      <c r="B173" s="159"/>
      <c r="C173" s="159"/>
      <c r="D173" s="159"/>
      <c r="E173" s="159"/>
      <c r="H173" s="159"/>
      <c r="I173" s="159"/>
      <c r="J173" s="159"/>
      <c r="K173" s="159"/>
      <c r="L173" s="159"/>
    </row>
    <row r="174" spans="1:12" ht="24.95" customHeight="1">
      <c r="A174" s="206"/>
      <c r="B174" s="159"/>
      <c r="C174" s="159"/>
      <c r="D174" s="159"/>
      <c r="E174" s="159"/>
      <c r="H174" s="159"/>
      <c r="I174" s="159"/>
      <c r="J174" s="159"/>
      <c r="K174" s="159"/>
      <c r="L174" s="159"/>
    </row>
    <row r="175" spans="1:12" ht="24.95" customHeight="1">
      <c r="A175" s="206"/>
      <c r="B175" s="159"/>
      <c r="C175" s="159"/>
      <c r="D175" s="159"/>
      <c r="E175" s="159"/>
      <c r="H175" s="159"/>
      <c r="I175" s="159"/>
      <c r="J175" s="159"/>
      <c r="K175" s="159"/>
      <c r="L175" s="159"/>
    </row>
    <row r="176" spans="1:12" ht="24.95" customHeight="1">
      <c r="A176" s="206"/>
      <c r="B176" s="159"/>
      <c r="C176" s="159"/>
      <c r="D176" s="159"/>
      <c r="E176" s="159"/>
      <c r="H176" s="159"/>
      <c r="I176" s="159"/>
      <c r="J176" s="159"/>
      <c r="K176" s="159"/>
      <c r="L176" s="159"/>
    </row>
    <row r="177" spans="1:12" ht="24.95" customHeight="1">
      <c r="A177" s="206"/>
      <c r="B177" s="159"/>
      <c r="C177" s="159"/>
      <c r="D177" s="159"/>
      <c r="E177" s="159"/>
      <c r="H177" s="159"/>
      <c r="I177" s="159"/>
      <c r="J177" s="159"/>
      <c r="K177" s="159"/>
      <c r="L177" s="159"/>
    </row>
    <row r="178" spans="1:12" ht="24.95" customHeight="1">
      <c r="A178" s="206"/>
      <c r="B178" s="159"/>
      <c r="C178" s="159"/>
      <c r="D178" s="159"/>
      <c r="E178" s="159"/>
      <c r="H178" s="159"/>
      <c r="I178" s="159"/>
      <c r="J178" s="159"/>
      <c r="K178" s="159"/>
      <c r="L178" s="159"/>
    </row>
    <row r="179" spans="1:12" ht="24.95" customHeight="1">
      <c r="A179" s="206"/>
      <c r="B179" s="159"/>
      <c r="C179" s="159"/>
      <c r="D179" s="159"/>
      <c r="E179" s="159"/>
      <c r="H179" s="159"/>
      <c r="I179" s="159"/>
      <c r="J179" s="159"/>
      <c r="K179" s="159"/>
      <c r="L179" s="159"/>
    </row>
    <row r="180" spans="1:12" ht="24.95" customHeight="1">
      <c r="A180" s="206"/>
      <c r="B180" s="159"/>
      <c r="C180" s="159"/>
      <c r="D180" s="159"/>
      <c r="E180" s="159"/>
      <c r="H180" s="159"/>
      <c r="I180" s="159"/>
      <c r="J180" s="159"/>
      <c r="K180" s="159"/>
      <c r="L180" s="159"/>
    </row>
    <row r="181" spans="1:12" ht="24.95" customHeight="1">
      <c r="A181" s="206"/>
      <c r="B181" s="159"/>
      <c r="C181" s="159"/>
      <c r="D181" s="159"/>
      <c r="E181" s="159"/>
      <c r="H181" s="159"/>
      <c r="I181" s="159"/>
      <c r="J181" s="159"/>
      <c r="K181" s="159"/>
      <c r="L181" s="159"/>
    </row>
    <row r="182" spans="1:12" ht="24.95" customHeight="1">
      <c r="A182" s="206"/>
      <c r="B182" s="159"/>
      <c r="C182" s="159"/>
      <c r="D182" s="159"/>
      <c r="E182" s="159"/>
      <c r="H182" s="159"/>
      <c r="I182" s="159"/>
      <c r="J182" s="159"/>
      <c r="K182" s="159"/>
      <c r="L182" s="159"/>
    </row>
    <row r="183" spans="1:12" ht="24.95" customHeight="1">
      <c r="A183" s="206"/>
      <c r="B183" s="159"/>
      <c r="C183" s="159"/>
      <c r="D183" s="159"/>
      <c r="E183" s="159"/>
      <c r="H183" s="159"/>
      <c r="I183" s="159"/>
      <c r="J183" s="159"/>
      <c r="K183" s="159"/>
      <c r="L183" s="159"/>
    </row>
    <row r="184" spans="1:12" ht="24.95" customHeight="1">
      <c r="A184" s="206"/>
      <c r="B184" s="159"/>
      <c r="C184" s="159"/>
      <c r="D184" s="159"/>
      <c r="E184" s="159"/>
      <c r="H184" s="159"/>
      <c r="I184" s="159"/>
      <c r="J184" s="159"/>
      <c r="K184" s="159"/>
      <c r="L184" s="159"/>
    </row>
    <row r="185" spans="1:12" ht="24.95" customHeight="1">
      <c r="A185" s="206"/>
      <c r="B185" s="159"/>
      <c r="C185" s="159"/>
      <c r="D185" s="159"/>
      <c r="E185" s="159"/>
      <c r="H185" s="159"/>
      <c r="I185" s="159"/>
      <c r="J185" s="159"/>
      <c r="K185" s="159"/>
      <c r="L185" s="159"/>
    </row>
    <row r="186" spans="1:12" ht="24.95" customHeight="1">
      <c r="A186" s="206"/>
      <c r="B186" s="159"/>
      <c r="C186" s="159"/>
      <c r="D186" s="159"/>
      <c r="E186" s="159"/>
      <c r="H186" s="159"/>
      <c r="I186" s="159"/>
      <c r="J186" s="159"/>
      <c r="K186" s="159"/>
      <c r="L186" s="159"/>
    </row>
    <row r="187" spans="1:12" ht="24.95" customHeight="1">
      <c r="A187" s="206"/>
      <c r="B187" s="159"/>
      <c r="C187" s="159"/>
      <c r="D187" s="159"/>
      <c r="E187" s="159"/>
      <c r="H187" s="159"/>
      <c r="I187" s="159"/>
      <c r="J187" s="159"/>
      <c r="K187" s="159"/>
      <c r="L187" s="159"/>
    </row>
    <row r="188" spans="1:12" ht="24.95" customHeight="1">
      <c r="A188" s="206"/>
      <c r="B188" s="159"/>
      <c r="C188" s="159"/>
      <c r="D188" s="159"/>
      <c r="E188" s="159"/>
      <c r="H188" s="159"/>
      <c r="I188" s="159"/>
      <c r="J188" s="159"/>
      <c r="K188" s="159"/>
      <c r="L188" s="159"/>
    </row>
    <row r="189" spans="1:12" ht="24.95" customHeight="1">
      <c r="A189" s="206"/>
      <c r="B189" s="159"/>
      <c r="C189" s="159"/>
      <c r="D189" s="159"/>
      <c r="E189" s="159"/>
      <c r="H189" s="159"/>
      <c r="I189" s="159"/>
      <c r="J189" s="159"/>
      <c r="K189" s="159"/>
      <c r="L189" s="159"/>
    </row>
    <row r="190" spans="1:12" ht="24.95" customHeight="1">
      <c r="A190" s="206"/>
      <c r="B190" s="159"/>
      <c r="C190" s="159"/>
      <c r="D190" s="159"/>
      <c r="E190" s="159"/>
      <c r="H190" s="159"/>
      <c r="I190" s="159"/>
      <c r="J190" s="159"/>
      <c r="K190" s="159"/>
      <c r="L190" s="159"/>
    </row>
    <row r="191" spans="1:12" ht="24.95" customHeight="1">
      <c r="A191" s="206"/>
      <c r="B191" s="159"/>
      <c r="C191" s="159"/>
      <c r="D191" s="159"/>
      <c r="E191" s="159"/>
      <c r="H191" s="159"/>
      <c r="I191" s="159"/>
      <c r="J191" s="159"/>
      <c r="K191" s="159"/>
      <c r="L191" s="159"/>
    </row>
    <row r="192" spans="1:12" ht="24.95" customHeight="1">
      <c r="A192" s="206"/>
      <c r="B192" s="159"/>
      <c r="C192" s="159"/>
      <c r="D192" s="159"/>
      <c r="E192" s="159"/>
      <c r="H192" s="159"/>
      <c r="I192" s="159"/>
      <c r="J192" s="159"/>
      <c r="K192" s="159"/>
      <c r="L192" s="159"/>
    </row>
    <row r="193" spans="1:12" ht="24.95" customHeight="1">
      <c r="A193" s="206"/>
      <c r="B193" s="159"/>
      <c r="C193" s="159"/>
      <c r="D193" s="159"/>
      <c r="E193" s="159"/>
      <c r="H193" s="159"/>
      <c r="I193" s="159"/>
      <c r="J193" s="159"/>
      <c r="K193" s="159"/>
      <c r="L193" s="159"/>
    </row>
    <row r="194" spans="1:12" ht="24.95" customHeight="1">
      <c r="A194" s="206"/>
      <c r="B194" s="159"/>
      <c r="C194" s="159"/>
      <c r="D194" s="159"/>
      <c r="E194" s="159"/>
      <c r="H194" s="159"/>
      <c r="I194" s="159"/>
      <c r="J194" s="159"/>
      <c r="K194" s="159"/>
      <c r="L194" s="159"/>
    </row>
    <row r="195" spans="1:12" ht="24.95" customHeight="1">
      <c r="A195" s="206"/>
      <c r="B195" s="159"/>
      <c r="C195" s="159"/>
      <c r="D195" s="159"/>
      <c r="E195" s="159"/>
      <c r="H195" s="159"/>
      <c r="I195" s="159"/>
      <c r="J195" s="159"/>
      <c r="K195" s="159"/>
      <c r="L195" s="159"/>
    </row>
    <row r="196" spans="1:12" ht="24.95" customHeight="1">
      <c r="A196" s="206"/>
      <c r="B196" s="159"/>
      <c r="C196" s="159"/>
      <c r="D196" s="159"/>
      <c r="E196" s="159"/>
      <c r="H196" s="159"/>
      <c r="I196" s="159"/>
      <c r="J196" s="159"/>
      <c r="K196" s="159"/>
      <c r="L196" s="159"/>
    </row>
    <row r="197" spans="1:12" ht="24.95" customHeight="1">
      <c r="A197" s="206"/>
      <c r="B197" s="159"/>
      <c r="C197" s="159"/>
      <c r="D197" s="159"/>
      <c r="E197" s="159"/>
      <c r="H197" s="159"/>
      <c r="I197" s="159"/>
      <c r="J197" s="159"/>
      <c r="K197" s="159"/>
      <c r="L197" s="159"/>
    </row>
    <row r="198" spans="1:12" ht="24.95" customHeight="1">
      <c r="A198" s="206"/>
      <c r="B198" s="159"/>
      <c r="C198" s="159"/>
      <c r="D198" s="159"/>
      <c r="E198" s="159"/>
      <c r="H198" s="159"/>
      <c r="I198" s="159"/>
      <c r="J198" s="159"/>
      <c r="K198" s="159"/>
      <c r="L198" s="159"/>
    </row>
    <row r="199" spans="1:12" ht="24.95" customHeight="1">
      <c r="A199" s="206"/>
      <c r="B199" s="159"/>
      <c r="C199" s="159"/>
      <c r="D199" s="159"/>
      <c r="E199" s="159"/>
      <c r="H199" s="159"/>
      <c r="I199" s="159"/>
      <c r="J199" s="159"/>
      <c r="K199" s="159"/>
      <c r="L199" s="159"/>
    </row>
    <row r="200" spans="1:12" ht="24.95" customHeight="1">
      <c r="A200" s="206"/>
      <c r="B200" s="159"/>
      <c r="C200" s="159"/>
      <c r="D200" s="159"/>
      <c r="E200" s="159"/>
      <c r="H200" s="159"/>
      <c r="I200" s="159"/>
      <c r="J200" s="159"/>
      <c r="K200" s="159"/>
      <c r="L200" s="159"/>
    </row>
    <row r="201" spans="1:12" ht="24.95" customHeight="1">
      <c r="A201" s="206"/>
      <c r="B201" s="159"/>
      <c r="C201" s="159"/>
      <c r="D201" s="159"/>
      <c r="E201" s="159"/>
      <c r="H201" s="159"/>
      <c r="I201" s="159"/>
      <c r="J201" s="159"/>
      <c r="K201" s="159"/>
      <c r="L201" s="159"/>
    </row>
    <row r="202" spans="1:12" ht="24.95" customHeight="1">
      <c r="A202" s="206"/>
      <c r="B202" s="159"/>
      <c r="C202" s="159"/>
      <c r="D202" s="159"/>
      <c r="E202" s="159"/>
      <c r="H202" s="159"/>
      <c r="I202" s="159"/>
      <c r="J202" s="159"/>
      <c r="K202" s="159"/>
      <c r="L202" s="159"/>
    </row>
    <row r="203" spans="1:12" ht="24.95" customHeight="1">
      <c r="A203" s="206"/>
      <c r="B203" s="159"/>
      <c r="C203" s="159"/>
      <c r="D203" s="159"/>
      <c r="E203" s="159"/>
      <c r="H203" s="159"/>
      <c r="I203" s="159"/>
      <c r="J203" s="159"/>
      <c r="K203" s="159"/>
      <c r="L203" s="159"/>
    </row>
    <row r="204" spans="1:12" ht="24.95" customHeight="1">
      <c r="A204" s="206"/>
      <c r="B204" s="159"/>
      <c r="C204" s="159"/>
      <c r="D204" s="159"/>
      <c r="E204" s="159"/>
      <c r="H204" s="159"/>
      <c r="I204" s="159"/>
      <c r="J204" s="159"/>
      <c r="K204" s="159"/>
      <c r="L204" s="159"/>
    </row>
    <row r="205" spans="1:12" ht="24.95" customHeight="1">
      <c r="A205" s="206"/>
      <c r="B205" s="159"/>
      <c r="C205" s="159"/>
      <c r="D205" s="159"/>
      <c r="E205" s="159"/>
      <c r="H205" s="159"/>
      <c r="I205" s="159"/>
      <c r="J205" s="159"/>
      <c r="K205" s="159"/>
      <c r="L205" s="159"/>
    </row>
    <row r="206" spans="1:12" ht="24.95" customHeight="1">
      <c r="A206" s="206"/>
      <c r="B206" s="159"/>
      <c r="C206" s="159"/>
      <c r="D206" s="159"/>
      <c r="E206" s="159"/>
      <c r="H206" s="159"/>
      <c r="I206" s="159"/>
      <c r="J206" s="159"/>
      <c r="K206" s="159"/>
      <c r="L206" s="159"/>
    </row>
    <row r="207" spans="1:12" ht="24.95" customHeight="1">
      <c r="A207" s="206"/>
      <c r="B207" s="159"/>
      <c r="C207" s="159"/>
      <c r="D207" s="159"/>
      <c r="E207" s="159"/>
      <c r="H207" s="159"/>
      <c r="I207" s="159"/>
      <c r="J207" s="159"/>
      <c r="K207" s="159"/>
      <c r="L207" s="159"/>
    </row>
    <row r="208" spans="1:12" ht="24.95" customHeight="1">
      <c r="A208" s="206"/>
      <c r="B208" s="159"/>
      <c r="C208" s="159"/>
      <c r="D208" s="159"/>
      <c r="E208" s="159"/>
      <c r="H208" s="159"/>
      <c r="I208" s="159"/>
      <c r="J208" s="159"/>
      <c r="K208" s="159"/>
      <c r="L208" s="159"/>
    </row>
    <row r="209" spans="1:12" ht="24.95" customHeight="1">
      <c r="A209" s="206"/>
      <c r="B209" s="159"/>
      <c r="C209" s="159"/>
      <c r="D209" s="159"/>
      <c r="E209" s="159"/>
      <c r="H209" s="159"/>
      <c r="I209" s="159"/>
      <c r="J209" s="159"/>
      <c r="K209" s="159"/>
      <c r="L209" s="159"/>
    </row>
    <row r="210" spans="1:12" ht="24.95" customHeight="1">
      <c r="A210" s="206"/>
      <c r="B210" s="159"/>
      <c r="C210" s="159"/>
      <c r="D210" s="159"/>
      <c r="E210" s="159"/>
      <c r="H210" s="159"/>
      <c r="I210" s="159"/>
      <c r="J210" s="159"/>
      <c r="K210" s="159"/>
      <c r="L210" s="159"/>
    </row>
    <row r="211" spans="1:12" ht="24.95" customHeight="1">
      <c r="A211" s="206"/>
      <c r="B211" s="159"/>
      <c r="C211" s="159"/>
      <c r="D211" s="159"/>
      <c r="E211" s="159"/>
      <c r="H211" s="159"/>
      <c r="I211" s="159"/>
      <c r="J211" s="159"/>
      <c r="K211" s="159"/>
      <c r="L211" s="159"/>
    </row>
    <row r="212" spans="1:12" ht="24.95" customHeight="1">
      <c r="A212" s="206"/>
      <c r="B212" s="159"/>
      <c r="C212" s="159"/>
      <c r="D212" s="159"/>
      <c r="E212" s="159"/>
      <c r="H212" s="159"/>
      <c r="I212" s="159"/>
      <c r="J212" s="159"/>
      <c r="K212" s="159"/>
      <c r="L212" s="159"/>
    </row>
    <row r="213" spans="1:12" ht="24.95" customHeight="1">
      <c r="A213" s="206"/>
      <c r="B213" s="159"/>
      <c r="C213" s="159"/>
      <c r="D213" s="159"/>
      <c r="E213" s="159"/>
      <c r="H213" s="159"/>
      <c r="I213" s="159"/>
      <c r="J213" s="159"/>
      <c r="K213" s="159"/>
      <c r="L213" s="159"/>
    </row>
    <row r="214" spans="1:12" ht="24.95" customHeight="1">
      <c r="A214" s="206"/>
      <c r="B214" s="159"/>
      <c r="C214" s="159"/>
      <c r="D214" s="159"/>
      <c r="E214" s="159"/>
      <c r="H214" s="159"/>
      <c r="I214" s="159"/>
      <c r="J214" s="159"/>
      <c r="K214" s="159"/>
      <c r="L214" s="159"/>
    </row>
    <row r="215" spans="1:12" ht="24.95" customHeight="1">
      <c r="A215" s="206"/>
      <c r="B215" s="159"/>
      <c r="C215" s="159"/>
      <c r="D215" s="159"/>
      <c r="E215" s="159"/>
      <c r="H215" s="159"/>
      <c r="I215" s="159"/>
      <c r="J215" s="159"/>
      <c r="K215" s="159"/>
      <c r="L215" s="159"/>
    </row>
    <row r="216" spans="1:12" ht="24.95" customHeight="1">
      <c r="A216" s="206"/>
      <c r="B216" s="159"/>
      <c r="C216" s="159"/>
      <c r="D216" s="159"/>
      <c r="E216" s="159"/>
      <c r="H216" s="159"/>
      <c r="I216" s="159"/>
      <c r="J216" s="159"/>
      <c r="K216" s="159"/>
      <c r="L216" s="159"/>
    </row>
    <row r="217" spans="1:12" ht="24.95" customHeight="1">
      <c r="A217" s="206"/>
      <c r="B217" s="159"/>
      <c r="C217" s="159"/>
      <c r="D217" s="159"/>
      <c r="E217" s="159"/>
      <c r="H217" s="159"/>
      <c r="I217" s="159"/>
      <c r="J217" s="159"/>
      <c r="K217" s="159"/>
      <c r="L217" s="159"/>
    </row>
    <row r="218" spans="1:12" ht="24.95" customHeight="1">
      <c r="A218" s="206"/>
      <c r="B218" s="159"/>
      <c r="C218" s="159"/>
      <c r="D218" s="159"/>
      <c r="E218" s="159"/>
      <c r="H218" s="159"/>
      <c r="I218" s="159"/>
      <c r="J218" s="159"/>
      <c r="K218" s="159"/>
      <c r="L218" s="159"/>
    </row>
    <row r="219" spans="1:12" ht="24.95" customHeight="1">
      <c r="A219" s="206"/>
      <c r="B219" s="159"/>
      <c r="C219" s="159"/>
      <c r="D219" s="159"/>
      <c r="E219" s="159"/>
      <c r="H219" s="159"/>
      <c r="I219" s="159"/>
      <c r="J219" s="159"/>
      <c r="K219" s="159"/>
      <c r="L219" s="159"/>
    </row>
    <row r="220" spans="1:12" ht="24.95" customHeight="1">
      <c r="A220" s="206"/>
      <c r="B220" s="159"/>
      <c r="C220" s="159"/>
      <c r="D220" s="159"/>
      <c r="E220" s="159"/>
      <c r="H220" s="159"/>
      <c r="I220" s="159"/>
      <c r="J220" s="159"/>
      <c r="K220" s="159"/>
      <c r="L220" s="159"/>
    </row>
    <row r="221" spans="1:12" ht="24.95" customHeight="1">
      <c r="A221" s="206"/>
      <c r="B221" s="159"/>
      <c r="C221" s="159"/>
      <c r="D221" s="159"/>
      <c r="E221" s="159"/>
      <c r="H221" s="159"/>
      <c r="I221" s="159"/>
      <c r="J221" s="159"/>
      <c r="K221" s="159"/>
      <c r="L221" s="159"/>
    </row>
    <row r="222" spans="1:12" ht="24.95" customHeight="1">
      <c r="A222" s="206"/>
      <c r="B222" s="159"/>
      <c r="C222" s="159"/>
      <c r="D222" s="159"/>
      <c r="E222" s="159"/>
      <c r="H222" s="159"/>
      <c r="I222" s="159"/>
      <c r="J222" s="159"/>
      <c r="K222" s="159"/>
      <c r="L222" s="159"/>
    </row>
    <row r="223" spans="1:12" ht="24.95" customHeight="1">
      <c r="A223" s="206"/>
      <c r="B223" s="159"/>
      <c r="C223" s="159"/>
      <c r="D223" s="159"/>
      <c r="E223" s="159"/>
      <c r="H223" s="159"/>
      <c r="I223" s="159"/>
      <c r="J223" s="159"/>
      <c r="K223" s="159"/>
      <c r="L223" s="159"/>
    </row>
    <row r="224" spans="1:12" ht="24.95" customHeight="1">
      <c r="A224" s="206"/>
      <c r="B224" s="159"/>
      <c r="C224" s="159"/>
      <c r="D224" s="159"/>
      <c r="E224" s="159"/>
      <c r="H224" s="159"/>
      <c r="I224" s="159"/>
      <c r="J224" s="159"/>
      <c r="K224" s="159"/>
      <c r="L224" s="159"/>
    </row>
    <row r="225" spans="1:12" ht="24.95" customHeight="1">
      <c r="A225" s="206"/>
      <c r="B225" s="159"/>
      <c r="C225" s="159"/>
      <c r="D225" s="159"/>
      <c r="E225" s="159"/>
      <c r="H225" s="159"/>
      <c r="I225" s="159"/>
      <c r="J225" s="159"/>
      <c r="K225" s="159"/>
      <c r="L225" s="159"/>
    </row>
    <row r="226" spans="1:12" ht="24.95" customHeight="1">
      <c r="A226" s="206"/>
      <c r="B226" s="159"/>
      <c r="C226" s="159"/>
      <c r="D226" s="159"/>
      <c r="E226" s="159"/>
      <c r="H226" s="159"/>
      <c r="I226" s="159"/>
      <c r="J226" s="159"/>
      <c r="K226" s="159"/>
      <c r="L226" s="159"/>
    </row>
    <row r="227" spans="1:12" ht="24.95" customHeight="1">
      <c r="A227" s="206"/>
      <c r="B227" s="159"/>
      <c r="C227" s="159"/>
      <c r="D227" s="159"/>
      <c r="E227" s="159"/>
      <c r="H227" s="159"/>
      <c r="I227" s="159"/>
      <c r="J227" s="159"/>
      <c r="K227" s="159"/>
      <c r="L227" s="159"/>
    </row>
    <row r="228" spans="1:12" ht="24.95" customHeight="1">
      <c r="A228" s="206"/>
      <c r="B228" s="159"/>
      <c r="C228" s="159"/>
      <c r="D228" s="159"/>
      <c r="E228" s="159"/>
      <c r="H228" s="159"/>
      <c r="I228" s="159"/>
      <c r="J228" s="159"/>
      <c r="K228" s="159"/>
      <c r="L228" s="159"/>
    </row>
    <row r="229" spans="1:12" ht="24.95" customHeight="1">
      <c r="A229" s="206"/>
      <c r="B229" s="159"/>
      <c r="C229" s="159"/>
      <c r="D229" s="159"/>
      <c r="E229" s="159"/>
      <c r="H229" s="159"/>
      <c r="I229" s="159"/>
      <c r="J229" s="159"/>
      <c r="K229" s="159"/>
      <c r="L229" s="159"/>
    </row>
    <row r="230" spans="1:12" ht="24.95" customHeight="1">
      <c r="A230" s="206"/>
      <c r="B230" s="159"/>
      <c r="C230" s="159"/>
      <c r="D230" s="159"/>
      <c r="E230" s="159"/>
      <c r="H230" s="159"/>
      <c r="I230" s="159"/>
      <c r="J230" s="159"/>
      <c r="K230" s="159"/>
      <c r="L230" s="159"/>
    </row>
    <row r="231" spans="1:12" ht="24.95" customHeight="1">
      <c r="A231" s="206"/>
      <c r="B231" s="159"/>
      <c r="C231" s="159"/>
      <c r="D231" s="159"/>
      <c r="E231" s="159"/>
      <c r="H231" s="159"/>
      <c r="I231" s="159"/>
      <c r="J231" s="159"/>
      <c r="K231" s="159"/>
      <c r="L231" s="159"/>
    </row>
    <row r="232" spans="1:12" ht="24.95" customHeight="1">
      <c r="A232" s="206"/>
      <c r="B232" s="159"/>
      <c r="C232" s="159"/>
      <c r="D232" s="159"/>
      <c r="E232" s="159"/>
      <c r="H232" s="159"/>
      <c r="I232" s="159"/>
      <c r="J232" s="159"/>
      <c r="K232" s="159"/>
      <c r="L232" s="159"/>
    </row>
    <row r="233" spans="1:12" ht="24.95" customHeight="1">
      <c r="A233" s="206"/>
      <c r="B233" s="159"/>
      <c r="C233" s="159"/>
      <c r="D233" s="159"/>
      <c r="E233" s="159"/>
      <c r="H233" s="159"/>
      <c r="I233" s="159"/>
      <c r="J233" s="159"/>
      <c r="K233" s="159"/>
      <c r="L233" s="159"/>
    </row>
    <row r="234" spans="1:12" ht="24.95" customHeight="1">
      <c r="A234" s="206"/>
      <c r="B234" s="159"/>
      <c r="C234" s="159"/>
      <c r="D234" s="159"/>
      <c r="E234" s="159"/>
      <c r="H234" s="159"/>
      <c r="I234" s="159"/>
      <c r="J234" s="159"/>
      <c r="K234" s="159"/>
      <c r="L234" s="159"/>
    </row>
    <row r="235" spans="1:12" ht="24.95" customHeight="1">
      <c r="A235" s="206"/>
      <c r="B235" s="159"/>
      <c r="C235" s="159"/>
      <c r="D235" s="159"/>
      <c r="E235" s="159"/>
      <c r="H235" s="159"/>
      <c r="I235" s="159"/>
      <c r="J235" s="159"/>
      <c r="K235" s="159"/>
      <c r="L235" s="159"/>
    </row>
    <row r="236" spans="1:12" ht="24.95" customHeight="1">
      <c r="A236" s="206"/>
      <c r="B236" s="159"/>
      <c r="C236" s="159"/>
      <c r="D236" s="159"/>
      <c r="E236" s="159"/>
      <c r="H236" s="159"/>
      <c r="I236" s="159"/>
      <c r="J236" s="159"/>
      <c r="K236" s="159"/>
      <c r="L236" s="159"/>
    </row>
    <row r="237" spans="1:12" ht="24.95" customHeight="1">
      <c r="A237" s="206"/>
      <c r="B237" s="159"/>
      <c r="C237" s="159"/>
      <c r="D237" s="159"/>
      <c r="E237" s="159"/>
      <c r="H237" s="159"/>
      <c r="I237" s="159"/>
      <c r="J237" s="159"/>
      <c r="K237" s="159"/>
      <c r="L237" s="159"/>
    </row>
    <row r="238" spans="1:12" ht="24.95" customHeight="1">
      <c r="A238" s="206"/>
      <c r="B238" s="159"/>
      <c r="C238" s="159"/>
      <c r="D238" s="159"/>
      <c r="E238" s="159"/>
      <c r="H238" s="159"/>
      <c r="I238" s="159"/>
      <c r="J238" s="159"/>
      <c r="K238" s="159"/>
      <c r="L238" s="159"/>
    </row>
    <row r="239" spans="1:12" ht="24.95" customHeight="1">
      <c r="A239" s="206"/>
      <c r="B239" s="159"/>
      <c r="C239" s="159"/>
      <c r="D239" s="159"/>
      <c r="E239" s="159"/>
      <c r="H239" s="159"/>
      <c r="I239" s="159"/>
      <c r="J239" s="159"/>
      <c r="K239" s="159"/>
      <c r="L239" s="159"/>
    </row>
    <row r="240" spans="1:12" ht="24.95" customHeight="1">
      <c r="A240" s="206"/>
      <c r="B240" s="159"/>
      <c r="C240" s="159"/>
      <c r="D240" s="159"/>
      <c r="E240" s="159"/>
      <c r="H240" s="159"/>
      <c r="I240" s="159"/>
      <c r="J240" s="159"/>
      <c r="K240" s="159"/>
      <c r="L240" s="159"/>
    </row>
    <row r="241" spans="1:12" ht="24.95" customHeight="1">
      <c r="A241" s="206"/>
      <c r="B241" s="159"/>
      <c r="C241" s="159"/>
      <c r="D241" s="159"/>
      <c r="E241" s="159"/>
      <c r="H241" s="159"/>
      <c r="I241" s="159"/>
      <c r="J241" s="159"/>
      <c r="K241" s="159"/>
      <c r="L241" s="159"/>
    </row>
    <row r="242" spans="1:12" ht="24.95" customHeight="1">
      <c r="A242" s="206"/>
      <c r="B242" s="159"/>
      <c r="C242" s="159"/>
      <c r="D242" s="159"/>
      <c r="E242" s="159"/>
      <c r="H242" s="159"/>
      <c r="I242" s="159"/>
      <c r="J242" s="159"/>
      <c r="K242" s="159"/>
      <c r="L242" s="159"/>
    </row>
    <row r="243" spans="1:12" ht="24.95" customHeight="1">
      <c r="A243" s="206"/>
      <c r="B243" s="159"/>
      <c r="C243" s="159"/>
      <c r="D243" s="159"/>
      <c r="E243" s="159"/>
      <c r="H243" s="159"/>
      <c r="I243" s="159"/>
      <c r="J243" s="159"/>
      <c r="K243" s="159"/>
      <c r="L243" s="159"/>
    </row>
    <row r="244" spans="1:12" ht="24.95" customHeight="1">
      <c r="A244" s="206"/>
      <c r="B244" s="159"/>
      <c r="C244" s="159"/>
      <c r="D244" s="159"/>
      <c r="E244" s="159"/>
      <c r="H244" s="159"/>
      <c r="I244" s="159"/>
      <c r="J244" s="159"/>
      <c r="K244" s="159"/>
      <c r="L244" s="159"/>
    </row>
    <row r="245" spans="1:12" ht="24.95" customHeight="1">
      <c r="A245" s="206"/>
      <c r="B245" s="159"/>
      <c r="C245" s="159"/>
      <c r="D245" s="159"/>
      <c r="E245" s="159"/>
      <c r="H245" s="159"/>
      <c r="I245" s="159"/>
      <c r="J245" s="159"/>
      <c r="K245" s="159"/>
      <c r="L245" s="159"/>
    </row>
    <row r="246" spans="1:12" ht="24.95" customHeight="1">
      <c r="A246" s="206"/>
      <c r="B246" s="159"/>
      <c r="C246" s="159"/>
      <c r="D246" s="159"/>
      <c r="E246" s="159"/>
      <c r="H246" s="159"/>
      <c r="I246" s="159"/>
      <c r="J246" s="159"/>
      <c r="K246" s="159"/>
      <c r="L246" s="159"/>
    </row>
    <row r="247" spans="1:12" ht="24.95" customHeight="1">
      <c r="A247" s="206"/>
      <c r="B247" s="159"/>
      <c r="C247" s="159"/>
      <c r="D247" s="159"/>
      <c r="E247" s="159"/>
      <c r="H247" s="159"/>
      <c r="I247" s="159"/>
      <c r="J247" s="159"/>
      <c r="K247" s="159"/>
      <c r="L247" s="159"/>
    </row>
    <row r="248" spans="1:12" ht="24.95" customHeight="1">
      <c r="A248" s="206"/>
      <c r="B248" s="159"/>
      <c r="C248" s="159"/>
      <c r="D248" s="159"/>
      <c r="E248" s="159"/>
      <c r="H248" s="159"/>
      <c r="I248" s="159"/>
      <c r="J248" s="159"/>
      <c r="K248" s="159"/>
      <c r="L248" s="159"/>
    </row>
    <row r="249" spans="1:12" ht="24.95" customHeight="1">
      <c r="A249" s="206"/>
      <c r="B249" s="159"/>
      <c r="C249" s="159"/>
      <c r="D249" s="159"/>
      <c r="E249" s="159"/>
      <c r="H249" s="159"/>
      <c r="I249" s="159"/>
      <c r="J249" s="159"/>
      <c r="K249" s="159"/>
      <c r="L249" s="159"/>
    </row>
    <row r="250" spans="1:12" ht="24.95" customHeight="1">
      <c r="A250" s="206"/>
      <c r="B250" s="159"/>
      <c r="C250" s="159"/>
      <c r="D250" s="159"/>
      <c r="E250" s="159"/>
      <c r="H250" s="159"/>
      <c r="I250" s="159"/>
      <c r="J250" s="159"/>
      <c r="K250" s="159"/>
      <c r="L250" s="159"/>
    </row>
    <row r="251" spans="1:12" ht="24.95" customHeight="1">
      <c r="A251" s="206"/>
      <c r="B251" s="159"/>
      <c r="C251" s="159"/>
      <c r="D251" s="159"/>
      <c r="E251" s="159"/>
      <c r="H251" s="159"/>
      <c r="I251" s="159"/>
      <c r="J251" s="159"/>
      <c r="K251" s="159"/>
      <c r="L251" s="159"/>
    </row>
    <row r="252" spans="1:12" ht="24.95" customHeight="1">
      <c r="A252" s="206"/>
      <c r="B252" s="159"/>
      <c r="C252" s="159"/>
      <c r="D252" s="159"/>
      <c r="E252" s="159"/>
      <c r="H252" s="159"/>
      <c r="I252" s="159"/>
      <c r="J252" s="159"/>
      <c r="K252" s="159"/>
      <c r="L252" s="159"/>
    </row>
    <row r="253" spans="1:12" ht="24.95" customHeight="1">
      <c r="A253" s="206"/>
      <c r="B253" s="159"/>
      <c r="C253" s="159"/>
      <c r="D253" s="159"/>
      <c r="E253" s="159"/>
      <c r="H253" s="159"/>
      <c r="I253" s="159"/>
      <c r="J253" s="159"/>
      <c r="K253" s="159"/>
      <c r="L253" s="159"/>
    </row>
    <row r="254" spans="1:12" ht="24.95" customHeight="1">
      <c r="A254" s="206"/>
      <c r="B254" s="159"/>
      <c r="C254" s="159"/>
      <c r="D254" s="159"/>
      <c r="E254" s="159"/>
      <c r="H254" s="159"/>
      <c r="I254" s="159"/>
      <c r="J254" s="159"/>
      <c r="K254" s="159"/>
      <c r="L254" s="159"/>
    </row>
    <row r="255" spans="1:12" ht="24.95" customHeight="1">
      <c r="A255" s="206"/>
      <c r="B255" s="159"/>
      <c r="C255" s="159"/>
      <c r="D255" s="159"/>
      <c r="E255" s="159"/>
      <c r="H255" s="159"/>
      <c r="I255" s="159"/>
      <c r="J255" s="159"/>
      <c r="K255" s="159"/>
      <c r="L255" s="159"/>
    </row>
    <row r="256" spans="1:12" ht="24.95" customHeight="1">
      <c r="A256" s="206"/>
      <c r="B256" s="159"/>
      <c r="C256" s="159"/>
      <c r="D256" s="159"/>
      <c r="E256" s="159"/>
      <c r="H256" s="159"/>
      <c r="I256" s="159"/>
      <c r="J256" s="159"/>
      <c r="K256" s="159"/>
      <c r="L256" s="159"/>
    </row>
    <row r="257" spans="1:12" ht="24.95" customHeight="1">
      <c r="A257" s="206"/>
      <c r="B257" s="159"/>
      <c r="C257" s="159"/>
      <c r="D257" s="159"/>
      <c r="E257" s="159"/>
      <c r="H257" s="159"/>
      <c r="I257" s="159"/>
      <c r="J257" s="159"/>
      <c r="K257" s="159"/>
      <c r="L257" s="159"/>
    </row>
    <row r="258" spans="1:12" ht="24.95" customHeight="1">
      <c r="A258" s="206"/>
      <c r="B258" s="159"/>
      <c r="C258" s="159"/>
      <c r="D258" s="159"/>
      <c r="E258" s="159"/>
      <c r="H258" s="159"/>
      <c r="I258" s="159"/>
      <c r="J258" s="159"/>
      <c r="K258" s="159"/>
      <c r="L258" s="159"/>
    </row>
    <row r="259" spans="1:12" ht="24.95" customHeight="1">
      <c r="A259" s="206"/>
      <c r="B259" s="159"/>
      <c r="C259" s="159"/>
      <c r="D259" s="159"/>
      <c r="E259" s="159"/>
      <c r="H259" s="159"/>
      <c r="I259" s="159"/>
      <c r="J259" s="159"/>
      <c r="K259" s="159"/>
      <c r="L259" s="159"/>
    </row>
    <row r="260" spans="1:12" ht="24.95" customHeight="1">
      <c r="A260" s="206"/>
      <c r="B260" s="159"/>
      <c r="C260" s="159"/>
      <c r="D260" s="159"/>
      <c r="E260" s="159"/>
      <c r="H260" s="159"/>
      <c r="I260" s="159"/>
      <c r="J260" s="159"/>
      <c r="K260" s="159"/>
      <c r="L260" s="159"/>
    </row>
    <row r="261" spans="1:12" ht="24.95" customHeight="1">
      <c r="A261" s="206"/>
      <c r="B261" s="159"/>
      <c r="C261" s="159"/>
      <c r="D261" s="159"/>
      <c r="E261" s="159"/>
      <c r="H261" s="159"/>
      <c r="I261" s="159"/>
      <c r="J261" s="159"/>
      <c r="K261" s="159"/>
      <c r="L261" s="159"/>
    </row>
    <row r="262" spans="1:12" ht="24.95" customHeight="1">
      <c r="A262" s="206"/>
      <c r="B262" s="159"/>
      <c r="C262" s="159"/>
      <c r="D262" s="159"/>
      <c r="E262" s="159"/>
      <c r="H262" s="159"/>
      <c r="I262" s="159"/>
      <c r="J262" s="159"/>
      <c r="K262" s="159"/>
      <c r="L262" s="159"/>
    </row>
    <row r="263" spans="1:12" ht="24.95" customHeight="1">
      <c r="A263" s="206"/>
      <c r="B263" s="159"/>
      <c r="C263" s="159"/>
      <c r="D263" s="159"/>
      <c r="E263" s="159"/>
      <c r="H263" s="159"/>
      <c r="I263" s="159"/>
      <c r="J263" s="159"/>
      <c r="K263" s="159"/>
      <c r="L263" s="159"/>
    </row>
    <row r="264" spans="1:12" ht="24.95" customHeight="1">
      <c r="A264" s="206"/>
      <c r="B264" s="159"/>
      <c r="C264" s="159"/>
      <c r="D264" s="159"/>
      <c r="E264" s="159"/>
      <c r="H264" s="159"/>
      <c r="I264" s="159"/>
      <c r="J264" s="159"/>
      <c r="K264" s="159"/>
      <c r="L264" s="159"/>
    </row>
    <row r="265" spans="1:12" ht="24.95" customHeight="1">
      <c r="A265" s="206"/>
      <c r="B265" s="159"/>
      <c r="C265" s="159"/>
      <c r="D265" s="159"/>
      <c r="E265" s="159"/>
      <c r="H265" s="159"/>
      <c r="I265" s="159"/>
      <c r="J265" s="159"/>
      <c r="K265" s="159"/>
      <c r="L265" s="159"/>
    </row>
    <row r="266" spans="1:12" ht="24.95" customHeight="1">
      <c r="A266" s="206"/>
      <c r="B266" s="159"/>
      <c r="C266" s="159"/>
      <c r="D266" s="159"/>
      <c r="E266" s="159"/>
      <c r="H266" s="159"/>
      <c r="I266" s="159"/>
      <c r="J266" s="159"/>
      <c r="K266" s="159"/>
      <c r="L266" s="159"/>
    </row>
    <row r="267" spans="1:12" ht="24.95" customHeight="1">
      <c r="A267" s="206"/>
      <c r="B267" s="159"/>
      <c r="C267" s="159"/>
      <c r="D267" s="159"/>
      <c r="E267" s="159"/>
      <c r="H267" s="159"/>
      <c r="I267" s="159"/>
      <c r="J267" s="159"/>
      <c r="K267" s="159"/>
      <c r="L267" s="159"/>
    </row>
    <row r="268" spans="1:12" ht="24.95" customHeight="1">
      <c r="A268" s="206"/>
      <c r="B268" s="159"/>
      <c r="C268" s="159"/>
      <c r="D268" s="159"/>
      <c r="E268" s="159"/>
      <c r="H268" s="159"/>
      <c r="I268" s="159"/>
      <c r="J268" s="159"/>
      <c r="K268" s="159"/>
      <c r="L268" s="159"/>
    </row>
    <row r="269" spans="1:12" ht="24.95" customHeight="1">
      <c r="A269" s="206"/>
      <c r="B269" s="159"/>
      <c r="C269" s="159"/>
      <c r="D269" s="159"/>
      <c r="E269" s="159"/>
      <c r="H269" s="159"/>
      <c r="I269" s="159"/>
      <c r="J269" s="159"/>
      <c r="K269" s="159"/>
      <c r="L269" s="159"/>
    </row>
    <row r="270" spans="1:12" ht="24.95" customHeight="1">
      <c r="A270" s="206"/>
      <c r="B270" s="159"/>
      <c r="C270" s="159"/>
      <c r="D270" s="159"/>
      <c r="E270" s="159"/>
      <c r="H270" s="159"/>
      <c r="I270" s="159"/>
      <c r="J270" s="159"/>
      <c r="K270" s="159"/>
      <c r="L270" s="159"/>
    </row>
    <row r="271" spans="1:12" ht="24.95" customHeight="1">
      <c r="A271" s="206"/>
      <c r="B271" s="159"/>
      <c r="C271" s="159"/>
      <c r="D271" s="159"/>
      <c r="E271" s="159"/>
      <c r="H271" s="159"/>
      <c r="I271" s="159"/>
      <c r="J271" s="159"/>
      <c r="K271" s="159"/>
      <c r="L271" s="159"/>
    </row>
    <row r="272" spans="1:12" ht="24.95" customHeight="1">
      <c r="A272" s="206"/>
      <c r="B272" s="159"/>
      <c r="C272" s="159"/>
      <c r="D272" s="159"/>
      <c r="E272" s="159"/>
      <c r="H272" s="159"/>
      <c r="I272" s="159"/>
      <c r="J272" s="159"/>
      <c r="K272" s="159"/>
      <c r="L272" s="159"/>
    </row>
    <row r="273" spans="1:12" ht="24.95" customHeight="1">
      <c r="A273" s="206"/>
      <c r="B273" s="159"/>
      <c r="C273" s="159"/>
      <c r="D273" s="159"/>
      <c r="E273" s="159"/>
      <c r="H273" s="159"/>
      <c r="I273" s="159"/>
      <c r="J273" s="159"/>
      <c r="K273" s="159"/>
      <c r="L273" s="159"/>
    </row>
    <row r="274" spans="1:12" ht="24.95" customHeight="1">
      <c r="A274" s="206"/>
      <c r="B274" s="159"/>
      <c r="C274" s="159"/>
      <c r="D274" s="159"/>
      <c r="E274" s="159"/>
      <c r="H274" s="159"/>
      <c r="I274" s="159"/>
      <c r="J274" s="159"/>
      <c r="K274" s="159"/>
      <c r="L274" s="159"/>
    </row>
    <row r="275" spans="1:12" ht="24.95" customHeight="1">
      <c r="A275" s="206"/>
      <c r="B275" s="159"/>
      <c r="C275" s="159"/>
      <c r="D275" s="159"/>
      <c r="E275" s="159"/>
      <c r="H275" s="159"/>
      <c r="I275" s="159"/>
      <c r="J275" s="159"/>
      <c r="K275" s="159"/>
      <c r="L275" s="159"/>
    </row>
    <row r="276" spans="1:12" ht="24.95" customHeight="1">
      <c r="A276" s="206"/>
      <c r="B276" s="159"/>
      <c r="C276" s="159"/>
      <c r="D276" s="159"/>
      <c r="E276" s="159"/>
      <c r="H276" s="159"/>
      <c r="I276" s="159"/>
      <c r="J276" s="159"/>
      <c r="K276" s="159"/>
      <c r="L276" s="159"/>
    </row>
    <row r="277" spans="1:12" ht="24.95" customHeight="1">
      <c r="A277" s="206"/>
      <c r="B277" s="159"/>
      <c r="C277" s="159"/>
      <c r="D277" s="159"/>
      <c r="E277" s="159"/>
      <c r="H277" s="159"/>
      <c r="I277" s="159"/>
      <c r="J277" s="159"/>
      <c r="K277" s="159"/>
      <c r="L277" s="159"/>
    </row>
    <row r="278" spans="1:12" ht="24.95" customHeight="1">
      <c r="A278" s="206"/>
      <c r="B278" s="159"/>
      <c r="C278" s="159"/>
      <c r="D278" s="159"/>
      <c r="E278" s="159"/>
      <c r="H278" s="159"/>
      <c r="I278" s="159"/>
      <c r="J278" s="159"/>
      <c r="K278" s="159"/>
      <c r="L278" s="159"/>
    </row>
    <row r="279" spans="1:12" ht="24.95" customHeight="1">
      <c r="A279" s="206"/>
      <c r="B279" s="159"/>
      <c r="C279" s="159"/>
      <c r="D279" s="159"/>
      <c r="E279" s="159"/>
      <c r="H279" s="159"/>
      <c r="I279" s="159"/>
      <c r="J279" s="159"/>
      <c r="K279" s="159"/>
      <c r="L279" s="159"/>
    </row>
    <row r="280" spans="1:12" ht="24.95" customHeight="1">
      <c r="A280" s="206"/>
      <c r="B280" s="159"/>
      <c r="C280" s="159"/>
      <c r="D280" s="159"/>
      <c r="E280" s="159"/>
      <c r="H280" s="159"/>
      <c r="I280" s="159"/>
      <c r="J280" s="159"/>
      <c r="K280" s="159"/>
      <c r="L280" s="159"/>
    </row>
    <row r="281" spans="1:12" ht="24.95" customHeight="1">
      <c r="A281" s="206"/>
      <c r="B281" s="159"/>
      <c r="C281" s="159"/>
      <c r="D281" s="159"/>
      <c r="E281" s="159"/>
      <c r="H281" s="159"/>
      <c r="I281" s="159"/>
      <c r="J281" s="159"/>
      <c r="K281" s="159"/>
      <c r="L281" s="159"/>
    </row>
    <row r="282" spans="1:12" ht="24.95" customHeight="1">
      <c r="A282" s="206"/>
      <c r="B282" s="159"/>
      <c r="C282" s="159"/>
      <c r="D282" s="159"/>
      <c r="E282" s="159"/>
      <c r="H282" s="159"/>
      <c r="I282" s="159"/>
      <c r="J282" s="159"/>
      <c r="K282" s="159"/>
      <c r="L282" s="159"/>
    </row>
    <row r="283" spans="1:12" ht="24.95" customHeight="1">
      <c r="A283" s="206"/>
      <c r="B283" s="159"/>
      <c r="C283" s="159"/>
      <c r="D283" s="159"/>
      <c r="E283" s="159"/>
      <c r="H283" s="159"/>
      <c r="I283" s="159"/>
      <c r="J283" s="159"/>
      <c r="K283" s="159"/>
      <c r="L283" s="159"/>
    </row>
    <row r="284" spans="1:12" ht="24.95" customHeight="1">
      <c r="A284" s="206"/>
      <c r="B284" s="159"/>
      <c r="C284" s="159"/>
      <c r="D284" s="159"/>
      <c r="E284" s="159"/>
      <c r="H284" s="159"/>
      <c r="I284" s="159"/>
      <c r="J284" s="159"/>
      <c r="K284" s="159"/>
      <c r="L284" s="159"/>
    </row>
    <row r="285" spans="1:12" ht="24.95" customHeight="1">
      <c r="A285" s="206"/>
      <c r="B285" s="159"/>
      <c r="C285" s="159"/>
      <c r="D285" s="159"/>
      <c r="E285" s="159"/>
      <c r="H285" s="159"/>
      <c r="I285" s="159"/>
      <c r="J285" s="159"/>
      <c r="K285" s="159"/>
      <c r="L285" s="159"/>
    </row>
    <row r="286" spans="1:12" ht="24.95" customHeight="1">
      <c r="A286" s="206"/>
      <c r="B286" s="159"/>
      <c r="C286" s="159"/>
      <c r="D286" s="159"/>
      <c r="E286" s="159"/>
      <c r="H286" s="159"/>
      <c r="I286" s="159"/>
      <c r="J286" s="159"/>
      <c r="K286" s="159"/>
      <c r="L286" s="159"/>
    </row>
    <row r="287" spans="1:12" ht="24.95" customHeight="1">
      <c r="A287" s="206"/>
      <c r="B287" s="159"/>
      <c r="C287" s="159"/>
      <c r="D287" s="159"/>
      <c r="E287" s="159"/>
      <c r="H287" s="159"/>
      <c r="I287" s="159"/>
      <c r="J287" s="159"/>
      <c r="K287" s="159"/>
      <c r="L287" s="159"/>
    </row>
    <row r="288" spans="1:12" ht="24.95" customHeight="1">
      <c r="A288" s="206"/>
      <c r="B288" s="159"/>
      <c r="C288" s="159"/>
      <c r="D288" s="159"/>
      <c r="E288" s="159"/>
      <c r="H288" s="159"/>
      <c r="I288" s="159"/>
      <c r="J288" s="159"/>
      <c r="K288" s="159"/>
      <c r="L288" s="159"/>
    </row>
    <row r="289" spans="1:12" ht="24.95" customHeight="1">
      <c r="A289" s="206"/>
      <c r="B289" s="159"/>
      <c r="C289" s="159"/>
      <c r="D289" s="159"/>
      <c r="E289" s="159"/>
      <c r="H289" s="159"/>
      <c r="I289" s="159"/>
      <c r="J289" s="159"/>
      <c r="K289" s="159"/>
      <c r="L289" s="159"/>
    </row>
    <row r="290" spans="1:12" ht="24.95" customHeight="1">
      <c r="A290" s="206"/>
      <c r="B290" s="159"/>
      <c r="C290" s="159"/>
      <c r="D290" s="159"/>
      <c r="E290" s="159"/>
      <c r="H290" s="159"/>
      <c r="I290" s="159"/>
      <c r="J290" s="159"/>
      <c r="K290" s="159"/>
      <c r="L290" s="159"/>
    </row>
    <row r="291" spans="1:12" ht="24.95" customHeight="1">
      <c r="A291" s="206"/>
      <c r="B291" s="159"/>
      <c r="C291" s="159"/>
      <c r="D291" s="159"/>
      <c r="E291" s="159"/>
      <c r="H291" s="159"/>
      <c r="I291" s="159"/>
      <c r="J291" s="159"/>
      <c r="K291" s="159"/>
      <c r="L291" s="159"/>
    </row>
    <row r="292" spans="1:12" ht="24.95" customHeight="1">
      <c r="A292" s="206"/>
      <c r="B292" s="159"/>
      <c r="C292" s="159"/>
      <c r="D292" s="159"/>
      <c r="E292" s="159"/>
      <c r="H292" s="159"/>
      <c r="I292" s="159"/>
      <c r="J292" s="159"/>
      <c r="K292" s="159"/>
      <c r="L292" s="159"/>
    </row>
    <row r="293" spans="1:12" ht="24.95" customHeight="1">
      <c r="A293" s="206"/>
      <c r="B293" s="159"/>
      <c r="C293" s="159"/>
      <c r="D293" s="159"/>
      <c r="E293" s="159"/>
      <c r="H293" s="159"/>
      <c r="I293" s="159"/>
      <c r="J293" s="159"/>
      <c r="K293" s="159"/>
      <c r="L293" s="159"/>
    </row>
    <row r="294" spans="1:12" ht="24.95" customHeight="1">
      <c r="A294" s="206"/>
      <c r="B294" s="159"/>
      <c r="C294" s="159"/>
      <c r="D294" s="159"/>
      <c r="E294" s="159"/>
      <c r="H294" s="159"/>
      <c r="I294" s="159"/>
      <c r="J294" s="159"/>
      <c r="K294" s="159"/>
      <c r="L294" s="159"/>
    </row>
    <row r="295" spans="1:12" ht="24.95" customHeight="1">
      <c r="A295" s="206"/>
      <c r="B295" s="159"/>
      <c r="C295" s="159"/>
      <c r="D295" s="159"/>
      <c r="E295" s="159"/>
      <c r="H295" s="159"/>
      <c r="I295" s="159"/>
      <c r="J295" s="159"/>
      <c r="K295" s="159"/>
      <c r="L295" s="159"/>
    </row>
    <row r="296" spans="1:12" ht="24.95" customHeight="1">
      <c r="A296" s="206"/>
      <c r="B296" s="159"/>
      <c r="C296" s="159"/>
      <c r="D296" s="159"/>
      <c r="E296" s="159"/>
      <c r="H296" s="159"/>
      <c r="I296" s="159"/>
      <c r="J296" s="159"/>
      <c r="K296" s="159"/>
      <c r="L296" s="159"/>
    </row>
    <row r="297" spans="1:12" ht="24.95" customHeight="1">
      <c r="A297" s="206"/>
      <c r="B297" s="159"/>
      <c r="C297" s="159"/>
      <c r="D297" s="159"/>
      <c r="E297" s="159"/>
      <c r="H297" s="159"/>
      <c r="I297" s="159"/>
      <c r="J297" s="159"/>
      <c r="K297" s="159"/>
      <c r="L297" s="159"/>
    </row>
    <row r="298" spans="1:12" ht="24.95" customHeight="1">
      <c r="A298" s="206"/>
      <c r="B298" s="159"/>
      <c r="C298" s="159"/>
      <c r="D298" s="159"/>
      <c r="E298" s="159"/>
      <c r="H298" s="159"/>
      <c r="I298" s="159"/>
      <c r="J298" s="159"/>
      <c r="K298" s="159"/>
      <c r="L298" s="159"/>
    </row>
    <row r="299" spans="1:12" ht="24.95" customHeight="1">
      <c r="A299" s="206"/>
      <c r="B299" s="159"/>
      <c r="C299" s="159"/>
      <c r="D299" s="159"/>
      <c r="E299" s="159"/>
      <c r="H299" s="159"/>
      <c r="I299" s="159"/>
      <c r="J299" s="159"/>
      <c r="K299" s="159"/>
      <c r="L299" s="159"/>
    </row>
    <row r="300" spans="1:12" ht="24.95" customHeight="1">
      <c r="A300" s="206"/>
      <c r="B300" s="159"/>
      <c r="C300" s="159"/>
      <c r="D300" s="159"/>
      <c r="E300" s="159"/>
      <c r="H300" s="159"/>
      <c r="I300" s="159"/>
      <c r="J300" s="159"/>
      <c r="K300" s="159"/>
      <c r="L300" s="159"/>
    </row>
    <row r="301" spans="1:12" ht="24.95" customHeight="1">
      <c r="A301" s="206"/>
      <c r="B301" s="159"/>
      <c r="C301" s="159"/>
      <c r="D301" s="159"/>
      <c r="E301" s="159"/>
      <c r="H301" s="159"/>
      <c r="I301" s="159"/>
      <c r="J301" s="159"/>
      <c r="K301" s="159"/>
      <c r="L301" s="159"/>
    </row>
    <row r="302" spans="1:12" ht="24.95" customHeight="1">
      <c r="A302" s="206"/>
      <c r="B302" s="159"/>
      <c r="C302" s="159"/>
      <c r="D302" s="159"/>
      <c r="E302" s="159"/>
      <c r="H302" s="159"/>
      <c r="I302" s="159"/>
      <c r="J302" s="159"/>
      <c r="K302" s="159"/>
      <c r="L302" s="159"/>
    </row>
    <row r="303" spans="1:12" ht="24.95" customHeight="1">
      <c r="A303" s="206"/>
      <c r="B303" s="159"/>
      <c r="C303" s="159"/>
      <c r="D303" s="159"/>
      <c r="E303" s="159"/>
      <c r="H303" s="159"/>
      <c r="I303" s="159"/>
      <c r="J303" s="159"/>
      <c r="K303" s="159"/>
      <c r="L303" s="159"/>
    </row>
    <row r="304" spans="1:12" ht="24.95" customHeight="1">
      <c r="A304" s="206"/>
      <c r="B304" s="159"/>
      <c r="C304" s="159"/>
      <c r="D304" s="159"/>
      <c r="E304" s="159"/>
      <c r="H304" s="159"/>
      <c r="I304" s="159"/>
      <c r="J304" s="159"/>
      <c r="K304" s="159"/>
      <c r="L304" s="159"/>
    </row>
    <row r="305" spans="1:12" ht="24.95" customHeight="1">
      <c r="A305" s="206"/>
      <c r="B305" s="159"/>
      <c r="C305" s="159"/>
      <c r="D305" s="159"/>
      <c r="E305" s="159"/>
      <c r="H305" s="159"/>
      <c r="I305" s="159"/>
      <c r="J305" s="159"/>
      <c r="K305" s="159"/>
      <c r="L305" s="159"/>
    </row>
    <row r="306" spans="1:12" ht="24.95" customHeight="1">
      <c r="A306" s="206"/>
      <c r="B306" s="159"/>
      <c r="C306" s="159"/>
      <c r="D306" s="159"/>
      <c r="E306" s="159"/>
      <c r="H306" s="159"/>
      <c r="I306" s="159"/>
      <c r="J306" s="159"/>
      <c r="K306" s="159"/>
      <c r="L306" s="159"/>
    </row>
    <row r="307" spans="1:12" ht="24.95" customHeight="1">
      <c r="A307" s="206"/>
      <c r="B307" s="159"/>
      <c r="C307" s="159"/>
      <c r="D307" s="159"/>
      <c r="E307" s="159"/>
      <c r="H307" s="159"/>
      <c r="I307" s="159"/>
      <c r="J307" s="159"/>
      <c r="K307" s="159"/>
      <c r="L307" s="159"/>
    </row>
    <row r="308" spans="1:12" ht="24.95" customHeight="1">
      <c r="A308" s="206"/>
      <c r="B308" s="159"/>
      <c r="C308" s="159"/>
      <c r="D308" s="159"/>
      <c r="E308" s="159"/>
      <c r="H308" s="159"/>
      <c r="I308" s="159"/>
      <c r="J308" s="159"/>
      <c r="K308" s="159"/>
      <c r="L308" s="159"/>
    </row>
    <row r="309" spans="1:12" ht="24.95" customHeight="1">
      <c r="A309" s="206"/>
      <c r="B309" s="159"/>
      <c r="C309" s="159"/>
      <c r="D309" s="159"/>
      <c r="E309" s="159"/>
      <c r="H309" s="159"/>
      <c r="I309" s="159"/>
      <c r="J309" s="159"/>
      <c r="K309" s="159"/>
      <c r="L309" s="159"/>
    </row>
    <row r="310" spans="1:12" ht="24.95" customHeight="1">
      <c r="A310" s="206"/>
      <c r="B310" s="159"/>
      <c r="C310" s="159"/>
      <c r="D310" s="159"/>
      <c r="E310" s="159"/>
      <c r="H310" s="159"/>
      <c r="I310" s="159"/>
      <c r="J310" s="159"/>
      <c r="K310" s="159"/>
      <c r="L310" s="159"/>
    </row>
    <row r="311" spans="1:12" ht="24.95" customHeight="1">
      <c r="A311" s="206"/>
      <c r="B311" s="159"/>
      <c r="C311" s="159"/>
      <c r="D311" s="159"/>
      <c r="E311" s="159"/>
      <c r="H311" s="159"/>
      <c r="I311" s="159"/>
      <c r="J311" s="159"/>
      <c r="K311" s="159"/>
      <c r="L311" s="159"/>
    </row>
    <row r="312" spans="1:12" ht="24.95" customHeight="1">
      <c r="A312" s="206"/>
      <c r="B312" s="159"/>
      <c r="C312" s="159"/>
      <c r="D312" s="159"/>
      <c r="E312" s="159"/>
      <c r="H312" s="159"/>
      <c r="I312" s="159"/>
      <c r="J312" s="159"/>
      <c r="K312" s="159"/>
      <c r="L312" s="159"/>
    </row>
    <row r="313" spans="1:12" ht="24.95" customHeight="1">
      <c r="A313" s="206"/>
      <c r="B313" s="159"/>
      <c r="C313" s="159"/>
      <c r="D313" s="159"/>
      <c r="E313" s="159"/>
      <c r="H313" s="159"/>
      <c r="I313" s="159"/>
      <c r="J313" s="159"/>
      <c r="K313" s="159"/>
      <c r="L313" s="159"/>
    </row>
    <row r="314" spans="1:12" ht="24.95" customHeight="1">
      <c r="A314" s="206"/>
      <c r="B314" s="159"/>
      <c r="C314" s="159"/>
      <c r="D314" s="159"/>
      <c r="E314" s="159"/>
      <c r="H314" s="159"/>
      <c r="I314" s="159"/>
      <c r="J314" s="159"/>
      <c r="K314" s="159"/>
      <c r="L314" s="159"/>
    </row>
    <row r="315" spans="1:12" ht="24.95" customHeight="1">
      <c r="A315" s="206"/>
      <c r="B315" s="159"/>
      <c r="C315" s="159"/>
      <c r="D315" s="159"/>
      <c r="E315" s="159"/>
      <c r="H315" s="159"/>
      <c r="I315" s="159"/>
      <c r="J315" s="159"/>
      <c r="K315" s="159"/>
      <c r="L315" s="159"/>
    </row>
    <row r="316" spans="1:12" ht="24.95" customHeight="1">
      <c r="A316" s="206"/>
      <c r="B316" s="159"/>
      <c r="C316" s="159"/>
      <c r="D316" s="159"/>
      <c r="E316" s="159"/>
      <c r="H316" s="159"/>
      <c r="I316" s="159"/>
      <c r="J316" s="159"/>
      <c r="K316" s="159"/>
      <c r="L316" s="159"/>
    </row>
    <row r="317" spans="1:12" ht="24.95" customHeight="1">
      <c r="A317" s="206"/>
      <c r="B317" s="159"/>
      <c r="C317" s="159"/>
      <c r="D317" s="159"/>
      <c r="E317" s="159"/>
      <c r="H317" s="159"/>
      <c r="I317" s="159"/>
      <c r="J317" s="159"/>
      <c r="K317" s="159"/>
      <c r="L317" s="159"/>
    </row>
    <row r="318" spans="1:12" ht="24.95" customHeight="1">
      <c r="A318" s="206"/>
      <c r="B318" s="159"/>
      <c r="C318" s="159"/>
      <c r="D318" s="159"/>
      <c r="E318" s="159"/>
      <c r="H318" s="159"/>
      <c r="I318" s="159"/>
      <c r="J318" s="159"/>
      <c r="K318" s="159"/>
      <c r="L318" s="159"/>
    </row>
    <row r="319" spans="1:12" ht="24.95" customHeight="1">
      <c r="A319" s="206"/>
      <c r="B319" s="159"/>
      <c r="C319" s="159"/>
      <c r="D319" s="159"/>
      <c r="E319" s="159"/>
      <c r="H319" s="159"/>
      <c r="I319" s="159"/>
      <c r="J319" s="159"/>
      <c r="K319" s="159"/>
      <c r="L319" s="159"/>
    </row>
    <row r="320" spans="1:12" ht="24.95" customHeight="1">
      <c r="A320" s="206"/>
      <c r="B320" s="159"/>
      <c r="C320" s="159"/>
      <c r="D320" s="159"/>
      <c r="E320" s="159"/>
      <c r="H320" s="159"/>
      <c r="I320" s="159"/>
      <c r="J320" s="159"/>
      <c r="K320" s="159"/>
      <c r="L320" s="159"/>
    </row>
    <row r="321" spans="1:12" ht="24.95" customHeight="1">
      <c r="A321" s="206"/>
      <c r="B321" s="159"/>
      <c r="C321" s="159"/>
      <c r="D321" s="159"/>
      <c r="E321" s="159"/>
      <c r="H321" s="159"/>
      <c r="I321" s="159"/>
      <c r="J321" s="159"/>
      <c r="K321" s="159"/>
      <c r="L321" s="159"/>
    </row>
    <row r="322" spans="1:12" ht="24.95" customHeight="1">
      <c r="A322" s="206"/>
      <c r="B322" s="159"/>
      <c r="C322" s="159"/>
      <c r="D322" s="159"/>
      <c r="E322" s="159"/>
      <c r="H322" s="159"/>
      <c r="I322" s="159"/>
      <c r="J322" s="159"/>
      <c r="K322" s="159"/>
      <c r="L322" s="159"/>
    </row>
    <row r="323" spans="1:12" ht="24.95" customHeight="1">
      <c r="A323" s="206"/>
      <c r="B323" s="159"/>
      <c r="C323" s="159"/>
      <c r="D323" s="159"/>
      <c r="E323" s="159"/>
      <c r="H323" s="159"/>
      <c r="I323" s="159"/>
      <c r="J323" s="159"/>
      <c r="K323" s="159"/>
      <c r="L323" s="159"/>
    </row>
    <row r="324" spans="1:12" ht="24.95" customHeight="1">
      <c r="A324" s="206"/>
      <c r="B324" s="159"/>
      <c r="C324" s="159"/>
      <c r="D324" s="159"/>
      <c r="E324" s="159"/>
      <c r="H324" s="159"/>
      <c r="I324" s="159"/>
      <c r="J324" s="159"/>
      <c r="K324" s="159"/>
      <c r="L324" s="159"/>
    </row>
    <row r="325" spans="1:12" ht="24.95" customHeight="1">
      <c r="A325" s="206"/>
      <c r="B325" s="159"/>
      <c r="C325" s="159"/>
      <c r="D325" s="159"/>
      <c r="E325" s="159"/>
      <c r="H325" s="159"/>
      <c r="I325" s="159"/>
      <c r="J325" s="159"/>
      <c r="K325" s="159"/>
      <c r="L325" s="159"/>
    </row>
    <row r="326" spans="1:12" ht="24.95" customHeight="1">
      <c r="A326" s="206"/>
      <c r="B326" s="159"/>
      <c r="C326" s="159"/>
      <c r="D326" s="159"/>
      <c r="E326" s="159"/>
      <c r="H326" s="159"/>
      <c r="I326" s="159"/>
      <c r="J326" s="159"/>
      <c r="K326" s="159"/>
      <c r="L326" s="159"/>
    </row>
    <row r="327" spans="1:12" ht="24.95" customHeight="1">
      <c r="A327" s="206"/>
      <c r="B327" s="159"/>
      <c r="C327" s="159"/>
      <c r="D327" s="159"/>
      <c r="E327" s="159"/>
      <c r="H327" s="159"/>
      <c r="I327" s="159"/>
      <c r="J327" s="159"/>
      <c r="K327" s="159"/>
      <c r="L327" s="159"/>
    </row>
    <row r="328" spans="1:12" ht="24.95" customHeight="1">
      <c r="A328" s="206"/>
      <c r="B328" s="159"/>
      <c r="C328" s="159"/>
      <c r="D328" s="159"/>
      <c r="E328" s="159"/>
      <c r="H328" s="159"/>
      <c r="I328" s="159"/>
      <c r="J328" s="159"/>
      <c r="K328" s="159"/>
      <c r="L328" s="159"/>
    </row>
    <row r="329" spans="1:12" ht="24.95" customHeight="1">
      <c r="A329" s="206"/>
      <c r="B329" s="159"/>
      <c r="C329" s="159"/>
      <c r="D329" s="159"/>
      <c r="E329" s="159"/>
      <c r="H329" s="159"/>
      <c r="I329" s="159"/>
      <c r="J329" s="159"/>
      <c r="K329" s="159"/>
      <c r="L329" s="159"/>
    </row>
    <row r="330" spans="1:12" ht="24.95" customHeight="1">
      <c r="A330" s="206"/>
      <c r="B330" s="159"/>
      <c r="C330" s="159"/>
      <c r="D330" s="159"/>
      <c r="E330" s="159"/>
      <c r="H330" s="159"/>
      <c r="I330" s="159"/>
      <c r="J330" s="159"/>
      <c r="K330" s="159"/>
      <c r="L330" s="159"/>
    </row>
    <row r="331" spans="1:12" ht="24.95" customHeight="1">
      <c r="A331" s="206"/>
      <c r="B331" s="159"/>
      <c r="C331" s="159"/>
      <c r="D331" s="159"/>
      <c r="E331" s="159"/>
      <c r="H331" s="159"/>
      <c r="I331" s="159"/>
      <c r="J331" s="159"/>
      <c r="K331" s="159"/>
      <c r="L331" s="159"/>
    </row>
    <row r="332" spans="1:12" ht="24.95" customHeight="1">
      <c r="A332" s="206"/>
      <c r="B332" s="159"/>
      <c r="C332" s="159"/>
      <c r="D332" s="159"/>
      <c r="E332" s="159"/>
      <c r="H332" s="159"/>
      <c r="I332" s="159"/>
      <c r="J332" s="159"/>
      <c r="K332" s="159"/>
      <c r="L332" s="159"/>
    </row>
    <row r="333" spans="1:12" ht="24.95" customHeight="1">
      <c r="A333" s="206"/>
      <c r="B333" s="159"/>
      <c r="C333" s="159"/>
      <c r="D333" s="159"/>
      <c r="E333" s="159"/>
      <c r="H333" s="159"/>
      <c r="I333" s="159"/>
      <c r="J333" s="159"/>
      <c r="K333" s="159"/>
      <c r="L333" s="159"/>
    </row>
    <row r="334" spans="1:12" ht="24.95" customHeight="1">
      <c r="A334" s="206"/>
      <c r="B334" s="159"/>
      <c r="C334" s="159"/>
      <c r="D334" s="159"/>
      <c r="E334" s="159"/>
      <c r="H334" s="159"/>
      <c r="I334" s="159"/>
      <c r="J334" s="159"/>
      <c r="K334" s="159"/>
      <c r="L334" s="159"/>
    </row>
    <row r="335" spans="1:12" ht="24.95" customHeight="1">
      <c r="A335" s="206"/>
      <c r="B335" s="159"/>
      <c r="C335" s="159"/>
      <c r="D335" s="159"/>
      <c r="E335" s="159"/>
      <c r="H335" s="159"/>
      <c r="I335" s="159"/>
      <c r="J335" s="159"/>
      <c r="K335" s="159"/>
      <c r="L335" s="159"/>
    </row>
    <row r="336" spans="1:12" ht="24.95" customHeight="1">
      <c r="A336" s="206"/>
      <c r="B336" s="159"/>
      <c r="C336" s="159"/>
      <c r="D336" s="159"/>
      <c r="E336" s="159"/>
      <c r="H336" s="159"/>
      <c r="I336" s="159"/>
      <c r="J336" s="159"/>
      <c r="K336" s="159"/>
      <c r="L336" s="159"/>
    </row>
    <row r="337" spans="1:12" ht="24.95" customHeight="1">
      <c r="A337" s="206"/>
      <c r="B337" s="159"/>
      <c r="C337" s="159"/>
      <c r="D337" s="159"/>
      <c r="E337" s="159"/>
      <c r="H337" s="159"/>
      <c r="I337" s="159"/>
      <c r="J337" s="159"/>
      <c r="K337" s="159"/>
      <c r="L337" s="159"/>
    </row>
    <row r="338" spans="1:12" ht="24.95" customHeight="1">
      <c r="A338" s="206"/>
      <c r="B338" s="159"/>
      <c r="C338" s="159"/>
      <c r="D338" s="159"/>
      <c r="E338" s="159"/>
      <c r="H338" s="159"/>
      <c r="I338" s="159"/>
      <c r="J338" s="159"/>
      <c r="K338" s="159"/>
      <c r="L338" s="159"/>
    </row>
    <row r="339" spans="1:12" ht="24.95" customHeight="1">
      <c r="A339" s="206"/>
      <c r="B339" s="159"/>
      <c r="C339" s="159"/>
      <c r="D339" s="159"/>
      <c r="E339" s="159"/>
      <c r="H339" s="159"/>
      <c r="I339" s="159"/>
      <c r="J339" s="159"/>
      <c r="K339" s="159"/>
      <c r="L339" s="159"/>
    </row>
    <row r="340" spans="1:12" ht="24.95" customHeight="1">
      <c r="A340" s="206"/>
      <c r="B340" s="159"/>
      <c r="C340" s="159"/>
      <c r="D340" s="159"/>
      <c r="E340" s="159"/>
      <c r="H340" s="159"/>
      <c r="I340" s="159"/>
      <c r="J340" s="159"/>
      <c r="K340" s="159"/>
      <c r="L340" s="159"/>
    </row>
    <row r="341" spans="1:12" ht="24.95" customHeight="1">
      <c r="A341" s="206"/>
      <c r="B341" s="159"/>
      <c r="C341" s="159"/>
      <c r="D341" s="159"/>
      <c r="E341" s="159"/>
      <c r="H341" s="159"/>
      <c r="I341" s="159"/>
      <c r="J341" s="159"/>
      <c r="K341" s="159"/>
      <c r="L341" s="159"/>
    </row>
    <row r="342" spans="1:12" ht="24.95" customHeight="1">
      <c r="A342" s="206"/>
      <c r="B342" s="159"/>
      <c r="C342" s="159"/>
      <c r="D342" s="159"/>
      <c r="E342" s="159"/>
      <c r="H342" s="159"/>
      <c r="I342" s="159"/>
      <c r="J342" s="159"/>
      <c r="K342" s="159"/>
      <c r="L342" s="159"/>
    </row>
    <row r="343" spans="1:12" ht="24.95" customHeight="1">
      <c r="A343" s="206"/>
      <c r="B343" s="159"/>
      <c r="C343" s="159"/>
      <c r="D343" s="159"/>
      <c r="E343" s="159"/>
      <c r="H343" s="159"/>
      <c r="I343" s="159"/>
      <c r="J343" s="159"/>
      <c r="K343" s="159"/>
      <c r="L343" s="159"/>
    </row>
    <row r="344" spans="1:12" ht="24.95" customHeight="1">
      <c r="A344" s="206"/>
      <c r="B344" s="159"/>
      <c r="C344" s="159"/>
      <c r="D344" s="159"/>
      <c r="E344" s="159"/>
      <c r="H344" s="159"/>
      <c r="I344" s="159"/>
      <c r="J344" s="159"/>
      <c r="K344" s="159"/>
      <c r="L344" s="159"/>
    </row>
    <row r="345" spans="1:12" ht="24.95" customHeight="1">
      <c r="A345" s="206"/>
      <c r="B345" s="159"/>
      <c r="C345" s="159"/>
      <c r="D345" s="159"/>
      <c r="E345" s="159"/>
      <c r="H345" s="159"/>
      <c r="I345" s="159"/>
      <c r="J345" s="159"/>
      <c r="K345" s="159"/>
      <c r="L345" s="159"/>
    </row>
    <row r="346" spans="1:12" ht="24.95" customHeight="1">
      <c r="A346" s="206"/>
      <c r="B346" s="159"/>
      <c r="C346" s="159"/>
      <c r="D346" s="159"/>
      <c r="E346" s="159"/>
      <c r="H346" s="159"/>
      <c r="I346" s="159"/>
      <c r="J346" s="159"/>
      <c r="K346" s="159"/>
      <c r="L346" s="159"/>
    </row>
    <row r="347" spans="1:12" ht="24.95" customHeight="1">
      <c r="A347" s="206"/>
      <c r="B347" s="159"/>
      <c r="C347" s="159"/>
      <c r="D347" s="159"/>
      <c r="E347" s="159"/>
      <c r="H347" s="159"/>
      <c r="I347" s="159"/>
      <c r="J347" s="159"/>
      <c r="K347" s="159"/>
      <c r="L347" s="159"/>
    </row>
    <row r="348" spans="1:12" ht="24.95" customHeight="1">
      <c r="A348" s="206"/>
      <c r="B348" s="159"/>
      <c r="C348" s="159"/>
      <c r="D348" s="159"/>
      <c r="E348" s="159"/>
      <c r="H348" s="159"/>
      <c r="I348" s="159"/>
      <c r="J348" s="159"/>
      <c r="K348" s="159"/>
      <c r="L348" s="159"/>
    </row>
    <row r="349" spans="1:12" ht="24.95" customHeight="1">
      <c r="A349" s="206"/>
      <c r="B349" s="159"/>
      <c r="C349" s="159"/>
      <c r="D349" s="159"/>
      <c r="E349" s="159"/>
      <c r="H349" s="159"/>
      <c r="I349" s="159"/>
      <c r="J349" s="159"/>
      <c r="K349" s="159"/>
      <c r="L349" s="159"/>
    </row>
    <row r="350" spans="1:12" ht="24.95" customHeight="1">
      <c r="A350" s="206"/>
      <c r="B350" s="159"/>
      <c r="C350" s="159"/>
      <c r="D350" s="159"/>
      <c r="E350" s="159"/>
      <c r="H350" s="159"/>
      <c r="I350" s="159"/>
      <c r="J350" s="159"/>
      <c r="K350" s="159"/>
      <c r="L350" s="159"/>
    </row>
    <row r="351" spans="1:12" ht="24.95" customHeight="1">
      <c r="A351" s="206"/>
      <c r="B351" s="159"/>
      <c r="C351" s="159"/>
      <c r="D351" s="159"/>
      <c r="E351" s="159"/>
      <c r="H351" s="159"/>
      <c r="I351" s="159"/>
      <c r="J351" s="159"/>
      <c r="K351" s="159"/>
      <c r="L351" s="159"/>
    </row>
    <row r="352" spans="1:12" ht="24.95" customHeight="1">
      <c r="A352" s="206"/>
      <c r="B352" s="159"/>
      <c r="C352" s="159"/>
      <c r="D352" s="159"/>
      <c r="E352" s="159"/>
      <c r="H352" s="159"/>
      <c r="I352" s="159"/>
      <c r="J352" s="159"/>
      <c r="K352" s="159"/>
      <c r="L352" s="159"/>
    </row>
    <row r="353" spans="1:12" ht="24.95" customHeight="1">
      <c r="A353" s="206"/>
      <c r="B353" s="159"/>
      <c r="C353" s="159"/>
      <c r="D353" s="159"/>
      <c r="E353" s="159"/>
      <c r="H353" s="159"/>
      <c r="I353" s="159"/>
      <c r="J353" s="159"/>
      <c r="K353" s="159"/>
      <c r="L353" s="159"/>
    </row>
    <row r="354" spans="1:12" ht="24.95" customHeight="1">
      <c r="A354" s="206"/>
      <c r="B354" s="159"/>
      <c r="C354" s="159"/>
      <c r="D354" s="159"/>
      <c r="E354" s="159"/>
      <c r="H354" s="159"/>
      <c r="I354" s="159"/>
      <c r="J354" s="159"/>
      <c r="K354" s="159"/>
      <c r="L354" s="159"/>
    </row>
    <row r="355" spans="1:12" ht="24.95" customHeight="1">
      <c r="A355" s="206"/>
      <c r="B355" s="159"/>
      <c r="C355" s="159"/>
      <c r="D355" s="159"/>
      <c r="E355" s="159"/>
      <c r="H355" s="159"/>
      <c r="I355" s="159"/>
      <c r="J355" s="159"/>
      <c r="K355" s="159"/>
      <c r="L355" s="159"/>
    </row>
    <row r="356" spans="1:12" ht="24.95" customHeight="1">
      <c r="A356" s="206"/>
      <c r="B356" s="159"/>
      <c r="C356" s="159"/>
      <c r="D356" s="159"/>
      <c r="E356" s="159"/>
      <c r="H356" s="159"/>
      <c r="I356" s="159"/>
      <c r="J356" s="159"/>
      <c r="K356" s="159"/>
      <c r="L356" s="159"/>
    </row>
    <row r="357" spans="1:12" ht="24.95" customHeight="1">
      <c r="A357" s="206"/>
      <c r="B357" s="159"/>
      <c r="C357" s="159"/>
      <c r="D357" s="159"/>
      <c r="E357" s="159"/>
      <c r="H357" s="159"/>
      <c r="I357" s="159"/>
      <c r="J357" s="159"/>
      <c r="K357" s="159"/>
      <c r="L357" s="159"/>
    </row>
    <row r="358" spans="1:12" ht="24.95" customHeight="1">
      <c r="A358" s="206"/>
      <c r="B358" s="159"/>
      <c r="C358" s="159"/>
      <c r="D358" s="159"/>
      <c r="E358" s="159"/>
      <c r="H358" s="159"/>
      <c r="I358" s="159"/>
      <c r="J358" s="159"/>
      <c r="K358" s="159"/>
      <c r="L358" s="159"/>
    </row>
    <row r="359" spans="1:12" ht="24.95" customHeight="1">
      <c r="A359" s="206"/>
      <c r="B359" s="159"/>
      <c r="C359" s="159"/>
      <c r="D359" s="159"/>
      <c r="E359" s="159"/>
      <c r="H359" s="159"/>
      <c r="I359" s="159"/>
      <c r="J359" s="159"/>
      <c r="K359" s="159"/>
      <c r="L359" s="159"/>
    </row>
    <row r="360" spans="1:12" ht="24.95" customHeight="1">
      <c r="A360" s="206"/>
      <c r="B360" s="159"/>
      <c r="C360" s="159"/>
      <c r="D360" s="159"/>
      <c r="E360" s="159"/>
      <c r="H360" s="159"/>
      <c r="I360" s="159"/>
      <c r="J360" s="159"/>
      <c r="K360" s="159"/>
      <c r="L360" s="159"/>
    </row>
    <row r="361" spans="1:12" ht="24.95" customHeight="1">
      <c r="A361" s="206"/>
      <c r="B361" s="159"/>
      <c r="C361" s="159"/>
      <c r="D361" s="159"/>
      <c r="E361" s="159"/>
      <c r="H361" s="159"/>
      <c r="I361" s="159"/>
      <c r="J361" s="159"/>
      <c r="K361" s="159"/>
      <c r="L361" s="159"/>
    </row>
    <row r="362" spans="1:12" ht="24.95" customHeight="1">
      <c r="A362" s="206"/>
      <c r="B362" s="159"/>
      <c r="C362" s="159"/>
      <c r="D362" s="159"/>
      <c r="E362" s="159"/>
      <c r="H362" s="159"/>
      <c r="I362" s="159"/>
      <c r="J362" s="159"/>
      <c r="K362" s="159"/>
      <c r="L362" s="159"/>
    </row>
    <row r="363" spans="1:12" ht="24.95" customHeight="1">
      <c r="A363" s="206"/>
      <c r="B363" s="159"/>
      <c r="C363" s="159"/>
      <c r="D363" s="159"/>
      <c r="E363" s="159"/>
      <c r="H363" s="159"/>
      <c r="I363" s="159"/>
      <c r="J363" s="159"/>
      <c r="K363" s="159"/>
      <c r="L363" s="159"/>
    </row>
    <row r="364" spans="1:12" ht="24.95" customHeight="1">
      <c r="A364" s="206"/>
      <c r="B364" s="159"/>
      <c r="C364" s="159"/>
      <c r="D364" s="159"/>
      <c r="E364" s="159"/>
      <c r="H364" s="159"/>
      <c r="I364" s="159"/>
      <c r="J364" s="159"/>
      <c r="K364" s="159"/>
      <c r="L364" s="159"/>
    </row>
    <row r="365" spans="1:12" ht="24.95" customHeight="1">
      <c r="A365" s="206"/>
      <c r="B365" s="159"/>
      <c r="C365" s="159"/>
      <c r="D365" s="159"/>
      <c r="E365" s="159"/>
      <c r="H365" s="159"/>
      <c r="I365" s="159"/>
      <c r="J365" s="159"/>
      <c r="K365" s="159"/>
      <c r="L365" s="159"/>
    </row>
    <row r="366" spans="1:12" ht="24.95" customHeight="1">
      <c r="A366" s="206"/>
      <c r="B366" s="159"/>
      <c r="C366" s="159"/>
      <c r="D366" s="159"/>
      <c r="E366" s="159"/>
      <c r="H366" s="159"/>
      <c r="I366" s="159"/>
      <c r="J366" s="159"/>
      <c r="K366" s="159"/>
      <c r="L366" s="159"/>
    </row>
    <row r="367" spans="1:12" ht="24.95" customHeight="1">
      <c r="A367" s="206"/>
      <c r="B367" s="159"/>
      <c r="C367" s="159"/>
      <c r="D367" s="159"/>
      <c r="E367" s="159"/>
      <c r="H367" s="159"/>
      <c r="I367" s="159"/>
      <c r="J367" s="159"/>
      <c r="K367" s="159"/>
      <c r="L367" s="159"/>
    </row>
    <row r="368" spans="1:12" ht="24.95" customHeight="1">
      <c r="A368" s="206"/>
      <c r="B368" s="159"/>
      <c r="C368" s="159"/>
      <c r="D368" s="159"/>
      <c r="E368" s="159"/>
      <c r="H368" s="159"/>
      <c r="I368" s="159"/>
      <c r="J368" s="159"/>
      <c r="K368" s="159"/>
      <c r="L368" s="159"/>
    </row>
    <row r="369" spans="1:12" ht="24.95" customHeight="1">
      <c r="A369" s="206"/>
      <c r="B369" s="159"/>
      <c r="C369" s="159"/>
      <c r="D369" s="159"/>
      <c r="E369" s="159"/>
      <c r="H369" s="159"/>
      <c r="I369" s="159"/>
      <c r="J369" s="159"/>
      <c r="K369" s="159"/>
      <c r="L369" s="159"/>
    </row>
    <row r="370" spans="1:12" ht="24.95" customHeight="1">
      <c r="A370" s="206"/>
      <c r="B370" s="159"/>
      <c r="C370" s="159"/>
      <c r="D370" s="159"/>
      <c r="E370" s="159"/>
      <c r="H370" s="159"/>
      <c r="I370" s="159"/>
      <c r="J370" s="159"/>
      <c r="K370" s="159"/>
      <c r="L370" s="159"/>
    </row>
    <row r="371" spans="1:12" ht="24.95" customHeight="1">
      <c r="A371" s="206"/>
      <c r="B371" s="159"/>
      <c r="C371" s="159"/>
      <c r="D371" s="159"/>
      <c r="E371" s="159"/>
      <c r="H371" s="159"/>
      <c r="I371" s="159"/>
      <c r="J371" s="159"/>
      <c r="K371" s="159"/>
      <c r="L371" s="159"/>
    </row>
    <row r="372" spans="1:12" ht="24.95" customHeight="1">
      <c r="A372" s="206"/>
      <c r="B372" s="159"/>
      <c r="C372" s="159"/>
      <c r="D372" s="159"/>
      <c r="E372" s="159"/>
      <c r="H372" s="159"/>
      <c r="I372" s="159"/>
      <c r="J372" s="159"/>
      <c r="K372" s="159"/>
      <c r="L372" s="159"/>
    </row>
    <row r="373" spans="1:12" ht="24.95" customHeight="1">
      <c r="A373" s="206"/>
      <c r="B373" s="159"/>
      <c r="C373" s="159"/>
      <c r="D373" s="159"/>
      <c r="E373" s="159"/>
      <c r="H373" s="159"/>
      <c r="I373" s="159"/>
      <c r="J373" s="159"/>
      <c r="K373" s="159"/>
      <c r="L373" s="159"/>
    </row>
    <row r="374" spans="1:12" ht="24.95" customHeight="1">
      <c r="A374" s="206"/>
      <c r="B374" s="159"/>
      <c r="C374" s="159"/>
      <c r="D374" s="159"/>
      <c r="E374" s="159"/>
      <c r="H374" s="159"/>
      <c r="I374" s="159"/>
      <c r="J374" s="159"/>
      <c r="K374" s="159"/>
      <c r="L374" s="159"/>
    </row>
    <row r="375" spans="1:12" ht="24.95" customHeight="1">
      <c r="A375" s="206"/>
      <c r="B375" s="159"/>
      <c r="C375" s="159"/>
      <c r="D375" s="159"/>
      <c r="E375" s="159"/>
      <c r="H375" s="159"/>
      <c r="I375" s="159"/>
      <c r="J375" s="159"/>
      <c r="K375" s="159"/>
      <c r="L375" s="159"/>
    </row>
    <row r="376" spans="1:12" ht="24.95" customHeight="1">
      <c r="A376" s="206"/>
      <c r="B376" s="159"/>
      <c r="C376" s="159"/>
      <c r="D376" s="159"/>
      <c r="E376" s="159"/>
      <c r="H376" s="159"/>
      <c r="I376" s="159"/>
      <c r="J376" s="159"/>
      <c r="K376" s="159"/>
      <c r="L376" s="159"/>
    </row>
    <row r="377" spans="1:12" ht="24.95" customHeight="1">
      <c r="A377" s="206"/>
      <c r="B377" s="159"/>
      <c r="C377" s="159"/>
      <c r="D377" s="159"/>
      <c r="E377" s="159"/>
      <c r="H377" s="159"/>
      <c r="I377" s="159"/>
      <c r="J377" s="159"/>
      <c r="K377" s="159"/>
      <c r="L377" s="159"/>
    </row>
    <row r="378" spans="1:12" ht="24.95" customHeight="1">
      <c r="A378" s="206"/>
      <c r="B378" s="159"/>
      <c r="C378" s="159"/>
      <c r="D378" s="159"/>
      <c r="E378" s="159"/>
      <c r="H378" s="159"/>
      <c r="I378" s="159"/>
      <c r="J378" s="159"/>
      <c r="K378" s="159"/>
      <c r="L378" s="159"/>
    </row>
    <row r="379" spans="1:12" ht="24.95" customHeight="1">
      <c r="A379" s="206"/>
      <c r="B379" s="159"/>
      <c r="C379" s="159"/>
      <c r="D379" s="159"/>
      <c r="E379" s="159"/>
      <c r="H379" s="159"/>
      <c r="I379" s="159"/>
      <c r="J379" s="159"/>
      <c r="K379" s="159"/>
      <c r="L379" s="159"/>
    </row>
    <row r="380" spans="1:12" ht="24.95" customHeight="1">
      <c r="A380" s="206"/>
      <c r="B380" s="159"/>
      <c r="C380" s="159"/>
      <c r="D380" s="159"/>
      <c r="E380" s="159"/>
      <c r="H380" s="159"/>
      <c r="I380" s="159"/>
      <c r="J380" s="159"/>
      <c r="K380" s="159"/>
      <c r="L380" s="159"/>
    </row>
    <row r="381" spans="1:12" ht="24.95" customHeight="1">
      <c r="A381" s="206"/>
      <c r="B381" s="159"/>
      <c r="C381" s="159"/>
      <c r="D381" s="159"/>
      <c r="E381" s="159"/>
      <c r="H381" s="159"/>
      <c r="I381" s="159"/>
      <c r="J381" s="159"/>
      <c r="K381" s="159"/>
      <c r="L381" s="159"/>
    </row>
    <row r="382" spans="1:12" ht="24.95" customHeight="1">
      <c r="A382" s="206"/>
      <c r="B382" s="159"/>
      <c r="C382" s="159"/>
      <c r="D382" s="159"/>
      <c r="E382" s="159"/>
      <c r="H382" s="159"/>
      <c r="I382" s="159"/>
      <c r="J382" s="159"/>
      <c r="K382" s="159"/>
      <c r="L382" s="159"/>
    </row>
    <row r="383" spans="1:12" ht="24.95" customHeight="1">
      <c r="A383" s="206"/>
      <c r="B383" s="159"/>
      <c r="C383" s="159"/>
      <c r="D383" s="159"/>
      <c r="E383" s="159"/>
      <c r="H383" s="159"/>
      <c r="I383" s="159"/>
      <c r="J383" s="159"/>
      <c r="K383" s="159"/>
      <c r="L383" s="159"/>
    </row>
    <row r="384" spans="1:12" ht="24.95" customHeight="1">
      <c r="A384" s="206"/>
      <c r="B384" s="159"/>
      <c r="C384" s="159"/>
      <c r="D384" s="159"/>
      <c r="E384" s="159"/>
      <c r="H384" s="159"/>
      <c r="I384" s="159"/>
      <c r="J384" s="159"/>
      <c r="K384" s="159"/>
      <c r="L384" s="159"/>
    </row>
    <row r="385" spans="1:12" ht="24.95" customHeight="1">
      <c r="A385" s="206"/>
      <c r="B385" s="159"/>
      <c r="C385" s="159"/>
      <c r="D385" s="159"/>
      <c r="E385" s="159"/>
      <c r="H385" s="159"/>
      <c r="I385" s="159"/>
      <c r="J385" s="159"/>
      <c r="K385" s="159"/>
      <c r="L385" s="159"/>
    </row>
    <row r="386" spans="1:12" ht="24.95" customHeight="1">
      <c r="A386" s="206"/>
      <c r="B386" s="159"/>
      <c r="C386" s="159"/>
      <c r="D386" s="159"/>
      <c r="E386" s="159"/>
      <c r="H386" s="159"/>
      <c r="I386" s="159"/>
      <c r="J386" s="159"/>
      <c r="K386" s="159"/>
      <c r="L386" s="159"/>
    </row>
    <row r="387" spans="1:12" ht="24.95" customHeight="1">
      <c r="A387" s="206"/>
      <c r="B387" s="159"/>
      <c r="C387" s="159"/>
      <c r="D387" s="159"/>
      <c r="E387" s="159"/>
      <c r="H387" s="159"/>
      <c r="I387" s="159"/>
      <c r="J387" s="159"/>
      <c r="K387" s="159"/>
      <c r="L387" s="159"/>
    </row>
    <row r="388" spans="1:12" ht="24.95" customHeight="1">
      <c r="A388" s="206"/>
      <c r="B388" s="159"/>
      <c r="C388" s="159"/>
      <c r="D388" s="159"/>
      <c r="E388" s="159"/>
      <c r="H388" s="159"/>
      <c r="I388" s="159"/>
      <c r="J388" s="159"/>
      <c r="K388" s="159"/>
      <c r="L388" s="159"/>
    </row>
    <row r="389" spans="1:12" ht="24.95" customHeight="1">
      <c r="A389" s="206"/>
      <c r="B389" s="159"/>
      <c r="C389" s="159"/>
      <c r="D389" s="159"/>
      <c r="E389" s="159"/>
      <c r="H389" s="159"/>
      <c r="I389" s="159"/>
      <c r="J389" s="159"/>
      <c r="K389" s="159"/>
      <c r="L389" s="159"/>
    </row>
    <row r="390" spans="1:12" ht="24.95" customHeight="1">
      <c r="A390" s="206"/>
      <c r="B390" s="159"/>
      <c r="C390" s="159"/>
      <c r="D390" s="159"/>
      <c r="E390" s="159"/>
      <c r="H390" s="159"/>
      <c r="I390" s="159"/>
      <c r="J390" s="159"/>
      <c r="K390" s="159"/>
      <c r="L390" s="159"/>
    </row>
    <row r="391" spans="1:12" ht="24.95" customHeight="1">
      <c r="A391" s="206"/>
      <c r="B391" s="159"/>
      <c r="C391" s="159"/>
      <c r="D391" s="159"/>
      <c r="E391" s="159"/>
      <c r="H391" s="159"/>
      <c r="I391" s="159"/>
      <c r="J391" s="159"/>
      <c r="K391" s="159"/>
      <c r="L391" s="159"/>
    </row>
    <row r="392" spans="1:12" ht="24.95" customHeight="1">
      <c r="A392" s="206"/>
      <c r="B392" s="159"/>
      <c r="C392" s="159"/>
      <c r="D392" s="159"/>
      <c r="E392" s="159"/>
      <c r="H392" s="159"/>
      <c r="I392" s="159"/>
      <c r="J392" s="159"/>
      <c r="K392" s="159"/>
      <c r="L392" s="159"/>
    </row>
    <row r="393" spans="1:12" ht="24.95" customHeight="1">
      <c r="A393" s="206"/>
      <c r="B393" s="159"/>
      <c r="C393" s="159"/>
      <c r="D393" s="159"/>
      <c r="E393" s="159"/>
      <c r="H393" s="159"/>
      <c r="I393" s="159"/>
      <c r="J393" s="159"/>
      <c r="K393" s="159"/>
      <c r="L393" s="159"/>
    </row>
    <row r="394" spans="1:12" ht="24.95" customHeight="1">
      <c r="A394" s="206"/>
      <c r="B394" s="159"/>
      <c r="C394" s="159"/>
      <c r="D394" s="159"/>
      <c r="E394" s="159"/>
      <c r="H394" s="159"/>
      <c r="I394" s="159"/>
      <c r="J394" s="159"/>
      <c r="K394" s="159"/>
      <c r="L394" s="159"/>
    </row>
    <row r="395" spans="1:12" ht="24.95" customHeight="1">
      <c r="A395" s="206"/>
      <c r="B395" s="159"/>
      <c r="C395" s="159"/>
      <c r="D395" s="159"/>
      <c r="E395" s="159"/>
      <c r="H395" s="159"/>
      <c r="I395" s="159"/>
      <c r="J395" s="159"/>
      <c r="K395" s="159"/>
      <c r="L395" s="159"/>
    </row>
    <row r="396" spans="1:12" ht="24.95" customHeight="1">
      <c r="A396" s="206"/>
      <c r="B396" s="159"/>
      <c r="C396" s="159"/>
      <c r="D396" s="159"/>
      <c r="E396" s="159"/>
      <c r="H396" s="159"/>
      <c r="I396" s="159"/>
      <c r="J396" s="159"/>
      <c r="K396" s="159"/>
      <c r="L396" s="159"/>
    </row>
    <row r="397" spans="1:12" ht="24.95" customHeight="1">
      <c r="A397" s="206"/>
      <c r="B397" s="159"/>
      <c r="C397" s="159"/>
      <c r="D397" s="159"/>
      <c r="E397" s="159"/>
      <c r="H397" s="159"/>
      <c r="I397" s="159"/>
      <c r="J397" s="159"/>
      <c r="K397" s="159"/>
      <c r="L397" s="159"/>
    </row>
    <row r="398" spans="1:12" ht="24.95" customHeight="1">
      <c r="A398" s="206"/>
      <c r="B398" s="159"/>
      <c r="C398" s="159"/>
      <c r="D398" s="159"/>
      <c r="E398" s="159"/>
      <c r="H398" s="159"/>
      <c r="I398" s="159"/>
      <c r="J398" s="159"/>
      <c r="K398" s="159"/>
      <c r="L398" s="159"/>
    </row>
    <row r="399" spans="1:12" ht="24.95" customHeight="1">
      <c r="A399" s="206"/>
      <c r="B399" s="159"/>
      <c r="C399" s="159"/>
      <c r="D399" s="159"/>
      <c r="E399" s="159"/>
      <c r="H399" s="159"/>
      <c r="I399" s="159"/>
      <c r="J399" s="159"/>
      <c r="K399" s="159"/>
      <c r="L399" s="159"/>
    </row>
    <row r="400" spans="1:12" ht="24.95" customHeight="1">
      <c r="A400" s="206"/>
      <c r="B400" s="159"/>
      <c r="C400" s="159"/>
      <c r="D400" s="159"/>
      <c r="E400" s="159"/>
      <c r="H400" s="159"/>
      <c r="I400" s="159"/>
      <c r="J400" s="159"/>
      <c r="K400" s="159"/>
      <c r="L400" s="159"/>
    </row>
    <row r="401" spans="1:12" ht="24.95" customHeight="1">
      <c r="A401" s="206"/>
      <c r="B401" s="159"/>
      <c r="C401" s="159"/>
      <c r="D401" s="159"/>
      <c r="E401" s="159"/>
      <c r="H401" s="159"/>
      <c r="I401" s="159"/>
      <c r="J401" s="159"/>
      <c r="K401" s="159"/>
      <c r="L401" s="159"/>
    </row>
    <row r="402" spans="1:12" ht="24.95" customHeight="1">
      <c r="A402" s="206"/>
      <c r="B402" s="159"/>
      <c r="C402" s="159"/>
      <c r="D402" s="159"/>
      <c r="E402" s="159"/>
      <c r="H402" s="159"/>
      <c r="I402" s="159"/>
      <c r="J402" s="159"/>
      <c r="K402" s="159"/>
      <c r="L402" s="159"/>
    </row>
    <row r="403" spans="1:12" ht="24.95" customHeight="1">
      <c r="A403" s="206"/>
      <c r="B403" s="159"/>
      <c r="C403" s="159"/>
      <c r="D403" s="159"/>
      <c r="E403" s="159"/>
      <c r="H403" s="159"/>
      <c r="I403" s="159"/>
      <c r="J403" s="159"/>
      <c r="K403" s="159"/>
      <c r="L403" s="159"/>
    </row>
    <row r="404" spans="1:12" ht="24.95" customHeight="1">
      <c r="A404" s="206"/>
      <c r="B404" s="159"/>
      <c r="C404" s="159"/>
      <c r="D404" s="159"/>
      <c r="E404" s="159"/>
      <c r="H404" s="159"/>
      <c r="I404" s="159"/>
      <c r="J404" s="159"/>
      <c r="K404" s="159"/>
      <c r="L404" s="159"/>
    </row>
    <row r="405" spans="1:12" ht="24.95" customHeight="1">
      <c r="A405" s="206"/>
      <c r="B405" s="159"/>
      <c r="C405" s="159"/>
      <c r="D405" s="159"/>
      <c r="E405" s="159"/>
      <c r="H405" s="159"/>
      <c r="I405" s="159"/>
      <c r="J405" s="159"/>
      <c r="K405" s="159"/>
      <c r="L405" s="159"/>
    </row>
    <row r="406" spans="1:12" ht="24.95" customHeight="1">
      <c r="A406" s="206"/>
      <c r="B406" s="159"/>
      <c r="C406" s="159"/>
      <c r="D406" s="159"/>
      <c r="E406" s="159"/>
      <c r="H406" s="159"/>
      <c r="I406" s="159"/>
      <c r="J406" s="159"/>
      <c r="K406" s="159"/>
      <c r="L406" s="159"/>
    </row>
    <row r="407" spans="1:12" ht="24.95" customHeight="1">
      <c r="A407" s="206"/>
      <c r="B407" s="159"/>
      <c r="C407" s="159"/>
      <c r="D407" s="159"/>
      <c r="E407" s="159"/>
      <c r="H407" s="159"/>
      <c r="I407" s="159"/>
      <c r="J407" s="159"/>
      <c r="K407" s="159"/>
      <c r="L407" s="159"/>
    </row>
    <row r="408" spans="1:12" ht="24.95" customHeight="1">
      <c r="A408" s="206"/>
      <c r="B408" s="159"/>
      <c r="C408" s="159"/>
      <c r="D408" s="159"/>
      <c r="E408" s="159"/>
      <c r="H408" s="159"/>
      <c r="I408" s="159"/>
      <c r="J408" s="159"/>
      <c r="K408" s="159"/>
      <c r="L408" s="159"/>
    </row>
    <row r="409" spans="1:12" ht="24.95" customHeight="1">
      <c r="A409" s="206"/>
      <c r="B409" s="159"/>
      <c r="C409" s="159"/>
      <c r="D409" s="159"/>
      <c r="E409" s="159"/>
      <c r="H409" s="159"/>
      <c r="I409" s="159"/>
      <c r="J409" s="159"/>
      <c r="K409" s="159"/>
      <c r="L409" s="159"/>
    </row>
    <row r="410" spans="1:12" ht="24.95" customHeight="1">
      <c r="A410" s="206"/>
      <c r="B410" s="159"/>
      <c r="C410" s="159"/>
      <c r="D410" s="159"/>
      <c r="E410" s="159"/>
      <c r="H410" s="159"/>
      <c r="I410" s="159"/>
      <c r="J410" s="159"/>
      <c r="K410" s="159"/>
      <c r="L410" s="159"/>
    </row>
    <row r="411" spans="1:12" ht="24.95" customHeight="1">
      <c r="A411" s="206"/>
      <c r="B411" s="159"/>
      <c r="C411" s="159"/>
      <c r="D411" s="159"/>
      <c r="E411" s="159"/>
      <c r="H411" s="159"/>
      <c r="I411" s="159"/>
      <c r="J411" s="159"/>
      <c r="K411" s="159"/>
      <c r="L411" s="159"/>
    </row>
    <row r="412" spans="1:12" ht="24.95" customHeight="1">
      <c r="A412" s="206"/>
      <c r="B412" s="159"/>
      <c r="C412" s="159"/>
      <c r="D412" s="159"/>
      <c r="E412" s="159"/>
      <c r="H412" s="159"/>
      <c r="I412" s="159"/>
      <c r="J412" s="159"/>
      <c r="K412" s="159"/>
      <c r="L412" s="159"/>
    </row>
    <row r="413" spans="1:12" ht="24.95" customHeight="1">
      <c r="A413" s="206"/>
      <c r="B413" s="159"/>
      <c r="C413" s="159"/>
      <c r="D413" s="159"/>
      <c r="E413" s="159"/>
      <c r="H413" s="159"/>
      <c r="I413" s="159"/>
      <c r="J413" s="159"/>
      <c r="K413" s="159"/>
      <c r="L413" s="159"/>
    </row>
    <row r="414" spans="1:12" ht="24.95" customHeight="1">
      <c r="A414" s="206"/>
      <c r="B414" s="159"/>
      <c r="C414" s="159"/>
      <c r="D414" s="159"/>
      <c r="E414" s="159"/>
      <c r="H414" s="159"/>
      <c r="I414" s="159"/>
      <c r="J414" s="159"/>
      <c r="K414" s="159"/>
      <c r="L414" s="159"/>
    </row>
    <row r="415" spans="1:12" ht="24.95" customHeight="1">
      <c r="A415" s="206"/>
      <c r="B415" s="159"/>
      <c r="C415" s="159"/>
      <c r="D415" s="159"/>
      <c r="E415" s="159"/>
      <c r="H415" s="159"/>
      <c r="I415" s="159"/>
      <c r="J415" s="159"/>
      <c r="K415" s="159"/>
      <c r="L415" s="159"/>
    </row>
    <row r="416" spans="1:12" ht="24.95" customHeight="1">
      <c r="A416" s="206"/>
      <c r="B416" s="159"/>
      <c r="C416" s="159"/>
      <c r="D416" s="159"/>
      <c r="E416" s="159"/>
      <c r="H416" s="159"/>
      <c r="I416" s="159"/>
      <c r="J416" s="159"/>
      <c r="K416" s="159"/>
      <c r="L416" s="159"/>
    </row>
    <row r="417" spans="1:12" ht="24.95" customHeight="1">
      <c r="A417" s="206"/>
      <c r="B417" s="159"/>
      <c r="C417" s="159"/>
      <c r="D417" s="159"/>
      <c r="E417" s="159"/>
      <c r="H417" s="159"/>
      <c r="I417" s="159"/>
      <c r="J417" s="159"/>
      <c r="K417" s="159"/>
      <c r="L417" s="159"/>
    </row>
    <row r="418" spans="1:12" ht="24.95" customHeight="1">
      <c r="A418" s="206"/>
      <c r="B418" s="159"/>
      <c r="C418" s="159"/>
      <c r="D418" s="159"/>
      <c r="E418" s="159"/>
      <c r="H418" s="159"/>
      <c r="I418" s="159"/>
      <c r="J418" s="159"/>
      <c r="K418" s="159"/>
      <c r="L418" s="159"/>
    </row>
    <row r="419" spans="1:12" ht="24.95" customHeight="1">
      <c r="A419" s="206"/>
      <c r="B419" s="159"/>
      <c r="C419" s="159"/>
      <c r="D419" s="159"/>
      <c r="E419" s="159"/>
      <c r="H419" s="159"/>
      <c r="I419" s="159"/>
      <c r="J419" s="159"/>
      <c r="K419" s="159"/>
      <c r="L419" s="159"/>
    </row>
    <row r="420" spans="1:12" ht="24.95" customHeight="1">
      <c r="A420" s="206"/>
      <c r="B420" s="159"/>
      <c r="C420" s="159"/>
      <c r="D420" s="159"/>
      <c r="E420" s="159"/>
      <c r="H420" s="159"/>
      <c r="I420" s="159"/>
      <c r="J420" s="159"/>
      <c r="K420" s="159"/>
      <c r="L420" s="159"/>
    </row>
    <row r="421" spans="1:12" ht="24.95" customHeight="1">
      <c r="A421" s="206"/>
      <c r="B421" s="159"/>
      <c r="C421" s="159"/>
      <c r="D421" s="159"/>
      <c r="E421" s="159"/>
      <c r="H421" s="159"/>
      <c r="I421" s="159"/>
      <c r="J421" s="159"/>
      <c r="K421" s="159"/>
      <c r="L421" s="159"/>
    </row>
    <row r="422" spans="1:12" ht="24.95" customHeight="1">
      <c r="A422" s="206"/>
      <c r="B422" s="159"/>
      <c r="C422" s="159"/>
      <c r="D422" s="159"/>
      <c r="E422" s="159"/>
      <c r="H422" s="159"/>
      <c r="I422" s="159"/>
      <c r="J422" s="159"/>
      <c r="K422" s="159"/>
      <c r="L422" s="159"/>
    </row>
    <row r="423" spans="1:12" ht="24.95" customHeight="1">
      <c r="A423" s="206"/>
      <c r="B423" s="159"/>
      <c r="C423" s="159"/>
      <c r="D423" s="159"/>
      <c r="E423" s="159"/>
      <c r="H423" s="159"/>
      <c r="I423" s="159"/>
      <c r="J423" s="159"/>
      <c r="K423" s="159"/>
      <c r="L423" s="159"/>
    </row>
    <row r="424" spans="1:12" ht="24.95" customHeight="1">
      <c r="A424" s="206"/>
      <c r="B424" s="159"/>
      <c r="C424" s="159"/>
      <c r="D424" s="159"/>
      <c r="E424" s="159"/>
      <c r="H424" s="159"/>
      <c r="I424" s="159"/>
      <c r="J424" s="159"/>
      <c r="K424" s="159"/>
      <c r="L424" s="159"/>
    </row>
    <row r="425" spans="1:12" ht="24.95" customHeight="1">
      <c r="A425" s="206"/>
      <c r="B425" s="159"/>
      <c r="C425" s="159"/>
      <c r="D425" s="159"/>
      <c r="E425" s="159"/>
      <c r="H425" s="159"/>
      <c r="I425" s="159"/>
      <c r="J425" s="159"/>
      <c r="K425" s="159"/>
      <c r="L425" s="159"/>
    </row>
    <row r="426" spans="1:12" ht="24.95" customHeight="1">
      <c r="A426" s="206"/>
      <c r="B426" s="159"/>
      <c r="C426" s="159"/>
      <c r="D426" s="159"/>
      <c r="E426" s="159"/>
      <c r="H426" s="159"/>
      <c r="I426" s="159"/>
      <c r="J426" s="159"/>
      <c r="K426" s="159"/>
      <c r="L426" s="159"/>
    </row>
    <row r="427" spans="1:12" ht="24.95" customHeight="1">
      <c r="A427" s="206"/>
      <c r="B427" s="159"/>
      <c r="C427" s="159"/>
      <c r="D427" s="159"/>
      <c r="E427" s="159"/>
      <c r="H427" s="159"/>
      <c r="I427" s="159"/>
      <c r="J427" s="159"/>
      <c r="K427" s="159"/>
      <c r="L427" s="159"/>
    </row>
    <row r="428" spans="1:12" ht="24.95" customHeight="1">
      <c r="A428" s="206"/>
      <c r="B428" s="159"/>
      <c r="C428" s="159"/>
      <c r="D428" s="159"/>
      <c r="E428" s="159"/>
      <c r="H428" s="159"/>
      <c r="I428" s="159"/>
      <c r="J428" s="159"/>
      <c r="K428" s="159"/>
      <c r="L428" s="159"/>
    </row>
    <row r="429" spans="1:12" ht="24.95" customHeight="1">
      <c r="A429" s="206"/>
      <c r="B429" s="159"/>
      <c r="C429" s="159"/>
      <c r="D429" s="159"/>
      <c r="E429" s="159"/>
      <c r="H429" s="159"/>
      <c r="I429" s="159"/>
      <c r="J429" s="159"/>
      <c r="K429" s="159"/>
      <c r="L429" s="159"/>
    </row>
    <row r="430" spans="1:12" ht="24.95" customHeight="1">
      <c r="A430" s="206"/>
      <c r="B430" s="159"/>
      <c r="C430" s="159"/>
      <c r="D430" s="159"/>
      <c r="E430" s="159"/>
      <c r="H430" s="159"/>
      <c r="I430" s="159"/>
      <c r="J430" s="159"/>
      <c r="K430" s="159"/>
      <c r="L430" s="159"/>
    </row>
    <row r="431" spans="1:12" ht="24.95" customHeight="1">
      <c r="A431" s="206"/>
      <c r="B431" s="159"/>
      <c r="C431" s="159"/>
      <c r="D431" s="159"/>
      <c r="E431" s="159"/>
      <c r="H431" s="159"/>
      <c r="I431" s="159"/>
      <c r="J431" s="159"/>
      <c r="K431" s="159"/>
      <c r="L431" s="159"/>
    </row>
    <row r="432" spans="1:12" ht="24.95" customHeight="1">
      <c r="A432" s="206"/>
      <c r="B432" s="159"/>
      <c r="C432" s="159"/>
      <c r="D432" s="159"/>
      <c r="E432" s="159"/>
      <c r="H432" s="159"/>
      <c r="I432" s="159"/>
      <c r="J432" s="159"/>
      <c r="K432" s="159"/>
      <c r="L432" s="159"/>
    </row>
    <row r="433" spans="1:12" ht="24.95" customHeight="1">
      <c r="A433" s="206"/>
      <c r="B433" s="159"/>
      <c r="C433" s="159"/>
      <c r="D433" s="159"/>
      <c r="E433" s="159"/>
      <c r="H433" s="159"/>
      <c r="I433" s="159"/>
      <c r="J433" s="159"/>
      <c r="K433" s="159"/>
      <c r="L433" s="159"/>
    </row>
    <row r="434" spans="1:12" ht="24.95" customHeight="1">
      <c r="A434" s="206"/>
      <c r="B434" s="159"/>
      <c r="C434" s="159"/>
      <c r="D434" s="159"/>
      <c r="E434" s="159"/>
      <c r="H434" s="159"/>
      <c r="I434" s="159"/>
      <c r="J434" s="159"/>
      <c r="K434" s="159"/>
      <c r="L434" s="159"/>
    </row>
    <row r="435" spans="1:12" ht="24.95" customHeight="1">
      <c r="A435" s="206"/>
      <c r="B435" s="159"/>
      <c r="C435" s="159"/>
      <c r="D435" s="159"/>
      <c r="E435" s="159"/>
      <c r="H435" s="159"/>
      <c r="I435" s="159"/>
      <c r="J435" s="159"/>
      <c r="K435" s="159"/>
      <c r="L435" s="159"/>
    </row>
    <row r="436" spans="1:12" ht="24.95" customHeight="1">
      <c r="A436" s="206"/>
      <c r="B436" s="159"/>
      <c r="C436" s="159"/>
      <c r="D436" s="159"/>
      <c r="E436" s="159"/>
      <c r="H436" s="159"/>
      <c r="I436" s="159"/>
      <c r="J436" s="159"/>
      <c r="K436" s="159"/>
      <c r="L436" s="159"/>
    </row>
    <row r="437" spans="1:12" ht="24.95" customHeight="1">
      <c r="A437" s="206"/>
      <c r="B437" s="159"/>
      <c r="C437" s="159"/>
      <c r="D437" s="159"/>
      <c r="E437" s="159"/>
      <c r="H437" s="159"/>
      <c r="I437" s="159"/>
      <c r="J437" s="159"/>
      <c r="K437" s="159"/>
      <c r="L437" s="159"/>
    </row>
    <row r="438" spans="1:12" ht="24.95" customHeight="1">
      <c r="A438" s="206"/>
      <c r="B438" s="159"/>
      <c r="C438" s="159"/>
      <c r="D438" s="159"/>
      <c r="E438" s="159"/>
      <c r="H438" s="159"/>
      <c r="I438" s="159"/>
      <c r="J438" s="159"/>
      <c r="K438" s="159"/>
      <c r="L438" s="159"/>
    </row>
    <row r="439" spans="1:12" ht="24.95" customHeight="1">
      <c r="A439" s="206"/>
      <c r="B439" s="159"/>
      <c r="C439" s="159"/>
      <c r="D439" s="159"/>
      <c r="E439" s="159"/>
      <c r="H439" s="159"/>
      <c r="I439" s="159"/>
      <c r="J439" s="159"/>
      <c r="K439" s="159"/>
      <c r="L439" s="159"/>
    </row>
    <row r="440" spans="1:12" ht="24.95" customHeight="1">
      <c r="A440" s="206"/>
      <c r="B440" s="159"/>
      <c r="C440" s="159"/>
      <c r="D440" s="159"/>
      <c r="E440" s="159"/>
      <c r="H440" s="159"/>
      <c r="I440" s="159"/>
      <c r="J440" s="159"/>
      <c r="K440" s="159"/>
      <c r="L440" s="159"/>
    </row>
    <row r="441" spans="1:12" ht="24.95" customHeight="1">
      <c r="A441" s="206"/>
      <c r="B441" s="159"/>
      <c r="C441" s="159"/>
      <c r="D441" s="159"/>
      <c r="E441" s="159"/>
      <c r="H441" s="159"/>
      <c r="I441" s="159"/>
      <c r="J441" s="159"/>
      <c r="K441" s="159"/>
      <c r="L441" s="159"/>
    </row>
    <row r="442" spans="1:12" ht="24.95" customHeight="1">
      <c r="A442" s="206"/>
      <c r="B442" s="159"/>
      <c r="C442" s="159"/>
      <c r="D442" s="159"/>
      <c r="E442" s="159"/>
      <c r="H442" s="159"/>
      <c r="I442" s="159"/>
      <c r="J442" s="159"/>
      <c r="K442" s="159"/>
      <c r="L442" s="159"/>
    </row>
    <row r="443" spans="1:12" ht="24.95" customHeight="1">
      <c r="A443" s="206"/>
      <c r="B443" s="159"/>
      <c r="C443" s="159"/>
      <c r="D443" s="159"/>
      <c r="E443" s="159"/>
      <c r="H443" s="159"/>
      <c r="I443" s="159"/>
      <c r="J443" s="159"/>
      <c r="K443" s="159"/>
      <c r="L443" s="159"/>
    </row>
    <row r="444" spans="1:12" ht="24.95" customHeight="1">
      <c r="A444" s="206"/>
      <c r="B444" s="159"/>
      <c r="C444" s="159"/>
      <c r="D444" s="159"/>
      <c r="E444" s="159"/>
      <c r="H444" s="159"/>
      <c r="I444" s="159"/>
      <c r="J444" s="159"/>
      <c r="K444" s="159"/>
      <c r="L444" s="159"/>
    </row>
    <row r="445" spans="1:12" ht="24.95" customHeight="1">
      <c r="A445" s="206"/>
      <c r="B445" s="159"/>
      <c r="C445" s="159"/>
      <c r="D445" s="159"/>
      <c r="E445" s="159"/>
      <c r="H445" s="159"/>
      <c r="I445" s="159"/>
      <c r="J445" s="159"/>
      <c r="K445" s="159"/>
      <c r="L445" s="159"/>
    </row>
    <row r="446" spans="1:12" ht="24.95" customHeight="1">
      <c r="A446" s="206"/>
      <c r="B446" s="159"/>
      <c r="C446" s="159"/>
      <c r="D446" s="159"/>
      <c r="E446" s="159"/>
      <c r="H446" s="159"/>
      <c r="I446" s="159"/>
      <c r="J446" s="159"/>
      <c r="K446" s="159"/>
      <c r="L446" s="159"/>
    </row>
    <row r="447" spans="1:12" ht="24.95" customHeight="1">
      <c r="A447" s="206"/>
      <c r="B447" s="159"/>
      <c r="C447" s="159"/>
      <c r="D447" s="159"/>
      <c r="E447" s="159"/>
      <c r="H447" s="159"/>
      <c r="I447" s="159"/>
      <c r="J447" s="159"/>
      <c r="K447" s="159"/>
      <c r="L447" s="159"/>
    </row>
    <row r="448" spans="1:12" ht="24.95" customHeight="1">
      <c r="A448" s="206"/>
      <c r="B448" s="159"/>
      <c r="C448" s="159"/>
      <c r="D448" s="159"/>
      <c r="E448" s="159"/>
      <c r="H448" s="159"/>
      <c r="I448" s="159"/>
      <c r="J448" s="159"/>
      <c r="K448" s="159"/>
      <c r="L448" s="159"/>
    </row>
    <row r="449" spans="1:12" ht="24.95" customHeight="1">
      <c r="A449" s="206"/>
      <c r="B449" s="159"/>
      <c r="C449" s="159"/>
      <c r="D449" s="159"/>
      <c r="E449" s="159"/>
      <c r="H449" s="159"/>
      <c r="I449" s="159"/>
      <c r="J449" s="159"/>
      <c r="K449" s="159"/>
      <c r="L449" s="159"/>
    </row>
    <row r="450" spans="1:12" ht="24.95" customHeight="1">
      <c r="A450" s="206"/>
      <c r="B450" s="159"/>
      <c r="C450" s="159"/>
      <c r="D450" s="159"/>
      <c r="E450" s="159"/>
      <c r="H450" s="159"/>
      <c r="I450" s="159"/>
      <c r="J450" s="159"/>
      <c r="K450" s="159"/>
      <c r="L450" s="159"/>
    </row>
    <row r="451" spans="1:12" ht="24.95" customHeight="1">
      <c r="A451" s="206"/>
      <c r="B451" s="159"/>
      <c r="C451" s="159"/>
      <c r="D451" s="159"/>
      <c r="E451" s="159"/>
      <c r="H451" s="159"/>
      <c r="I451" s="159"/>
      <c r="J451" s="159"/>
      <c r="K451" s="159"/>
      <c r="L451" s="159"/>
    </row>
    <row r="452" spans="1:12" ht="24.95" customHeight="1">
      <c r="A452" s="206"/>
      <c r="B452" s="159"/>
      <c r="C452" s="159"/>
      <c r="D452" s="159"/>
      <c r="E452" s="159"/>
      <c r="H452" s="159"/>
      <c r="I452" s="159"/>
      <c r="J452" s="159"/>
      <c r="K452" s="159"/>
      <c r="L452" s="159"/>
    </row>
    <row r="453" spans="1:12" ht="24.95" customHeight="1">
      <c r="A453" s="206"/>
      <c r="B453" s="159"/>
      <c r="C453" s="159"/>
      <c r="D453" s="159"/>
      <c r="E453" s="159"/>
      <c r="H453" s="159"/>
      <c r="I453" s="159"/>
      <c r="J453" s="159"/>
      <c r="K453" s="159"/>
      <c r="L453" s="159"/>
    </row>
    <row r="454" spans="1:12" ht="24.95" customHeight="1">
      <c r="A454" s="206"/>
      <c r="B454" s="159"/>
      <c r="C454" s="159"/>
      <c r="D454" s="159"/>
      <c r="E454" s="159"/>
      <c r="H454" s="159"/>
      <c r="I454" s="159"/>
      <c r="J454" s="159"/>
      <c r="K454" s="159"/>
      <c r="L454" s="159"/>
    </row>
    <row r="455" spans="1:12" ht="24.95" customHeight="1">
      <c r="A455" s="206"/>
      <c r="B455" s="159"/>
      <c r="C455" s="159"/>
      <c r="D455" s="159"/>
      <c r="E455" s="159"/>
      <c r="H455" s="159"/>
      <c r="I455" s="159"/>
      <c r="J455" s="159"/>
      <c r="K455" s="159"/>
      <c r="L455" s="159"/>
    </row>
    <row r="456" spans="1:12" ht="24.95" customHeight="1">
      <c r="A456" s="206"/>
      <c r="B456" s="159"/>
      <c r="C456" s="159"/>
      <c r="D456" s="159"/>
      <c r="E456" s="159"/>
      <c r="H456" s="159"/>
      <c r="I456" s="159"/>
      <c r="J456" s="159"/>
      <c r="K456" s="159"/>
      <c r="L456" s="159"/>
    </row>
    <row r="457" spans="1:12" ht="24.95" customHeight="1">
      <c r="A457" s="206"/>
      <c r="B457" s="159"/>
      <c r="C457" s="159"/>
      <c r="D457" s="159"/>
      <c r="E457" s="159"/>
      <c r="H457" s="159"/>
      <c r="I457" s="159"/>
      <c r="J457" s="159"/>
      <c r="K457" s="159"/>
      <c r="L457" s="159"/>
    </row>
    <row r="458" spans="1:12" ht="24.95" customHeight="1">
      <c r="A458" s="206"/>
      <c r="B458" s="159"/>
      <c r="C458" s="159"/>
      <c r="D458" s="159"/>
      <c r="E458" s="159"/>
      <c r="H458" s="159"/>
      <c r="I458" s="159"/>
      <c r="J458" s="159"/>
      <c r="K458" s="159"/>
      <c r="L458" s="159"/>
    </row>
    <row r="459" spans="1:12" ht="24.95" customHeight="1">
      <c r="A459" s="206"/>
      <c r="B459" s="159"/>
      <c r="C459" s="159"/>
      <c r="D459" s="159"/>
      <c r="E459" s="159"/>
      <c r="H459" s="159"/>
      <c r="I459" s="159"/>
      <c r="J459" s="159"/>
      <c r="K459" s="159"/>
      <c r="L459" s="159"/>
    </row>
    <row r="460" spans="1:12" ht="24.95" customHeight="1">
      <c r="A460" s="206"/>
      <c r="B460" s="159"/>
      <c r="C460" s="159"/>
      <c r="D460" s="159"/>
      <c r="E460" s="159"/>
      <c r="H460" s="159"/>
      <c r="I460" s="159"/>
      <c r="J460" s="159"/>
      <c r="K460" s="159"/>
      <c r="L460" s="159"/>
    </row>
    <row r="461" spans="1:12" ht="24.95" customHeight="1">
      <c r="A461" s="206"/>
      <c r="B461" s="159"/>
      <c r="C461" s="159"/>
      <c r="D461" s="159"/>
      <c r="E461" s="159"/>
      <c r="H461" s="159"/>
      <c r="I461" s="159"/>
      <c r="J461" s="159"/>
      <c r="K461" s="159"/>
      <c r="L461" s="159"/>
    </row>
    <row r="462" spans="1:12" ht="24.95" customHeight="1">
      <c r="A462" s="206"/>
      <c r="B462" s="159"/>
      <c r="C462" s="159"/>
      <c r="D462" s="159"/>
      <c r="E462" s="159"/>
      <c r="H462" s="159"/>
      <c r="I462" s="159"/>
      <c r="J462" s="159"/>
      <c r="K462" s="159"/>
      <c r="L462" s="159"/>
    </row>
    <row r="463" spans="1:12" ht="24.95" customHeight="1">
      <c r="A463" s="206"/>
      <c r="B463" s="159"/>
      <c r="C463" s="159"/>
      <c r="D463" s="159"/>
      <c r="E463" s="159"/>
      <c r="H463" s="159"/>
      <c r="I463" s="159"/>
      <c r="J463" s="159"/>
      <c r="K463" s="159"/>
      <c r="L463" s="159"/>
    </row>
    <row r="464" spans="1:12" ht="24.95" customHeight="1">
      <c r="A464" s="206"/>
      <c r="B464" s="159"/>
      <c r="C464" s="159"/>
      <c r="D464" s="159"/>
      <c r="E464" s="159"/>
      <c r="H464" s="159"/>
      <c r="I464" s="159"/>
      <c r="J464" s="159"/>
      <c r="K464" s="159"/>
      <c r="L464" s="159"/>
    </row>
    <row r="465" spans="1:12" ht="24.95" customHeight="1">
      <c r="A465" s="206"/>
      <c r="B465" s="159"/>
      <c r="C465" s="159"/>
      <c r="D465" s="159"/>
      <c r="E465" s="159"/>
      <c r="H465" s="159"/>
      <c r="I465" s="159"/>
      <c r="J465" s="159"/>
      <c r="K465" s="159"/>
      <c r="L465" s="159"/>
    </row>
    <row r="466" spans="1:12" ht="24.95" customHeight="1">
      <c r="A466" s="206"/>
      <c r="B466" s="159"/>
      <c r="C466" s="159"/>
      <c r="D466" s="159"/>
      <c r="E466" s="159"/>
      <c r="H466" s="159"/>
      <c r="I466" s="159"/>
      <c r="J466" s="159"/>
      <c r="K466" s="159"/>
      <c r="L466" s="159"/>
    </row>
    <row r="467" spans="1:12" ht="24.95" customHeight="1">
      <c r="A467" s="206"/>
      <c r="B467" s="159"/>
      <c r="C467" s="159"/>
      <c r="D467" s="159"/>
      <c r="E467" s="159"/>
      <c r="H467" s="159"/>
      <c r="I467" s="159"/>
      <c r="J467" s="159"/>
      <c r="K467" s="159"/>
      <c r="L467" s="159"/>
    </row>
    <row r="468" spans="1:12" ht="24.95" customHeight="1">
      <c r="A468" s="206"/>
      <c r="B468" s="159"/>
      <c r="C468" s="159"/>
      <c r="D468" s="159"/>
      <c r="E468" s="159"/>
      <c r="H468" s="159"/>
      <c r="I468" s="159"/>
      <c r="J468" s="159"/>
      <c r="K468" s="159"/>
      <c r="L468" s="159"/>
    </row>
    <row r="469" spans="1:12" ht="24.95" customHeight="1">
      <c r="A469" s="206"/>
      <c r="B469" s="159"/>
      <c r="C469" s="159"/>
      <c r="D469" s="159"/>
      <c r="E469" s="159"/>
      <c r="H469" s="159"/>
      <c r="I469" s="159"/>
      <c r="J469" s="159"/>
      <c r="K469" s="159"/>
      <c r="L469" s="159"/>
    </row>
    <row r="470" spans="1:12" ht="24.95" customHeight="1">
      <c r="A470" s="206"/>
      <c r="B470" s="159"/>
      <c r="C470" s="159"/>
      <c r="D470" s="159"/>
      <c r="E470" s="159"/>
      <c r="H470" s="159"/>
      <c r="I470" s="159"/>
      <c r="J470" s="159"/>
      <c r="K470" s="159"/>
      <c r="L470" s="159"/>
    </row>
    <row r="471" spans="1:12" ht="24.95" customHeight="1">
      <c r="A471" s="206"/>
      <c r="B471" s="159"/>
      <c r="C471" s="159"/>
      <c r="D471" s="159"/>
      <c r="E471" s="159"/>
      <c r="H471" s="159"/>
      <c r="I471" s="159"/>
      <c r="J471" s="159"/>
      <c r="K471" s="159"/>
      <c r="L471" s="159"/>
    </row>
    <row r="472" spans="1:12" ht="24.95" customHeight="1">
      <c r="A472" s="206"/>
      <c r="B472" s="159"/>
      <c r="C472" s="159"/>
      <c r="D472" s="159"/>
      <c r="E472" s="159"/>
      <c r="H472" s="159"/>
      <c r="I472" s="159"/>
      <c r="J472" s="159"/>
      <c r="K472" s="159"/>
      <c r="L472" s="159"/>
    </row>
    <row r="473" spans="1:12" ht="24.95" customHeight="1">
      <c r="A473" s="206"/>
      <c r="B473" s="159"/>
      <c r="C473" s="159"/>
      <c r="D473" s="159"/>
      <c r="E473" s="159"/>
      <c r="H473" s="159"/>
      <c r="I473" s="159"/>
      <c r="J473" s="159"/>
      <c r="K473" s="159"/>
      <c r="L473" s="159"/>
    </row>
    <row r="474" spans="1:12" ht="24.95" customHeight="1">
      <c r="A474" s="206"/>
      <c r="B474" s="159"/>
      <c r="C474" s="159"/>
      <c r="D474" s="159"/>
      <c r="E474" s="159"/>
      <c r="H474" s="159"/>
      <c r="I474" s="159"/>
      <c r="J474" s="159"/>
      <c r="K474" s="159"/>
      <c r="L474" s="159"/>
    </row>
    <row r="475" spans="1:12" ht="24.95" customHeight="1">
      <c r="A475" s="206"/>
      <c r="B475" s="159"/>
      <c r="C475" s="159"/>
      <c r="D475" s="159"/>
      <c r="E475" s="159"/>
      <c r="H475" s="159"/>
      <c r="I475" s="159"/>
      <c r="J475" s="159"/>
      <c r="K475" s="159"/>
      <c r="L475" s="159"/>
    </row>
    <row r="476" spans="1:12" ht="24.95" customHeight="1">
      <c r="A476" s="206"/>
      <c r="B476" s="159"/>
      <c r="C476" s="159"/>
      <c r="D476" s="159"/>
      <c r="E476" s="159"/>
      <c r="H476" s="159"/>
      <c r="I476" s="159"/>
      <c r="J476" s="159"/>
      <c r="K476" s="159"/>
      <c r="L476" s="159"/>
    </row>
    <row r="477" spans="1:12" ht="24.95" customHeight="1">
      <c r="A477" s="206"/>
      <c r="B477" s="159"/>
      <c r="C477" s="159"/>
      <c r="D477" s="159"/>
      <c r="E477" s="159"/>
      <c r="H477" s="159"/>
      <c r="I477" s="159"/>
      <c r="J477" s="159"/>
      <c r="K477" s="159"/>
      <c r="L477" s="159"/>
    </row>
    <row r="478" spans="1:12" ht="24.95" customHeight="1">
      <c r="A478" s="206"/>
      <c r="B478" s="159"/>
      <c r="C478" s="159"/>
      <c r="D478" s="159"/>
      <c r="E478" s="159"/>
      <c r="H478" s="159"/>
      <c r="I478" s="159"/>
      <c r="J478" s="159"/>
      <c r="K478" s="159"/>
      <c r="L478" s="159"/>
    </row>
    <row r="479" spans="1:12" ht="24.95" customHeight="1">
      <c r="A479" s="206"/>
      <c r="B479" s="159"/>
      <c r="C479" s="159"/>
      <c r="D479" s="159"/>
      <c r="E479" s="159"/>
      <c r="H479" s="159"/>
      <c r="I479" s="159"/>
      <c r="J479" s="159"/>
      <c r="K479" s="159"/>
      <c r="L479" s="159"/>
    </row>
    <row r="480" spans="1:12" ht="24.95" customHeight="1">
      <c r="A480" s="206"/>
      <c r="B480" s="159"/>
      <c r="C480" s="159"/>
      <c r="D480" s="159"/>
      <c r="E480" s="159"/>
      <c r="H480" s="159"/>
      <c r="I480" s="159"/>
      <c r="J480" s="159"/>
      <c r="K480" s="159"/>
      <c r="L480" s="159"/>
    </row>
    <row r="481" spans="1:12" ht="24.95" customHeight="1">
      <c r="A481" s="206"/>
      <c r="B481" s="159"/>
      <c r="C481" s="159"/>
      <c r="D481" s="159"/>
      <c r="E481" s="159"/>
      <c r="H481" s="159"/>
      <c r="I481" s="159"/>
      <c r="J481" s="159"/>
      <c r="K481" s="159"/>
      <c r="L481" s="159"/>
    </row>
    <row r="482" spans="1:12" ht="24.95" customHeight="1">
      <c r="A482" s="206"/>
      <c r="B482" s="159"/>
      <c r="C482" s="159"/>
      <c r="D482" s="159"/>
      <c r="E482" s="159"/>
      <c r="H482" s="159"/>
      <c r="I482" s="159"/>
      <c r="J482" s="159"/>
      <c r="K482" s="159"/>
      <c r="L482" s="159"/>
    </row>
    <row r="483" spans="1:12" ht="24.95" customHeight="1">
      <c r="A483" s="206"/>
      <c r="B483" s="159"/>
      <c r="C483" s="159"/>
      <c r="D483" s="159"/>
      <c r="E483" s="159"/>
      <c r="H483" s="159"/>
      <c r="I483" s="159"/>
      <c r="J483" s="159"/>
      <c r="K483" s="159"/>
      <c r="L483" s="159"/>
    </row>
    <row r="484" spans="1:12" ht="24.95" customHeight="1">
      <c r="A484" s="206"/>
      <c r="B484" s="159"/>
      <c r="C484" s="159"/>
      <c r="D484" s="159"/>
      <c r="E484" s="159"/>
      <c r="H484" s="159"/>
      <c r="I484" s="159"/>
      <c r="J484" s="159"/>
      <c r="K484" s="159"/>
      <c r="L484" s="159"/>
    </row>
    <row r="485" spans="1:12" ht="24.95" customHeight="1">
      <c r="A485" s="206"/>
      <c r="B485" s="159"/>
      <c r="C485" s="159"/>
      <c r="D485" s="159"/>
      <c r="E485" s="159"/>
      <c r="H485" s="159"/>
      <c r="I485" s="159"/>
      <c r="J485" s="159"/>
      <c r="K485" s="159"/>
      <c r="L485" s="159"/>
    </row>
    <row r="486" spans="1:12" ht="24.95" customHeight="1">
      <c r="A486" s="206"/>
      <c r="B486" s="159"/>
      <c r="C486" s="159"/>
      <c r="D486" s="159"/>
      <c r="E486" s="159"/>
      <c r="H486" s="159"/>
      <c r="I486" s="159"/>
      <c r="J486" s="159"/>
      <c r="K486" s="159"/>
      <c r="L486" s="159"/>
    </row>
    <row r="487" spans="1:12" ht="24.95" customHeight="1">
      <c r="A487" s="206"/>
      <c r="B487" s="159"/>
      <c r="C487" s="159"/>
      <c r="D487" s="159"/>
      <c r="E487" s="159"/>
      <c r="H487" s="159"/>
      <c r="I487" s="159"/>
      <c r="J487" s="159"/>
      <c r="K487" s="159"/>
      <c r="L487" s="159"/>
    </row>
    <row r="488" spans="1:12" ht="24.95" customHeight="1">
      <c r="A488" s="206"/>
      <c r="B488" s="159"/>
      <c r="C488" s="159"/>
      <c r="D488" s="159"/>
      <c r="E488" s="159"/>
      <c r="H488" s="159"/>
      <c r="I488" s="159"/>
      <c r="J488" s="159"/>
      <c r="K488" s="159"/>
      <c r="L488" s="159"/>
    </row>
    <row r="489" spans="1:12" ht="24.95" customHeight="1">
      <c r="A489" s="206"/>
      <c r="B489" s="159"/>
      <c r="C489" s="159"/>
      <c r="D489" s="159"/>
      <c r="E489" s="159"/>
      <c r="H489" s="159"/>
      <c r="I489" s="159"/>
      <c r="J489" s="159"/>
      <c r="K489" s="159"/>
      <c r="L489" s="159"/>
    </row>
    <row r="490" spans="1:12" ht="24.95" customHeight="1">
      <c r="A490" s="206"/>
      <c r="B490" s="159"/>
      <c r="C490" s="159"/>
      <c r="D490" s="159"/>
      <c r="E490" s="159"/>
      <c r="H490" s="159"/>
      <c r="I490" s="159"/>
      <c r="J490" s="159"/>
      <c r="K490" s="159"/>
      <c r="L490" s="159"/>
    </row>
    <row r="491" spans="1:12" ht="24.95" customHeight="1">
      <c r="A491" s="206"/>
      <c r="B491" s="159"/>
      <c r="C491" s="159"/>
      <c r="D491" s="159"/>
      <c r="E491" s="159"/>
      <c r="H491" s="159"/>
      <c r="I491" s="159"/>
      <c r="J491" s="159"/>
      <c r="K491" s="159"/>
      <c r="L491" s="159"/>
    </row>
    <row r="492" spans="1:12" ht="24.95" customHeight="1">
      <c r="A492" s="206"/>
      <c r="B492" s="159"/>
      <c r="C492" s="159"/>
      <c r="D492" s="159"/>
      <c r="E492" s="159"/>
      <c r="H492" s="159"/>
      <c r="I492" s="159"/>
      <c r="J492" s="159"/>
      <c r="K492" s="159"/>
      <c r="L492" s="159"/>
    </row>
    <row r="493" spans="1:12" ht="24.95" customHeight="1">
      <c r="A493" s="206"/>
      <c r="B493" s="159"/>
      <c r="C493" s="159"/>
      <c r="D493" s="159"/>
      <c r="E493" s="159"/>
      <c r="H493" s="159"/>
      <c r="I493" s="159"/>
      <c r="J493" s="159"/>
      <c r="K493" s="159"/>
      <c r="L493" s="159"/>
    </row>
    <row r="494" spans="1:12" ht="24.95" customHeight="1">
      <c r="A494" s="206"/>
      <c r="B494" s="159"/>
      <c r="C494" s="159"/>
      <c r="D494" s="159"/>
      <c r="E494" s="159"/>
      <c r="H494" s="159"/>
      <c r="I494" s="159"/>
      <c r="J494" s="159"/>
      <c r="K494" s="159"/>
      <c r="L494" s="159"/>
    </row>
    <row r="495" spans="1:12" ht="24.95" customHeight="1">
      <c r="A495" s="206"/>
      <c r="B495" s="159"/>
      <c r="C495" s="159"/>
      <c r="D495" s="159"/>
      <c r="E495" s="159"/>
      <c r="H495" s="159"/>
      <c r="I495" s="159"/>
      <c r="J495" s="159"/>
      <c r="K495" s="159"/>
      <c r="L495" s="159"/>
    </row>
    <row r="496" spans="1:12" ht="24.95" customHeight="1">
      <c r="A496" s="206"/>
      <c r="B496" s="159"/>
      <c r="C496" s="159"/>
      <c r="D496" s="159"/>
      <c r="E496" s="159"/>
      <c r="H496" s="159"/>
      <c r="I496" s="159"/>
      <c r="J496" s="159"/>
      <c r="K496" s="159"/>
      <c r="L496" s="159"/>
    </row>
    <row r="497" spans="1:12" ht="24.95" customHeight="1">
      <c r="A497" s="206"/>
      <c r="B497" s="159"/>
      <c r="C497" s="159"/>
      <c r="D497" s="159"/>
      <c r="E497" s="159"/>
      <c r="H497" s="159"/>
      <c r="I497" s="159"/>
      <c r="J497" s="159"/>
      <c r="K497" s="159"/>
      <c r="L497" s="159"/>
    </row>
    <row r="498" spans="1:12" ht="24.95" customHeight="1">
      <c r="A498" s="206"/>
      <c r="B498" s="159"/>
      <c r="C498" s="159"/>
      <c r="D498" s="159"/>
      <c r="E498" s="159"/>
      <c r="H498" s="159"/>
      <c r="I498" s="159"/>
      <c r="J498" s="159"/>
      <c r="K498" s="159"/>
      <c r="L498" s="159"/>
    </row>
    <row r="499" spans="1:12" ht="24.95" customHeight="1">
      <c r="A499" s="206"/>
      <c r="B499" s="159"/>
      <c r="C499" s="159"/>
      <c r="D499" s="159"/>
      <c r="E499" s="159"/>
      <c r="H499" s="159"/>
      <c r="I499" s="159"/>
      <c r="J499" s="159"/>
      <c r="K499" s="159"/>
      <c r="L499" s="159"/>
    </row>
    <row r="500" spans="1:12" ht="24.95" customHeight="1">
      <c r="A500" s="206"/>
      <c r="B500" s="159"/>
      <c r="C500" s="159"/>
      <c r="D500" s="159"/>
      <c r="E500" s="159"/>
      <c r="H500" s="159"/>
      <c r="I500" s="159"/>
      <c r="J500" s="159"/>
      <c r="K500" s="159"/>
      <c r="L500" s="159"/>
    </row>
    <row r="501" spans="1:12" ht="24.95" customHeight="1">
      <c r="A501" s="206"/>
      <c r="B501" s="159"/>
      <c r="C501" s="159"/>
      <c r="D501" s="159"/>
      <c r="E501" s="159"/>
      <c r="H501" s="159"/>
      <c r="I501" s="159"/>
      <c r="J501" s="159"/>
      <c r="K501" s="159"/>
      <c r="L501" s="159"/>
    </row>
    <row r="502" spans="1:12" ht="24.95" customHeight="1">
      <c r="A502" s="206"/>
      <c r="B502" s="159"/>
      <c r="C502" s="159"/>
      <c r="D502" s="159"/>
      <c r="E502" s="159"/>
      <c r="H502" s="159"/>
      <c r="I502" s="159"/>
      <c r="J502" s="159"/>
      <c r="K502" s="159"/>
      <c r="L502" s="159"/>
    </row>
    <row r="503" spans="1:12" ht="24.95" customHeight="1">
      <c r="A503" s="206"/>
      <c r="B503" s="159"/>
      <c r="C503" s="159"/>
      <c r="D503" s="159"/>
      <c r="E503" s="159"/>
      <c r="H503" s="159"/>
      <c r="I503" s="159"/>
      <c r="J503" s="159"/>
      <c r="K503" s="159"/>
      <c r="L503" s="159"/>
    </row>
    <row r="504" spans="1:12" ht="24.95" customHeight="1">
      <c r="A504" s="206"/>
      <c r="B504" s="159"/>
      <c r="C504" s="159"/>
      <c r="D504" s="159"/>
      <c r="E504" s="159"/>
      <c r="H504" s="159"/>
      <c r="I504" s="159"/>
      <c r="J504" s="159"/>
      <c r="K504" s="159"/>
      <c r="L504" s="159"/>
    </row>
    <row r="505" spans="1:12" ht="24.95" customHeight="1">
      <c r="A505" s="206"/>
      <c r="B505" s="159"/>
      <c r="C505" s="159"/>
      <c r="D505" s="159"/>
      <c r="E505" s="159"/>
      <c r="H505" s="159"/>
      <c r="I505" s="159"/>
      <c r="J505" s="159"/>
      <c r="K505" s="159"/>
      <c r="L505" s="159"/>
    </row>
    <row r="506" spans="1:12" ht="24.95" customHeight="1">
      <c r="A506" s="206"/>
      <c r="B506" s="159"/>
      <c r="C506" s="159"/>
      <c r="D506" s="159"/>
      <c r="E506" s="159"/>
      <c r="H506" s="159"/>
      <c r="I506" s="159"/>
      <c r="J506" s="159"/>
      <c r="K506" s="159"/>
      <c r="L506" s="159"/>
    </row>
    <row r="507" spans="1:12" ht="24.95" customHeight="1">
      <c r="A507" s="206"/>
      <c r="B507" s="159"/>
      <c r="C507" s="159"/>
      <c r="D507" s="159"/>
      <c r="E507" s="159"/>
      <c r="H507" s="159"/>
      <c r="I507" s="159"/>
      <c r="J507" s="159"/>
      <c r="K507" s="159"/>
      <c r="L507" s="159"/>
    </row>
    <row r="508" spans="1:12" ht="24.95" customHeight="1">
      <c r="A508" s="206"/>
      <c r="B508" s="159"/>
      <c r="C508" s="159"/>
      <c r="D508" s="159"/>
      <c r="E508" s="159"/>
      <c r="H508" s="159"/>
      <c r="I508" s="159"/>
      <c r="J508" s="159"/>
      <c r="K508" s="159"/>
      <c r="L508" s="159"/>
    </row>
    <row r="509" spans="1:12" ht="24.95" customHeight="1">
      <c r="A509" s="206"/>
      <c r="B509" s="159"/>
      <c r="C509" s="159"/>
      <c r="D509" s="159"/>
      <c r="E509" s="159"/>
      <c r="H509" s="159"/>
      <c r="I509" s="159"/>
      <c r="J509" s="159"/>
      <c r="K509" s="159"/>
      <c r="L509" s="159"/>
    </row>
    <row r="510" spans="1:12" ht="24.95" customHeight="1">
      <c r="A510" s="206"/>
      <c r="B510" s="159"/>
      <c r="C510" s="159"/>
      <c r="D510" s="159"/>
      <c r="E510" s="159"/>
      <c r="H510" s="159"/>
      <c r="I510" s="159"/>
      <c r="J510" s="159"/>
      <c r="K510" s="159"/>
      <c r="L510" s="159"/>
    </row>
    <row r="511" spans="1:12" ht="24.95" customHeight="1">
      <c r="A511" s="206"/>
      <c r="B511" s="159"/>
      <c r="C511" s="159"/>
      <c r="D511" s="159"/>
      <c r="E511" s="159"/>
      <c r="H511" s="159"/>
      <c r="I511" s="159"/>
      <c r="J511" s="159"/>
      <c r="K511" s="159"/>
      <c r="L511" s="159"/>
    </row>
    <row r="512" spans="1:12" ht="24.95" customHeight="1">
      <c r="A512" s="206"/>
      <c r="B512" s="159"/>
      <c r="C512" s="159"/>
      <c r="D512" s="159"/>
      <c r="E512" s="159"/>
      <c r="H512" s="159"/>
      <c r="I512" s="159"/>
      <c r="J512" s="159"/>
      <c r="K512" s="159"/>
      <c r="L512" s="159"/>
    </row>
    <row r="513" spans="1:12" ht="24.95" customHeight="1">
      <c r="A513" s="206"/>
      <c r="B513" s="159"/>
      <c r="C513" s="159"/>
      <c r="D513" s="159"/>
      <c r="E513" s="159"/>
      <c r="H513" s="159"/>
      <c r="I513" s="159"/>
      <c r="J513" s="159"/>
      <c r="K513" s="159"/>
      <c r="L513" s="159"/>
    </row>
    <row r="514" spans="1:12" ht="24.95" customHeight="1">
      <c r="A514" s="206"/>
      <c r="B514" s="159"/>
      <c r="C514" s="159"/>
      <c r="D514" s="159"/>
      <c r="E514" s="159"/>
      <c r="H514" s="159"/>
      <c r="I514" s="159"/>
      <c r="J514" s="159"/>
      <c r="K514" s="159"/>
      <c r="L514" s="159"/>
    </row>
    <row r="515" spans="1:12" ht="24.95" customHeight="1">
      <c r="A515" s="206"/>
      <c r="B515" s="159"/>
      <c r="C515" s="159"/>
      <c r="D515" s="159"/>
      <c r="E515" s="159"/>
      <c r="H515" s="159"/>
      <c r="I515" s="159"/>
      <c r="J515" s="159"/>
      <c r="K515" s="159"/>
      <c r="L515" s="159"/>
    </row>
    <row r="516" spans="1:12" ht="24.95" customHeight="1">
      <c r="A516" s="206"/>
      <c r="B516" s="159"/>
      <c r="C516" s="159"/>
      <c r="D516" s="159"/>
      <c r="E516" s="159"/>
      <c r="H516" s="159"/>
      <c r="I516" s="159"/>
      <c r="J516" s="159"/>
      <c r="K516" s="159"/>
      <c r="L516" s="159"/>
    </row>
    <row r="517" spans="1:12" ht="24.95" customHeight="1">
      <c r="A517" s="206"/>
      <c r="B517" s="159"/>
      <c r="C517" s="159"/>
      <c r="D517" s="159"/>
      <c r="E517" s="159"/>
      <c r="H517" s="159"/>
      <c r="I517" s="159"/>
      <c r="J517" s="159"/>
      <c r="K517" s="159"/>
      <c r="L517" s="159"/>
    </row>
    <row r="518" spans="1:12" ht="24.95" customHeight="1">
      <c r="A518" s="206"/>
      <c r="B518" s="159"/>
      <c r="C518" s="159"/>
      <c r="D518" s="159"/>
      <c r="E518" s="159"/>
      <c r="H518" s="159"/>
      <c r="I518" s="159"/>
      <c r="J518" s="159"/>
      <c r="K518" s="159"/>
      <c r="L518" s="159"/>
    </row>
    <row r="519" spans="1:12" ht="24.95" customHeight="1">
      <c r="A519" s="206"/>
      <c r="B519" s="159"/>
      <c r="C519" s="159"/>
      <c r="D519" s="159"/>
      <c r="E519" s="159"/>
      <c r="H519" s="159"/>
      <c r="I519" s="159"/>
      <c r="J519" s="159"/>
      <c r="K519" s="159"/>
      <c r="L519" s="159"/>
    </row>
    <row r="520" spans="1:12" ht="24.95" customHeight="1">
      <c r="A520" s="206"/>
      <c r="B520" s="159"/>
      <c r="C520" s="159"/>
      <c r="D520" s="159"/>
      <c r="E520" s="159"/>
      <c r="H520" s="159"/>
      <c r="I520" s="159"/>
      <c r="J520" s="159"/>
      <c r="K520" s="159"/>
      <c r="L520" s="159"/>
    </row>
    <row r="521" spans="1:12" ht="24.95" customHeight="1">
      <c r="A521" s="206"/>
      <c r="B521" s="159"/>
      <c r="C521" s="159"/>
      <c r="D521" s="159"/>
      <c r="E521" s="159"/>
      <c r="H521" s="159"/>
      <c r="I521" s="159"/>
      <c r="J521" s="159"/>
      <c r="K521" s="159"/>
      <c r="L521" s="159"/>
    </row>
    <row r="522" spans="1:12" ht="24.95" customHeight="1">
      <c r="A522" s="206"/>
      <c r="B522" s="159"/>
      <c r="C522" s="159"/>
      <c r="D522" s="159"/>
      <c r="E522" s="159"/>
      <c r="H522" s="159"/>
      <c r="I522" s="159"/>
      <c r="J522" s="159"/>
      <c r="K522" s="159"/>
      <c r="L522" s="159"/>
    </row>
    <row r="523" spans="1:12" ht="24.95" customHeight="1">
      <c r="A523" s="206"/>
      <c r="B523" s="159"/>
      <c r="C523" s="159"/>
      <c r="D523" s="159"/>
      <c r="E523" s="159"/>
      <c r="H523" s="159"/>
      <c r="I523" s="159"/>
      <c r="J523" s="159"/>
      <c r="K523" s="159"/>
      <c r="L523" s="159"/>
    </row>
    <row r="524" spans="1:12" ht="24.95" customHeight="1">
      <c r="A524" s="206"/>
      <c r="B524" s="159"/>
      <c r="C524" s="159"/>
      <c r="D524" s="159"/>
      <c r="E524" s="159"/>
      <c r="H524" s="159"/>
      <c r="I524" s="159"/>
      <c r="J524" s="159"/>
      <c r="K524" s="159"/>
      <c r="L524" s="159"/>
    </row>
    <row r="525" spans="1:12" ht="24.95" customHeight="1">
      <c r="A525" s="206"/>
      <c r="B525" s="159"/>
      <c r="C525" s="159"/>
      <c r="D525" s="159"/>
      <c r="E525" s="159"/>
      <c r="H525" s="159"/>
      <c r="I525" s="159"/>
      <c r="J525" s="159"/>
      <c r="K525" s="159"/>
      <c r="L525" s="159"/>
    </row>
    <row r="526" spans="1:12" ht="24.95" customHeight="1">
      <c r="A526" s="206"/>
      <c r="B526" s="159"/>
      <c r="C526" s="159"/>
      <c r="D526" s="159"/>
      <c r="E526" s="159"/>
      <c r="H526" s="159"/>
      <c r="I526" s="159"/>
      <c r="J526" s="159"/>
      <c r="K526" s="159"/>
      <c r="L526" s="159"/>
    </row>
    <row r="527" spans="1:12" ht="24.95" customHeight="1">
      <c r="A527" s="206"/>
      <c r="B527" s="159"/>
      <c r="C527" s="159"/>
      <c r="D527" s="159"/>
      <c r="E527" s="159"/>
      <c r="H527" s="159"/>
      <c r="I527" s="159"/>
      <c r="J527" s="159"/>
      <c r="K527" s="159"/>
      <c r="L527" s="159"/>
    </row>
    <row r="528" spans="1:12" ht="24.95" customHeight="1">
      <c r="A528" s="206"/>
      <c r="B528" s="159"/>
      <c r="C528" s="159"/>
      <c r="D528" s="159"/>
      <c r="E528" s="159"/>
      <c r="H528" s="159"/>
      <c r="I528" s="159"/>
      <c r="J528" s="159"/>
      <c r="K528" s="159"/>
      <c r="L528" s="159"/>
    </row>
    <row r="529" spans="1:12" ht="24.95" customHeight="1">
      <c r="A529" s="206"/>
      <c r="B529" s="159"/>
      <c r="C529" s="159"/>
      <c r="D529" s="159"/>
      <c r="E529" s="159"/>
      <c r="H529" s="159"/>
      <c r="I529" s="159"/>
      <c r="J529" s="159"/>
      <c r="K529" s="159"/>
      <c r="L529" s="159"/>
    </row>
    <row r="530" spans="1:12" ht="24.95" customHeight="1">
      <c r="A530" s="206"/>
      <c r="B530" s="159"/>
      <c r="C530" s="159"/>
      <c r="D530" s="159"/>
      <c r="E530" s="159"/>
      <c r="H530" s="159"/>
      <c r="I530" s="159"/>
      <c r="J530" s="159"/>
      <c r="K530" s="159"/>
      <c r="L530" s="159"/>
    </row>
    <row r="531" spans="1:12" ht="24.95" customHeight="1">
      <c r="A531" s="206"/>
      <c r="B531" s="159"/>
      <c r="C531" s="159"/>
      <c r="D531" s="159"/>
      <c r="E531" s="159"/>
      <c r="H531" s="159"/>
      <c r="I531" s="159"/>
      <c r="J531" s="159"/>
      <c r="K531" s="159"/>
      <c r="L531" s="159"/>
    </row>
    <row r="532" spans="1:12" ht="24.95" customHeight="1">
      <c r="A532" s="206"/>
      <c r="B532" s="159"/>
      <c r="C532" s="159"/>
      <c r="D532" s="159"/>
      <c r="E532" s="159"/>
      <c r="H532" s="159"/>
      <c r="I532" s="159"/>
      <c r="J532" s="159"/>
      <c r="K532" s="159"/>
      <c r="L532" s="159"/>
    </row>
    <row r="533" spans="1:12" ht="24.95" customHeight="1">
      <c r="A533" s="206"/>
      <c r="B533" s="159"/>
      <c r="C533" s="159"/>
      <c r="D533" s="159"/>
      <c r="E533" s="159"/>
      <c r="H533" s="159"/>
      <c r="I533" s="159"/>
      <c r="J533" s="159"/>
      <c r="K533" s="159"/>
      <c r="L533" s="159"/>
    </row>
    <row r="534" spans="1:12" ht="24.95" customHeight="1">
      <c r="A534" s="206"/>
      <c r="B534" s="159"/>
      <c r="C534" s="159"/>
      <c r="D534" s="159"/>
      <c r="E534" s="159"/>
      <c r="H534" s="159"/>
      <c r="I534" s="159"/>
      <c r="J534" s="159"/>
      <c r="K534" s="159"/>
      <c r="L534" s="159"/>
    </row>
    <row r="535" spans="1:12" ht="24.95" customHeight="1">
      <c r="A535" s="206"/>
      <c r="B535" s="159"/>
      <c r="C535" s="159"/>
      <c r="D535" s="159"/>
      <c r="E535" s="159"/>
      <c r="H535" s="159"/>
      <c r="I535" s="159"/>
      <c r="J535" s="159"/>
      <c r="K535" s="159"/>
      <c r="L535" s="159"/>
    </row>
    <row r="536" spans="1:12" ht="24.95" customHeight="1">
      <c r="A536" s="206"/>
      <c r="B536" s="159"/>
      <c r="C536" s="159"/>
      <c r="D536" s="159"/>
      <c r="E536" s="159"/>
      <c r="H536" s="159"/>
      <c r="I536" s="159"/>
      <c r="J536" s="159"/>
      <c r="K536" s="159"/>
      <c r="L536" s="159"/>
    </row>
    <row r="537" spans="1:12" ht="24.95" customHeight="1">
      <c r="A537" s="206"/>
      <c r="B537" s="159"/>
      <c r="C537" s="159"/>
      <c r="D537" s="159"/>
      <c r="E537" s="159"/>
      <c r="H537" s="159"/>
      <c r="I537" s="159"/>
      <c r="J537" s="159"/>
      <c r="K537" s="159"/>
      <c r="L537" s="159"/>
    </row>
    <row r="538" spans="1:12" ht="24.95" customHeight="1">
      <c r="A538" s="206"/>
      <c r="B538" s="159"/>
      <c r="C538" s="159"/>
      <c r="D538" s="159"/>
      <c r="E538" s="159"/>
      <c r="H538" s="159"/>
      <c r="I538" s="159"/>
      <c r="J538" s="159"/>
      <c r="K538" s="159"/>
      <c r="L538" s="159"/>
    </row>
    <row r="539" spans="1:12" ht="24.95" customHeight="1">
      <c r="A539" s="206"/>
      <c r="B539" s="159"/>
      <c r="C539" s="159"/>
      <c r="D539" s="159"/>
      <c r="E539" s="159"/>
      <c r="H539" s="159"/>
      <c r="I539" s="159"/>
      <c r="J539" s="159"/>
      <c r="K539" s="159"/>
      <c r="L539" s="159"/>
    </row>
    <row r="540" spans="1:12" ht="24.95" customHeight="1">
      <c r="A540" s="206"/>
      <c r="B540" s="159"/>
      <c r="C540" s="159"/>
      <c r="D540" s="159"/>
      <c r="E540" s="159"/>
      <c r="H540" s="159"/>
      <c r="I540" s="159"/>
      <c r="J540" s="159"/>
      <c r="K540" s="159"/>
      <c r="L540" s="159"/>
    </row>
    <row r="541" spans="1:12" ht="24.95" customHeight="1">
      <c r="A541" s="206"/>
      <c r="B541" s="159"/>
      <c r="C541" s="159"/>
      <c r="D541" s="159"/>
      <c r="E541" s="159"/>
      <c r="H541" s="159"/>
      <c r="I541" s="159"/>
      <c r="J541" s="159"/>
      <c r="K541" s="159"/>
      <c r="L541" s="159"/>
    </row>
    <row r="542" spans="1:12" ht="24.95" customHeight="1">
      <c r="A542" s="206"/>
      <c r="B542" s="159"/>
      <c r="C542" s="159"/>
      <c r="D542" s="159"/>
      <c r="E542" s="159"/>
      <c r="H542" s="159"/>
      <c r="I542" s="159"/>
      <c r="J542" s="159"/>
      <c r="K542" s="159"/>
      <c r="L542" s="159"/>
    </row>
    <row r="543" spans="1:12" ht="24.95" customHeight="1">
      <c r="A543" s="206"/>
      <c r="B543" s="159"/>
      <c r="C543" s="159"/>
      <c r="D543" s="159"/>
      <c r="E543" s="159"/>
      <c r="H543" s="159"/>
      <c r="I543" s="159"/>
      <c r="J543" s="159"/>
      <c r="K543" s="159"/>
      <c r="L543" s="159"/>
    </row>
    <row r="544" spans="1:12" ht="24.95" customHeight="1">
      <c r="A544" s="206"/>
      <c r="B544" s="159"/>
      <c r="C544" s="159"/>
      <c r="D544" s="159"/>
      <c r="E544" s="159"/>
      <c r="H544" s="159"/>
      <c r="I544" s="159"/>
      <c r="J544" s="159"/>
      <c r="K544" s="159"/>
      <c r="L544" s="159"/>
    </row>
    <row r="545" spans="1:12" ht="24.95" customHeight="1">
      <c r="A545" s="206"/>
      <c r="B545" s="159"/>
      <c r="C545" s="159"/>
      <c r="D545" s="159"/>
      <c r="E545" s="159"/>
      <c r="H545" s="159"/>
      <c r="I545" s="159"/>
      <c r="J545" s="159"/>
      <c r="K545" s="159"/>
      <c r="L545" s="159"/>
    </row>
    <row r="546" spans="1:12" ht="24.95" customHeight="1">
      <c r="A546" s="206"/>
      <c r="B546" s="159"/>
      <c r="C546" s="159"/>
      <c r="D546" s="159"/>
      <c r="E546" s="159"/>
      <c r="H546" s="159"/>
      <c r="I546" s="159"/>
      <c r="J546" s="159"/>
      <c r="K546" s="159"/>
      <c r="L546" s="159"/>
    </row>
    <row r="547" spans="1:12" ht="24.95" customHeight="1">
      <c r="A547" s="206"/>
      <c r="B547" s="159"/>
      <c r="C547" s="159"/>
      <c r="D547" s="159"/>
      <c r="E547" s="159"/>
      <c r="H547" s="159"/>
      <c r="I547" s="159"/>
      <c r="J547" s="159"/>
      <c r="K547" s="159"/>
      <c r="L547" s="159"/>
    </row>
    <row r="548" spans="1:12" ht="24.95" customHeight="1">
      <c r="A548" s="206"/>
      <c r="B548" s="159"/>
      <c r="C548" s="159"/>
      <c r="D548" s="159"/>
      <c r="E548" s="159"/>
      <c r="H548" s="159"/>
      <c r="I548" s="159"/>
      <c r="J548" s="159"/>
      <c r="K548" s="159"/>
      <c r="L548" s="159"/>
    </row>
    <row r="549" spans="1:12" ht="24.95" customHeight="1">
      <c r="A549" s="206"/>
      <c r="B549" s="159"/>
      <c r="C549" s="159"/>
      <c r="D549" s="159"/>
      <c r="E549" s="159"/>
      <c r="H549" s="159"/>
      <c r="I549" s="159"/>
      <c r="J549" s="159"/>
      <c r="K549" s="159"/>
      <c r="L549" s="159"/>
    </row>
    <row r="550" spans="1:12" ht="24.95" customHeight="1">
      <c r="A550" s="206"/>
      <c r="B550" s="159"/>
      <c r="C550" s="159"/>
      <c r="D550" s="159"/>
      <c r="E550" s="159"/>
      <c r="H550" s="159"/>
      <c r="I550" s="159"/>
      <c r="J550" s="159"/>
      <c r="K550" s="159"/>
      <c r="L550" s="159"/>
    </row>
    <row r="551" spans="1:12" ht="24.95" customHeight="1">
      <c r="A551" s="206"/>
      <c r="B551" s="159"/>
      <c r="C551" s="159"/>
      <c r="D551" s="159"/>
      <c r="E551" s="159"/>
      <c r="H551" s="159"/>
      <c r="I551" s="159"/>
      <c r="J551" s="159"/>
      <c r="K551" s="159"/>
      <c r="L551" s="159"/>
    </row>
    <row r="552" spans="1:12" ht="24.95" customHeight="1">
      <c r="A552" s="206"/>
      <c r="B552" s="159"/>
      <c r="C552" s="159"/>
      <c r="D552" s="159"/>
      <c r="E552" s="159"/>
      <c r="H552" s="159"/>
      <c r="I552" s="159"/>
      <c r="J552" s="159"/>
      <c r="K552" s="159"/>
      <c r="L552" s="159"/>
    </row>
    <row r="553" spans="1:12" ht="24.95" customHeight="1">
      <c r="A553" s="206"/>
      <c r="B553" s="159"/>
      <c r="C553" s="159"/>
      <c r="D553" s="159"/>
      <c r="E553" s="159"/>
      <c r="H553" s="159"/>
      <c r="I553" s="159"/>
      <c r="J553" s="159"/>
      <c r="K553" s="159"/>
      <c r="L553" s="159"/>
    </row>
    <row r="554" spans="1:12" ht="24.95" customHeight="1">
      <c r="A554" s="206"/>
      <c r="B554" s="159"/>
      <c r="C554" s="159"/>
      <c r="D554" s="159"/>
      <c r="E554" s="159"/>
      <c r="H554" s="159"/>
      <c r="I554" s="159"/>
      <c r="J554" s="159"/>
      <c r="K554" s="159"/>
      <c r="L554" s="159"/>
    </row>
    <row r="555" spans="1:12" ht="24.95" customHeight="1">
      <c r="A555" s="206"/>
      <c r="B555" s="159"/>
      <c r="C555" s="159"/>
      <c r="D555" s="159"/>
      <c r="E555" s="159"/>
      <c r="H555" s="159"/>
      <c r="I555" s="159"/>
      <c r="J555" s="159"/>
      <c r="K555" s="159"/>
      <c r="L555" s="159"/>
    </row>
    <row r="556" spans="1:12" ht="24.95" customHeight="1">
      <c r="A556" s="206"/>
      <c r="B556" s="159"/>
      <c r="C556" s="159"/>
      <c r="D556" s="159"/>
      <c r="E556" s="159"/>
      <c r="H556" s="159"/>
      <c r="I556" s="159"/>
      <c r="J556" s="159"/>
      <c r="K556" s="159"/>
      <c r="L556" s="159"/>
    </row>
    <row r="557" spans="1:12" ht="24.95" customHeight="1">
      <c r="A557" s="206"/>
      <c r="B557" s="159"/>
      <c r="C557" s="159"/>
      <c r="D557" s="159"/>
      <c r="E557" s="159"/>
      <c r="H557" s="159"/>
      <c r="I557" s="159"/>
      <c r="J557" s="159"/>
      <c r="K557" s="159"/>
      <c r="L557" s="159"/>
    </row>
    <row r="558" spans="1:12" ht="24.95" customHeight="1">
      <c r="A558" s="206"/>
      <c r="B558" s="159"/>
      <c r="C558" s="159"/>
      <c r="D558" s="159"/>
      <c r="E558" s="159"/>
      <c r="H558" s="159"/>
      <c r="I558" s="159"/>
      <c r="J558" s="159"/>
      <c r="K558" s="159"/>
      <c r="L558" s="159"/>
    </row>
    <row r="559" spans="1:12" ht="24.95" customHeight="1">
      <c r="A559" s="206"/>
      <c r="B559" s="159"/>
      <c r="C559" s="159"/>
      <c r="D559" s="159"/>
      <c r="E559" s="159"/>
      <c r="H559" s="159"/>
      <c r="I559" s="159"/>
      <c r="J559" s="159"/>
      <c r="K559" s="159"/>
      <c r="L559" s="159"/>
    </row>
    <row r="560" spans="1:12" ht="24.95" customHeight="1">
      <c r="A560" s="206"/>
      <c r="B560" s="159"/>
      <c r="C560" s="159"/>
      <c r="D560" s="159"/>
      <c r="E560" s="159"/>
      <c r="H560" s="159"/>
      <c r="I560" s="159"/>
      <c r="J560" s="159"/>
      <c r="K560" s="159"/>
      <c r="L560" s="159"/>
    </row>
    <row r="561" spans="1:12" ht="24.95" customHeight="1">
      <c r="A561" s="206"/>
      <c r="B561" s="159"/>
      <c r="C561" s="159"/>
      <c r="D561" s="159"/>
      <c r="E561" s="159"/>
      <c r="H561" s="159"/>
      <c r="I561" s="159"/>
      <c r="J561" s="159"/>
      <c r="K561" s="159"/>
      <c r="L561" s="159"/>
    </row>
    <row r="562" spans="1:12" ht="24.95" customHeight="1">
      <c r="A562" s="206"/>
      <c r="B562" s="159"/>
      <c r="C562" s="159"/>
      <c r="D562" s="159"/>
      <c r="E562" s="159"/>
      <c r="H562" s="159"/>
      <c r="I562" s="159"/>
      <c r="J562" s="159"/>
      <c r="K562" s="159"/>
      <c r="L562" s="159"/>
    </row>
    <row r="563" spans="1:12" ht="24.95" customHeight="1">
      <c r="A563" s="206"/>
      <c r="B563" s="159"/>
      <c r="C563" s="159"/>
      <c r="D563" s="159"/>
      <c r="E563" s="159"/>
      <c r="H563" s="159"/>
      <c r="I563" s="159"/>
      <c r="J563" s="159"/>
      <c r="K563" s="159"/>
      <c r="L563" s="159"/>
    </row>
    <row r="564" spans="1:12" ht="24.95" customHeight="1">
      <c r="A564" s="206"/>
      <c r="B564" s="159"/>
      <c r="C564" s="159"/>
      <c r="D564" s="159"/>
      <c r="E564" s="159"/>
      <c r="H564" s="159"/>
      <c r="I564" s="159"/>
      <c r="J564" s="159"/>
      <c r="K564" s="159"/>
      <c r="L564" s="159"/>
    </row>
    <row r="565" spans="1:12" ht="24.95" customHeight="1">
      <c r="A565" s="206"/>
      <c r="B565" s="159"/>
      <c r="C565" s="159"/>
      <c r="D565" s="159"/>
      <c r="E565" s="159"/>
      <c r="H565" s="159"/>
      <c r="I565" s="159"/>
      <c r="J565" s="159"/>
      <c r="K565" s="159"/>
      <c r="L565" s="159"/>
    </row>
    <row r="566" spans="1:12" ht="24.95" customHeight="1">
      <c r="A566" s="206"/>
      <c r="B566" s="159"/>
      <c r="C566" s="159"/>
      <c r="D566" s="159"/>
      <c r="E566" s="159"/>
      <c r="H566" s="159"/>
      <c r="I566" s="159"/>
      <c r="J566" s="159"/>
      <c r="K566" s="159"/>
      <c r="L566" s="159"/>
    </row>
    <row r="567" spans="1:12" ht="24.95" customHeight="1">
      <c r="A567" s="206"/>
      <c r="B567" s="159"/>
      <c r="C567" s="159"/>
      <c r="D567" s="159"/>
      <c r="E567" s="159"/>
      <c r="H567" s="159"/>
      <c r="I567" s="159"/>
      <c r="J567" s="159"/>
      <c r="K567" s="159"/>
      <c r="L567" s="159"/>
    </row>
    <row r="568" spans="1:12" ht="24.95" customHeight="1">
      <c r="A568" s="206"/>
      <c r="B568" s="159"/>
      <c r="C568" s="159"/>
      <c r="D568" s="159"/>
      <c r="E568" s="159"/>
      <c r="H568" s="159"/>
      <c r="I568" s="159"/>
      <c r="J568" s="159"/>
      <c r="K568" s="159"/>
      <c r="L568" s="159"/>
    </row>
    <row r="569" spans="1:12" ht="24.95" customHeight="1">
      <c r="A569" s="206"/>
      <c r="B569" s="159"/>
      <c r="C569" s="159"/>
      <c r="D569" s="159"/>
      <c r="E569" s="159"/>
      <c r="H569" s="159"/>
      <c r="I569" s="159"/>
      <c r="J569" s="159"/>
      <c r="K569" s="159"/>
      <c r="L569" s="159"/>
    </row>
    <row r="570" spans="1:12" ht="24.95" customHeight="1">
      <c r="A570" s="206"/>
      <c r="B570" s="159"/>
      <c r="C570" s="159"/>
      <c r="D570" s="159"/>
      <c r="E570" s="159"/>
      <c r="H570" s="159"/>
      <c r="I570" s="159"/>
      <c r="J570" s="159"/>
      <c r="K570" s="159"/>
      <c r="L570" s="159"/>
    </row>
    <row r="571" spans="1:12" ht="24.95" customHeight="1">
      <c r="A571" s="206"/>
      <c r="B571" s="159"/>
      <c r="C571" s="159"/>
      <c r="D571" s="159"/>
      <c r="E571" s="159"/>
      <c r="H571" s="159"/>
      <c r="I571" s="159"/>
      <c r="J571" s="159"/>
      <c r="K571" s="159"/>
      <c r="L571" s="159"/>
    </row>
    <row r="572" spans="1:12" ht="24.95" customHeight="1">
      <c r="A572" s="206"/>
      <c r="B572" s="159"/>
      <c r="C572" s="159"/>
      <c r="D572" s="159"/>
      <c r="E572" s="159"/>
      <c r="H572" s="159"/>
      <c r="I572" s="159"/>
      <c r="J572" s="159"/>
      <c r="K572" s="159"/>
      <c r="L572" s="159"/>
    </row>
    <row r="573" spans="1:12" ht="24.95" customHeight="1">
      <c r="A573" s="206"/>
      <c r="B573" s="159"/>
      <c r="C573" s="159"/>
      <c r="D573" s="159"/>
      <c r="E573" s="159"/>
      <c r="H573" s="159"/>
      <c r="I573" s="159"/>
      <c r="J573" s="159"/>
      <c r="K573" s="159"/>
      <c r="L573" s="159"/>
    </row>
    <row r="574" spans="1:12" ht="24.95" customHeight="1">
      <c r="A574" s="206"/>
      <c r="B574" s="159"/>
      <c r="C574" s="159"/>
      <c r="D574" s="159"/>
      <c r="E574" s="159"/>
      <c r="H574" s="159"/>
      <c r="I574" s="159"/>
      <c r="J574" s="159"/>
      <c r="K574" s="159"/>
      <c r="L574" s="159"/>
    </row>
    <row r="575" spans="1:12" ht="24.95" customHeight="1">
      <c r="A575" s="206"/>
      <c r="B575" s="159"/>
      <c r="C575" s="159"/>
      <c r="D575" s="159"/>
      <c r="E575" s="159"/>
      <c r="H575" s="159"/>
      <c r="I575" s="159"/>
      <c r="J575" s="159"/>
      <c r="K575" s="159"/>
      <c r="L575" s="159"/>
    </row>
    <row r="576" spans="1:12" ht="24.95" customHeight="1">
      <c r="A576" s="206"/>
      <c r="B576" s="159"/>
      <c r="C576" s="159"/>
      <c r="D576" s="159"/>
      <c r="E576" s="159"/>
      <c r="H576" s="159"/>
      <c r="I576" s="159"/>
      <c r="J576" s="159"/>
      <c r="K576" s="159"/>
      <c r="L576" s="159"/>
    </row>
    <row r="577" spans="1:12" ht="24.95" customHeight="1">
      <c r="A577" s="206"/>
      <c r="B577" s="159"/>
      <c r="C577" s="159"/>
      <c r="D577" s="159"/>
      <c r="E577" s="159"/>
      <c r="H577" s="159"/>
      <c r="I577" s="159"/>
      <c r="J577" s="159"/>
      <c r="K577" s="159"/>
      <c r="L577" s="159"/>
    </row>
    <row r="578" spans="1:12" ht="24.95" customHeight="1">
      <c r="A578" s="206"/>
      <c r="B578" s="159"/>
      <c r="C578" s="159"/>
      <c r="D578" s="159"/>
      <c r="E578" s="159"/>
      <c r="H578" s="159"/>
      <c r="I578" s="159"/>
      <c r="J578" s="159"/>
      <c r="K578" s="159"/>
      <c r="L578" s="159"/>
    </row>
    <row r="579" spans="1:12" ht="24.95" customHeight="1">
      <c r="A579" s="206"/>
      <c r="B579" s="159"/>
      <c r="C579" s="159"/>
      <c r="D579" s="159"/>
      <c r="E579" s="159"/>
      <c r="H579" s="159"/>
      <c r="I579" s="159"/>
      <c r="J579" s="159"/>
      <c r="K579" s="159"/>
      <c r="L579" s="159"/>
    </row>
    <row r="580" spans="1:12" ht="24.95" customHeight="1">
      <c r="A580" s="206"/>
      <c r="B580" s="159"/>
      <c r="C580" s="159"/>
      <c r="D580" s="159"/>
      <c r="E580" s="159"/>
      <c r="H580" s="159"/>
      <c r="I580" s="159"/>
      <c r="J580" s="159"/>
      <c r="K580" s="159"/>
      <c r="L580" s="159"/>
    </row>
    <row r="581" spans="1:12" ht="24.95" customHeight="1">
      <c r="A581" s="206"/>
      <c r="B581" s="159"/>
      <c r="C581" s="159"/>
      <c r="D581" s="159"/>
      <c r="E581" s="159"/>
      <c r="H581" s="159"/>
      <c r="I581" s="159"/>
      <c r="J581" s="159"/>
      <c r="K581" s="159"/>
      <c r="L581" s="159"/>
    </row>
    <row r="582" spans="1:12" ht="24.95" customHeight="1">
      <c r="A582" s="206"/>
      <c r="B582" s="159"/>
      <c r="C582" s="159"/>
      <c r="D582" s="159"/>
      <c r="E582" s="159"/>
      <c r="H582" s="159"/>
      <c r="I582" s="159"/>
      <c r="J582" s="159"/>
      <c r="K582" s="159"/>
      <c r="L582" s="159"/>
    </row>
    <row r="583" spans="1:12" ht="24.95" customHeight="1">
      <c r="A583" s="206"/>
      <c r="B583" s="159"/>
      <c r="C583" s="159"/>
      <c r="D583" s="159"/>
      <c r="E583" s="159"/>
      <c r="H583" s="159"/>
      <c r="I583" s="159"/>
      <c r="J583" s="159"/>
      <c r="K583" s="159"/>
      <c r="L583" s="159"/>
    </row>
    <row r="584" spans="1:12" ht="24.95" customHeight="1">
      <c r="A584" s="206"/>
      <c r="B584" s="159"/>
      <c r="C584" s="159"/>
      <c r="D584" s="159"/>
      <c r="E584" s="159"/>
      <c r="H584" s="159"/>
      <c r="I584" s="159"/>
      <c r="J584" s="159"/>
      <c r="K584" s="159"/>
      <c r="L584" s="159"/>
    </row>
    <row r="585" spans="1:12" ht="24.95" customHeight="1">
      <c r="A585" s="206"/>
      <c r="B585" s="159"/>
      <c r="C585" s="159"/>
      <c r="D585" s="159"/>
      <c r="E585" s="159"/>
      <c r="H585" s="159"/>
      <c r="I585" s="159"/>
      <c r="J585" s="159"/>
      <c r="K585" s="159"/>
      <c r="L585" s="159"/>
    </row>
    <row r="586" spans="1:12" ht="24.95" customHeight="1">
      <c r="A586" s="206"/>
      <c r="B586" s="159"/>
      <c r="C586" s="159"/>
      <c r="D586" s="159"/>
      <c r="E586" s="159"/>
      <c r="H586" s="159"/>
      <c r="I586" s="159"/>
      <c r="J586" s="159"/>
      <c r="K586" s="159"/>
      <c r="L586" s="159"/>
    </row>
    <row r="587" spans="1:12" ht="24.95" customHeight="1">
      <c r="A587" s="206"/>
      <c r="B587" s="159"/>
      <c r="C587" s="159"/>
      <c r="D587" s="159"/>
      <c r="E587" s="159"/>
      <c r="H587" s="159"/>
      <c r="I587" s="159"/>
      <c r="J587" s="159"/>
      <c r="K587" s="159"/>
      <c r="L587" s="159"/>
    </row>
    <row r="588" spans="1:12" ht="24.95" customHeight="1">
      <c r="A588" s="206"/>
      <c r="B588" s="159"/>
      <c r="C588" s="159"/>
      <c r="D588" s="159"/>
      <c r="E588" s="159"/>
      <c r="H588" s="159"/>
      <c r="I588" s="159"/>
      <c r="J588" s="159"/>
      <c r="K588" s="159"/>
      <c r="L588" s="159"/>
    </row>
    <row r="589" spans="1:12" ht="24.95" customHeight="1">
      <c r="A589" s="206"/>
      <c r="B589" s="159"/>
      <c r="C589" s="159"/>
      <c r="D589" s="159"/>
      <c r="E589" s="159"/>
      <c r="H589" s="159"/>
      <c r="I589" s="159"/>
      <c r="J589" s="159"/>
      <c r="K589" s="159"/>
      <c r="L589" s="159"/>
    </row>
    <row r="590" spans="1:12" ht="24.95" customHeight="1">
      <c r="A590" s="206"/>
      <c r="B590" s="159"/>
      <c r="C590" s="159"/>
      <c r="D590" s="159"/>
      <c r="E590" s="159"/>
      <c r="H590" s="159"/>
      <c r="I590" s="159"/>
      <c r="J590" s="159"/>
      <c r="K590" s="159"/>
      <c r="L590" s="159"/>
    </row>
    <row r="591" spans="1:12" ht="24.95" customHeight="1">
      <c r="A591" s="206"/>
      <c r="B591" s="159"/>
      <c r="C591" s="159"/>
      <c r="D591" s="159"/>
      <c r="E591" s="159"/>
      <c r="H591" s="159"/>
      <c r="I591" s="159"/>
      <c r="J591" s="159"/>
      <c r="K591" s="159"/>
      <c r="L591" s="159"/>
    </row>
    <row r="592" spans="1:12" ht="24.95" customHeight="1">
      <c r="A592" s="206"/>
      <c r="B592" s="159"/>
      <c r="C592" s="159"/>
      <c r="D592" s="159"/>
      <c r="E592" s="159"/>
      <c r="H592" s="159"/>
      <c r="I592" s="159"/>
      <c r="J592" s="159"/>
      <c r="K592" s="159"/>
      <c r="L592" s="159"/>
    </row>
    <row r="593" spans="1:12" ht="24.95" customHeight="1">
      <c r="A593" s="206"/>
      <c r="B593" s="159"/>
      <c r="C593" s="159"/>
      <c r="D593" s="159"/>
      <c r="E593" s="159"/>
      <c r="H593" s="159"/>
      <c r="I593" s="159"/>
      <c r="J593" s="159"/>
      <c r="K593" s="159"/>
      <c r="L593" s="159"/>
    </row>
    <row r="594" spans="1:12" ht="24.95" customHeight="1">
      <c r="A594" s="206"/>
      <c r="B594" s="159"/>
      <c r="C594" s="159"/>
      <c r="D594" s="159"/>
      <c r="E594" s="159"/>
      <c r="H594" s="159"/>
      <c r="I594" s="159"/>
      <c r="J594" s="159"/>
      <c r="K594" s="159"/>
      <c r="L594" s="159"/>
    </row>
    <row r="595" spans="1:12" ht="24.95" customHeight="1">
      <c r="A595" s="206"/>
      <c r="B595" s="159"/>
      <c r="C595" s="159"/>
      <c r="D595" s="159"/>
      <c r="E595" s="159"/>
      <c r="H595" s="159"/>
      <c r="I595" s="159"/>
      <c r="J595" s="159"/>
      <c r="K595" s="159"/>
      <c r="L595" s="159"/>
    </row>
    <row r="596" spans="1:12" ht="24.95" customHeight="1">
      <c r="A596" s="206"/>
      <c r="B596" s="159"/>
      <c r="C596" s="159"/>
      <c r="D596" s="159"/>
      <c r="E596" s="159"/>
      <c r="H596" s="159"/>
      <c r="I596" s="159"/>
      <c r="J596" s="159"/>
      <c r="K596" s="159"/>
      <c r="L596" s="159"/>
    </row>
    <row r="597" spans="1:12" ht="24.95" customHeight="1">
      <c r="A597" s="206"/>
      <c r="B597" s="159"/>
      <c r="C597" s="159"/>
      <c r="D597" s="159"/>
      <c r="E597" s="159"/>
      <c r="H597" s="159"/>
      <c r="I597" s="159"/>
      <c r="J597" s="159"/>
      <c r="K597" s="159"/>
      <c r="L597" s="159"/>
    </row>
    <row r="598" spans="1:12" ht="24.95" customHeight="1">
      <c r="A598" s="206"/>
      <c r="B598" s="159"/>
      <c r="C598" s="159"/>
      <c r="D598" s="159"/>
      <c r="E598" s="159"/>
      <c r="H598" s="159"/>
      <c r="I598" s="159"/>
      <c r="J598" s="159"/>
      <c r="K598" s="159"/>
      <c r="L598" s="159"/>
    </row>
    <row r="599" spans="1:12" ht="24.95" customHeight="1">
      <c r="A599" s="206"/>
      <c r="B599" s="159"/>
      <c r="C599" s="159"/>
      <c r="D599" s="159"/>
      <c r="E599" s="159"/>
      <c r="H599" s="159"/>
      <c r="I599" s="159"/>
      <c r="J599" s="159"/>
      <c r="K599" s="159"/>
      <c r="L599" s="159"/>
    </row>
    <row r="600" spans="1:12" ht="24.95" customHeight="1">
      <c r="A600" s="206"/>
      <c r="B600" s="159"/>
      <c r="C600" s="159"/>
      <c r="D600" s="159"/>
      <c r="E600" s="159"/>
      <c r="H600" s="159"/>
      <c r="I600" s="159"/>
      <c r="J600" s="159"/>
      <c r="K600" s="159"/>
      <c r="L600" s="159"/>
    </row>
    <row r="601" spans="1:12" ht="24.95" customHeight="1">
      <c r="A601" s="206"/>
      <c r="B601" s="159"/>
      <c r="C601" s="159"/>
      <c r="D601" s="159"/>
      <c r="E601" s="159"/>
      <c r="H601" s="159"/>
      <c r="I601" s="159"/>
      <c r="J601" s="159"/>
      <c r="K601" s="159"/>
      <c r="L601" s="159"/>
    </row>
    <row r="602" spans="1:12" ht="24.95" customHeight="1">
      <c r="A602" s="206"/>
      <c r="B602" s="159"/>
      <c r="C602" s="159"/>
      <c r="D602" s="159"/>
      <c r="E602" s="159"/>
      <c r="H602" s="159"/>
      <c r="I602" s="159"/>
      <c r="J602" s="159"/>
      <c r="K602" s="159"/>
      <c r="L602" s="159"/>
    </row>
    <row r="603" spans="1:12" ht="24.95" customHeight="1">
      <c r="A603" s="206"/>
      <c r="B603" s="159"/>
      <c r="C603" s="159"/>
      <c r="D603" s="159"/>
      <c r="E603" s="159"/>
      <c r="H603" s="159"/>
      <c r="I603" s="159"/>
      <c r="J603" s="159"/>
      <c r="K603" s="159"/>
      <c r="L603" s="159"/>
    </row>
    <row r="604" spans="1:12" ht="24.95" customHeight="1">
      <c r="A604" s="206"/>
      <c r="B604" s="159"/>
      <c r="C604" s="159"/>
      <c r="D604" s="159"/>
      <c r="E604" s="159"/>
      <c r="H604" s="159"/>
      <c r="I604" s="159"/>
      <c r="J604" s="159"/>
      <c r="K604" s="159"/>
      <c r="L604" s="159"/>
    </row>
    <row r="605" spans="1:12" ht="24.95" customHeight="1">
      <c r="A605" s="206"/>
      <c r="B605" s="159"/>
      <c r="C605" s="159"/>
      <c r="D605" s="159"/>
      <c r="E605" s="159"/>
      <c r="H605" s="159"/>
      <c r="I605" s="159"/>
      <c r="J605" s="159"/>
      <c r="K605" s="159"/>
      <c r="L605" s="159"/>
    </row>
    <row r="606" spans="1:12" ht="24.95" customHeight="1">
      <c r="A606" s="206"/>
      <c r="B606" s="159"/>
      <c r="C606" s="159"/>
      <c r="D606" s="159"/>
      <c r="E606" s="159"/>
      <c r="H606" s="159"/>
      <c r="I606" s="159"/>
      <c r="J606" s="159"/>
      <c r="K606" s="159"/>
      <c r="L606" s="159"/>
    </row>
    <row r="607" spans="1:12" ht="24.95" customHeight="1">
      <c r="A607" s="206"/>
      <c r="B607" s="159"/>
      <c r="C607" s="159"/>
      <c r="D607" s="159"/>
      <c r="E607" s="159"/>
      <c r="H607" s="159"/>
      <c r="I607" s="159"/>
      <c r="J607" s="159"/>
      <c r="K607" s="159"/>
      <c r="L607" s="159"/>
    </row>
    <row r="608" spans="1:12" ht="24.95" customHeight="1">
      <c r="A608" s="206"/>
      <c r="B608" s="159"/>
      <c r="C608" s="159"/>
      <c r="D608" s="159"/>
      <c r="E608" s="159"/>
      <c r="H608" s="159"/>
      <c r="I608" s="159"/>
      <c r="J608" s="159"/>
      <c r="K608" s="159"/>
      <c r="L608" s="159"/>
    </row>
    <row r="609" spans="1:12" ht="24.95" customHeight="1">
      <c r="A609" s="206"/>
      <c r="B609" s="159"/>
      <c r="C609" s="159"/>
      <c r="D609" s="159"/>
      <c r="E609" s="159"/>
      <c r="H609" s="159"/>
      <c r="I609" s="159"/>
      <c r="J609" s="159"/>
      <c r="K609" s="159"/>
      <c r="L609" s="159"/>
    </row>
    <row r="610" spans="1:12" ht="24.95" customHeight="1">
      <c r="A610" s="206"/>
      <c r="B610" s="159"/>
      <c r="C610" s="159"/>
      <c r="D610" s="159"/>
      <c r="E610" s="159"/>
      <c r="H610" s="159"/>
      <c r="I610" s="159"/>
      <c r="J610" s="159"/>
      <c r="K610" s="159"/>
      <c r="L610" s="159"/>
    </row>
    <row r="611" spans="1:12" ht="24.95" customHeight="1">
      <c r="A611" s="206"/>
      <c r="B611" s="159"/>
      <c r="C611" s="159"/>
      <c r="D611" s="159"/>
      <c r="E611" s="159"/>
      <c r="H611" s="159"/>
      <c r="I611" s="159"/>
      <c r="J611" s="159"/>
      <c r="K611" s="159"/>
      <c r="L611" s="159"/>
    </row>
    <row r="612" spans="1:12" ht="24.95" customHeight="1">
      <c r="A612" s="206"/>
      <c r="B612" s="159"/>
      <c r="C612" s="159"/>
      <c r="D612" s="159"/>
      <c r="E612" s="159"/>
      <c r="H612" s="159"/>
      <c r="I612" s="159"/>
      <c r="J612" s="159"/>
      <c r="K612" s="159"/>
      <c r="L612" s="159"/>
    </row>
    <row r="613" spans="1:12" ht="24.95" customHeight="1">
      <c r="A613" s="206"/>
      <c r="B613" s="159"/>
      <c r="C613" s="159"/>
      <c r="D613" s="159"/>
      <c r="E613" s="159"/>
      <c r="H613" s="159"/>
      <c r="I613" s="159"/>
      <c r="J613" s="159"/>
      <c r="K613" s="159"/>
      <c r="L613" s="159"/>
    </row>
    <row r="614" spans="1:12" ht="24.95" customHeight="1">
      <c r="A614" s="206"/>
      <c r="B614" s="159"/>
      <c r="C614" s="159"/>
      <c r="D614" s="159"/>
      <c r="E614" s="159"/>
      <c r="H614" s="159"/>
      <c r="I614" s="159"/>
      <c r="J614" s="159"/>
      <c r="K614" s="159"/>
      <c r="L614" s="159"/>
    </row>
    <row r="615" spans="1:12" ht="24.95" customHeight="1">
      <c r="A615" s="206"/>
      <c r="B615" s="159"/>
      <c r="C615" s="159"/>
      <c r="D615" s="159"/>
      <c r="E615" s="159"/>
      <c r="H615" s="159"/>
      <c r="I615" s="159"/>
      <c r="J615" s="159"/>
      <c r="K615" s="159"/>
      <c r="L615" s="159"/>
    </row>
    <row r="616" spans="1:12" ht="24.95" customHeight="1">
      <c r="A616" s="206"/>
      <c r="B616" s="159"/>
      <c r="C616" s="159"/>
      <c r="D616" s="159"/>
      <c r="E616" s="159"/>
      <c r="H616" s="159"/>
      <c r="I616" s="159"/>
      <c r="J616" s="159"/>
      <c r="K616" s="159"/>
      <c r="L616" s="159"/>
    </row>
    <row r="617" spans="1:12" ht="24.95" customHeight="1">
      <c r="A617" s="206"/>
      <c r="B617" s="159"/>
      <c r="C617" s="159"/>
      <c r="D617" s="159"/>
      <c r="E617" s="159"/>
      <c r="H617" s="159"/>
      <c r="I617" s="159"/>
      <c r="J617" s="159"/>
      <c r="K617" s="159"/>
      <c r="L617" s="159"/>
    </row>
    <row r="618" spans="1:12" ht="24.95" customHeight="1">
      <c r="A618" s="206"/>
      <c r="B618" s="159"/>
      <c r="C618" s="159"/>
      <c r="D618" s="159"/>
      <c r="E618" s="159"/>
      <c r="H618" s="159"/>
      <c r="I618" s="159"/>
      <c r="J618" s="159"/>
      <c r="K618" s="159"/>
      <c r="L618" s="159"/>
    </row>
    <row r="619" spans="1:12" ht="24.95" customHeight="1">
      <c r="A619" s="206"/>
      <c r="B619" s="159"/>
      <c r="C619" s="159"/>
      <c r="D619" s="159"/>
      <c r="E619" s="159"/>
      <c r="H619" s="159"/>
      <c r="I619" s="159"/>
      <c r="J619" s="159"/>
      <c r="K619" s="159"/>
      <c r="L619" s="159"/>
    </row>
    <row r="620" spans="1:12" ht="24.95" customHeight="1">
      <c r="A620" s="206"/>
      <c r="B620" s="159"/>
      <c r="C620" s="159"/>
      <c r="D620" s="159"/>
      <c r="E620" s="159"/>
      <c r="H620" s="159"/>
      <c r="I620" s="159"/>
      <c r="J620" s="159"/>
      <c r="K620" s="159"/>
      <c r="L620" s="159"/>
    </row>
    <row r="621" spans="1:12" ht="24.95" customHeight="1">
      <c r="A621" s="206"/>
      <c r="B621" s="159"/>
      <c r="C621" s="159"/>
      <c r="D621" s="159"/>
      <c r="E621" s="159"/>
      <c r="H621" s="159"/>
      <c r="I621" s="159"/>
      <c r="J621" s="159"/>
      <c r="K621" s="159"/>
      <c r="L621" s="159"/>
    </row>
    <row r="622" spans="1:12" ht="24.95" customHeight="1">
      <c r="A622" s="206"/>
      <c r="B622" s="159"/>
      <c r="C622" s="159"/>
      <c r="D622" s="159"/>
      <c r="E622" s="159"/>
      <c r="H622" s="159"/>
      <c r="I622" s="159"/>
      <c r="J622" s="159"/>
      <c r="K622" s="159"/>
      <c r="L622" s="159"/>
    </row>
    <row r="623" spans="1:12" ht="24.95" customHeight="1">
      <c r="A623" s="206"/>
      <c r="B623" s="159"/>
      <c r="C623" s="159"/>
      <c r="D623" s="159"/>
      <c r="E623" s="159"/>
      <c r="H623" s="159"/>
      <c r="I623" s="159"/>
      <c r="J623" s="159"/>
      <c r="K623" s="159"/>
      <c r="L623" s="159"/>
    </row>
    <row r="624" spans="1:12" ht="24.95" customHeight="1">
      <c r="A624" s="206"/>
      <c r="B624" s="159"/>
      <c r="C624" s="159"/>
      <c r="D624" s="159"/>
      <c r="E624" s="159"/>
      <c r="H624" s="159"/>
      <c r="I624" s="159"/>
      <c r="J624" s="159"/>
      <c r="K624" s="159"/>
      <c r="L624" s="159"/>
    </row>
    <row r="625" spans="1:12" ht="24.95" customHeight="1">
      <c r="A625" s="206"/>
      <c r="B625" s="159"/>
      <c r="C625" s="159"/>
      <c r="D625" s="159"/>
      <c r="E625" s="159"/>
      <c r="H625" s="159"/>
      <c r="I625" s="159"/>
      <c r="J625" s="159"/>
      <c r="K625" s="159"/>
      <c r="L625" s="159"/>
    </row>
    <row r="626" spans="1:12" ht="24.95" customHeight="1">
      <c r="A626" s="206"/>
      <c r="B626" s="159"/>
      <c r="C626" s="159"/>
      <c r="D626" s="159"/>
      <c r="E626" s="159"/>
      <c r="H626" s="159"/>
      <c r="I626" s="159"/>
      <c r="J626" s="159"/>
      <c r="K626" s="159"/>
      <c r="L626" s="159"/>
    </row>
    <row r="627" spans="1:12" ht="24.95" customHeight="1">
      <c r="A627" s="206"/>
      <c r="B627" s="159"/>
      <c r="C627" s="159"/>
      <c r="D627" s="159"/>
      <c r="E627" s="159"/>
      <c r="H627" s="159"/>
      <c r="I627" s="159"/>
      <c r="J627" s="159"/>
      <c r="K627" s="159"/>
      <c r="L627" s="159"/>
    </row>
    <row r="628" spans="1:12" ht="24.95" customHeight="1">
      <c r="A628" s="206"/>
      <c r="B628" s="159"/>
      <c r="C628" s="159"/>
      <c r="D628" s="159"/>
      <c r="E628" s="159"/>
      <c r="H628" s="159"/>
      <c r="I628" s="159"/>
      <c r="J628" s="159"/>
      <c r="K628" s="159"/>
      <c r="L628" s="159"/>
    </row>
    <row r="629" spans="1:12" ht="24.95" customHeight="1">
      <c r="A629" s="206"/>
      <c r="B629" s="159"/>
      <c r="C629" s="159"/>
      <c r="D629" s="159"/>
      <c r="E629" s="159"/>
      <c r="H629" s="159"/>
      <c r="I629" s="159"/>
      <c r="J629" s="159"/>
      <c r="K629" s="159"/>
      <c r="L629" s="159"/>
    </row>
    <row r="630" spans="1:12" ht="24.95" customHeight="1">
      <c r="A630" s="206"/>
      <c r="B630" s="159"/>
      <c r="C630" s="159"/>
      <c r="D630" s="159"/>
      <c r="E630" s="159"/>
      <c r="H630" s="159"/>
      <c r="I630" s="159"/>
      <c r="J630" s="159"/>
      <c r="K630" s="159"/>
      <c r="L630" s="159"/>
    </row>
    <row r="631" spans="1:12" ht="24.95" customHeight="1">
      <c r="A631" s="206"/>
      <c r="B631" s="159"/>
      <c r="C631" s="159"/>
      <c r="D631" s="159"/>
      <c r="E631" s="159"/>
      <c r="H631" s="159"/>
      <c r="I631" s="159"/>
      <c r="J631" s="159"/>
      <c r="K631" s="159"/>
      <c r="L631" s="159"/>
    </row>
    <row r="632" spans="1:12" ht="24.95" customHeight="1">
      <c r="A632" s="206"/>
      <c r="B632" s="159"/>
      <c r="C632" s="159"/>
      <c r="D632" s="159"/>
      <c r="E632" s="159"/>
      <c r="H632" s="159"/>
      <c r="I632" s="159"/>
      <c r="J632" s="159"/>
      <c r="K632" s="159"/>
      <c r="L632" s="159"/>
    </row>
    <row r="633" spans="1:12" ht="24.95" customHeight="1">
      <c r="A633" s="206"/>
      <c r="B633" s="159"/>
      <c r="C633" s="159"/>
      <c r="D633" s="159"/>
      <c r="E633" s="159"/>
      <c r="H633" s="159"/>
      <c r="I633" s="159"/>
      <c r="J633" s="159"/>
      <c r="K633" s="159"/>
      <c r="L633" s="159"/>
    </row>
    <row r="634" spans="1:12" ht="24.95" customHeight="1">
      <c r="A634" s="206"/>
      <c r="B634" s="159"/>
      <c r="C634" s="159"/>
      <c r="D634" s="159"/>
      <c r="E634" s="159"/>
      <c r="H634" s="159"/>
      <c r="I634" s="159"/>
      <c r="J634" s="159"/>
      <c r="K634" s="159"/>
      <c r="L634" s="159"/>
    </row>
    <row r="635" spans="1:12" ht="24.95" customHeight="1">
      <c r="A635" s="206"/>
      <c r="B635" s="159"/>
      <c r="C635" s="159"/>
      <c r="D635" s="159"/>
      <c r="E635" s="159"/>
      <c r="H635" s="159"/>
      <c r="I635" s="159"/>
      <c r="J635" s="159"/>
      <c r="K635" s="159"/>
      <c r="L635" s="159"/>
    </row>
    <row r="636" spans="1:12" ht="24.95" customHeight="1">
      <c r="A636" s="206"/>
      <c r="B636" s="159"/>
      <c r="C636" s="159"/>
      <c r="D636" s="159"/>
      <c r="E636" s="159"/>
      <c r="H636" s="159"/>
      <c r="I636" s="159"/>
      <c r="J636" s="159"/>
      <c r="K636" s="159"/>
      <c r="L636" s="159"/>
    </row>
    <row r="637" spans="1:12" ht="24.95" customHeight="1">
      <c r="A637" s="206"/>
      <c r="B637" s="159"/>
      <c r="C637" s="159"/>
      <c r="D637" s="159"/>
      <c r="E637" s="159"/>
      <c r="H637" s="159"/>
      <c r="I637" s="159"/>
      <c r="J637" s="159"/>
      <c r="K637" s="159"/>
      <c r="L637" s="159"/>
    </row>
    <row r="638" spans="1:12" ht="24.95" customHeight="1">
      <c r="A638" s="206"/>
      <c r="B638" s="159"/>
      <c r="C638" s="159"/>
      <c r="D638" s="159"/>
      <c r="E638" s="159"/>
      <c r="H638" s="159"/>
      <c r="I638" s="159"/>
      <c r="J638" s="159"/>
      <c r="K638" s="159"/>
      <c r="L638" s="159"/>
    </row>
    <row r="639" spans="1:12" ht="24.95" customHeight="1">
      <c r="A639" s="206"/>
      <c r="B639" s="159"/>
      <c r="C639" s="159"/>
      <c r="D639" s="159"/>
      <c r="E639" s="159"/>
      <c r="H639" s="159"/>
      <c r="I639" s="159"/>
      <c r="J639" s="159"/>
      <c r="K639" s="159"/>
      <c r="L639" s="159"/>
    </row>
    <row r="640" spans="1:12" ht="24.95" customHeight="1">
      <c r="A640" s="206"/>
      <c r="B640" s="159"/>
      <c r="C640" s="159"/>
      <c r="D640" s="159"/>
      <c r="E640" s="159"/>
      <c r="H640" s="159"/>
      <c r="I640" s="159"/>
      <c r="J640" s="159"/>
      <c r="K640" s="159"/>
      <c r="L640" s="159"/>
    </row>
    <row r="641" spans="1:12" ht="24.95" customHeight="1">
      <c r="A641" s="206"/>
      <c r="B641" s="159"/>
      <c r="C641" s="159"/>
      <c r="D641" s="159"/>
      <c r="E641" s="159"/>
      <c r="H641" s="159"/>
      <c r="I641" s="159"/>
      <c r="J641" s="159"/>
      <c r="K641" s="159"/>
      <c r="L641" s="159"/>
    </row>
    <row r="642" spans="1:12" ht="24.95" customHeight="1">
      <c r="A642" s="206"/>
      <c r="B642" s="159"/>
      <c r="C642" s="159"/>
      <c r="D642" s="159"/>
      <c r="E642" s="159"/>
      <c r="H642" s="159"/>
      <c r="I642" s="159"/>
      <c r="J642" s="159"/>
      <c r="K642" s="159"/>
      <c r="L642" s="159"/>
    </row>
    <row r="643" spans="1:12" ht="24.95" customHeight="1">
      <c r="A643" s="206"/>
      <c r="B643" s="159"/>
      <c r="C643" s="159"/>
      <c r="D643" s="159"/>
      <c r="E643" s="159"/>
      <c r="H643" s="159"/>
      <c r="I643" s="159"/>
      <c r="J643" s="159"/>
      <c r="K643" s="159"/>
      <c r="L643" s="159"/>
    </row>
    <row r="644" spans="1:12" ht="24.95" customHeight="1">
      <c r="A644" s="206"/>
      <c r="B644" s="159"/>
      <c r="C644" s="159"/>
      <c r="D644" s="159"/>
      <c r="E644" s="159"/>
      <c r="H644" s="159"/>
      <c r="I644" s="159"/>
      <c r="J644" s="159"/>
      <c r="K644" s="159"/>
      <c r="L644" s="159"/>
    </row>
    <row r="645" spans="1:12" ht="24.95" customHeight="1">
      <c r="A645" s="206"/>
      <c r="B645" s="159"/>
      <c r="C645" s="159"/>
      <c r="D645" s="159"/>
      <c r="E645" s="159"/>
      <c r="H645" s="159"/>
      <c r="I645" s="159"/>
      <c r="J645" s="159"/>
      <c r="K645" s="159"/>
      <c r="L645" s="159"/>
    </row>
    <row r="646" spans="1:12" ht="24.95" customHeight="1">
      <c r="A646" s="206"/>
      <c r="B646" s="159"/>
      <c r="C646" s="159"/>
      <c r="D646" s="159"/>
      <c r="E646" s="159"/>
      <c r="H646" s="159"/>
      <c r="I646" s="159"/>
      <c r="J646" s="159"/>
      <c r="K646" s="159"/>
      <c r="L646" s="159"/>
    </row>
    <row r="647" spans="1:12" ht="24.95" customHeight="1">
      <c r="A647" s="206"/>
      <c r="B647" s="159"/>
      <c r="C647" s="159"/>
      <c r="D647" s="159"/>
      <c r="E647" s="159"/>
      <c r="H647" s="159"/>
      <c r="I647" s="159"/>
      <c r="J647" s="159"/>
      <c r="K647" s="159"/>
      <c r="L647" s="159"/>
    </row>
    <row r="648" spans="1:12" ht="24.95" customHeight="1">
      <c r="A648" s="206"/>
      <c r="B648" s="159"/>
      <c r="C648" s="159"/>
      <c r="D648" s="159"/>
      <c r="E648" s="159"/>
      <c r="H648" s="159"/>
      <c r="I648" s="159"/>
      <c r="J648" s="159"/>
      <c r="K648" s="159"/>
      <c r="L648" s="159"/>
    </row>
    <row r="649" spans="1:12" ht="24.95" customHeight="1">
      <c r="A649" s="206"/>
      <c r="B649" s="159"/>
      <c r="C649" s="159"/>
      <c r="D649" s="159"/>
      <c r="E649" s="159"/>
      <c r="H649" s="159"/>
      <c r="I649" s="159"/>
      <c r="J649" s="159"/>
      <c r="K649" s="159"/>
      <c r="L649" s="159"/>
    </row>
    <row r="650" spans="1:12" ht="24.95" customHeight="1">
      <c r="A650" s="206"/>
      <c r="B650" s="159"/>
      <c r="C650" s="159"/>
      <c r="D650" s="159"/>
      <c r="E650" s="159"/>
      <c r="H650" s="159"/>
      <c r="I650" s="159"/>
      <c r="J650" s="159"/>
      <c r="K650" s="159"/>
      <c r="L650" s="159"/>
    </row>
    <row r="651" spans="1:12" ht="24.95" customHeight="1">
      <c r="A651" s="206"/>
      <c r="B651" s="159"/>
      <c r="C651" s="159"/>
      <c r="D651" s="159"/>
      <c r="E651" s="159"/>
      <c r="H651" s="159"/>
      <c r="I651" s="159"/>
      <c r="J651" s="159"/>
      <c r="K651" s="159"/>
      <c r="L651" s="159"/>
    </row>
    <row r="652" spans="1:12" ht="24.95" customHeight="1">
      <c r="A652" s="206"/>
      <c r="B652" s="159"/>
      <c r="C652" s="159"/>
      <c r="D652" s="159"/>
      <c r="E652" s="159"/>
      <c r="H652" s="159"/>
      <c r="I652" s="159"/>
      <c r="J652" s="159"/>
      <c r="K652" s="159"/>
      <c r="L652" s="159"/>
    </row>
    <row r="653" spans="1:12" ht="24.95" customHeight="1">
      <c r="A653" s="206"/>
      <c r="B653" s="159"/>
      <c r="C653" s="159"/>
      <c r="D653" s="159"/>
      <c r="E653" s="159"/>
      <c r="H653" s="159"/>
      <c r="I653" s="159"/>
      <c r="J653" s="159"/>
      <c r="K653" s="159"/>
      <c r="L653" s="159"/>
    </row>
    <row r="654" spans="1:12" ht="24.95" customHeight="1">
      <c r="A654" s="206"/>
      <c r="B654" s="159"/>
      <c r="C654" s="159"/>
      <c r="D654" s="159"/>
      <c r="E654" s="159"/>
      <c r="H654" s="159"/>
      <c r="I654" s="159"/>
      <c r="J654" s="159"/>
      <c r="K654" s="159"/>
      <c r="L654" s="159"/>
    </row>
    <row r="655" spans="1:12" ht="24.95" customHeight="1">
      <c r="A655" s="206"/>
      <c r="B655" s="159"/>
      <c r="C655" s="159"/>
      <c r="D655" s="159"/>
      <c r="E655" s="159"/>
      <c r="H655" s="159"/>
      <c r="I655" s="159"/>
      <c r="J655" s="159"/>
      <c r="K655" s="159"/>
      <c r="L655" s="159"/>
    </row>
    <row r="656" spans="1:12" ht="24.95" customHeight="1">
      <c r="A656" s="206"/>
      <c r="B656" s="159"/>
      <c r="C656" s="159"/>
      <c r="D656" s="159"/>
      <c r="E656" s="159"/>
      <c r="H656" s="159"/>
      <c r="I656" s="159"/>
      <c r="J656" s="159"/>
      <c r="K656" s="159"/>
      <c r="L656" s="159"/>
    </row>
    <row r="657" spans="1:12" ht="24.95" customHeight="1">
      <c r="A657" s="206"/>
      <c r="B657" s="159"/>
      <c r="C657" s="159"/>
      <c r="D657" s="159"/>
      <c r="E657" s="159"/>
      <c r="H657" s="159"/>
      <c r="I657" s="159"/>
      <c r="J657" s="159"/>
      <c r="K657" s="159"/>
      <c r="L657" s="159"/>
    </row>
    <row r="658" spans="1:12" ht="24.95" customHeight="1">
      <c r="A658" s="206"/>
      <c r="B658" s="159"/>
      <c r="C658" s="159"/>
      <c r="D658" s="159"/>
      <c r="E658" s="159"/>
      <c r="H658" s="159"/>
      <c r="I658" s="159"/>
      <c r="J658" s="159"/>
      <c r="K658" s="159"/>
      <c r="L658" s="159"/>
    </row>
    <row r="659" spans="1:12" ht="24.95" customHeight="1">
      <c r="A659" s="206"/>
      <c r="B659" s="159"/>
      <c r="C659" s="159"/>
      <c r="D659" s="159"/>
      <c r="E659" s="159"/>
      <c r="H659" s="159"/>
      <c r="I659" s="159"/>
      <c r="J659" s="159"/>
      <c r="K659" s="159"/>
      <c r="L659" s="159"/>
    </row>
    <row r="660" spans="1:12" ht="24.95" customHeight="1">
      <c r="A660" s="206"/>
      <c r="B660" s="159"/>
      <c r="C660" s="159"/>
      <c r="D660" s="159"/>
      <c r="E660" s="159"/>
      <c r="H660" s="159"/>
      <c r="I660" s="159"/>
      <c r="J660" s="159"/>
      <c r="K660" s="159"/>
      <c r="L660" s="159"/>
    </row>
    <row r="661" spans="1:12" ht="24.95" customHeight="1">
      <c r="A661" s="206"/>
      <c r="B661" s="159"/>
      <c r="C661" s="159"/>
      <c r="D661" s="159"/>
      <c r="E661" s="159"/>
      <c r="H661" s="159"/>
      <c r="I661" s="159"/>
      <c r="J661" s="159"/>
      <c r="K661" s="159"/>
      <c r="L661" s="159"/>
    </row>
    <row r="662" spans="1:12" ht="24.95" customHeight="1">
      <c r="A662" s="206"/>
      <c r="B662" s="159"/>
      <c r="C662" s="159"/>
      <c r="D662" s="159"/>
      <c r="E662" s="159"/>
      <c r="H662" s="159"/>
      <c r="I662" s="159"/>
      <c r="J662" s="159"/>
      <c r="K662" s="159"/>
      <c r="L662" s="159"/>
    </row>
    <row r="663" spans="1:12" ht="24.95" customHeight="1">
      <c r="A663" s="206"/>
      <c r="B663" s="159"/>
      <c r="C663" s="159"/>
      <c r="D663" s="159"/>
      <c r="E663" s="159"/>
      <c r="H663" s="159"/>
      <c r="I663" s="159"/>
      <c r="J663" s="159"/>
      <c r="K663" s="159"/>
      <c r="L663" s="159"/>
    </row>
    <row r="664" spans="1:12" ht="24.95" customHeight="1">
      <c r="A664" s="206"/>
      <c r="B664" s="159"/>
      <c r="C664" s="159"/>
      <c r="D664" s="159"/>
      <c r="E664" s="159"/>
      <c r="H664" s="159"/>
      <c r="I664" s="159"/>
      <c r="J664" s="159"/>
      <c r="K664" s="159"/>
      <c r="L664" s="159"/>
    </row>
    <row r="665" spans="1:12" ht="24.95" customHeight="1">
      <c r="A665" s="206"/>
      <c r="B665" s="159"/>
      <c r="C665" s="159"/>
      <c r="D665" s="159"/>
      <c r="E665" s="159"/>
      <c r="H665" s="159"/>
      <c r="I665" s="159"/>
      <c r="J665" s="159"/>
      <c r="K665" s="159"/>
      <c r="L665" s="159"/>
    </row>
    <row r="666" spans="1:12" ht="24.95" customHeight="1">
      <c r="A666" s="206"/>
      <c r="B666" s="159"/>
      <c r="C666" s="159"/>
      <c r="D666" s="159"/>
      <c r="E666" s="159"/>
      <c r="H666" s="159"/>
      <c r="I666" s="159"/>
      <c r="J666" s="159"/>
      <c r="K666" s="159"/>
      <c r="L666" s="159"/>
    </row>
    <row r="667" spans="1:12" ht="24.95" customHeight="1">
      <c r="A667" s="206"/>
      <c r="B667" s="159"/>
      <c r="C667" s="159"/>
      <c r="D667" s="159"/>
      <c r="E667" s="159"/>
      <c r="H667" s="159"/>
      <c r="I667" s="159"/>
      <c r="J667" s="159"/>
      <c r="K667" s="159"/>
      <c r="L667" s="159"/>
    </row>
    <row r="668" spans="1:12" ht="24.95" customHeight="1">
      <c r="A668" s="206"/>
      <c r="B668" s="159"/>
      <c r="C668" s="159"/>
      <c r="D668" s="159"/>
      <c r="E668" s="159"/>
      <c r="H668" s="159"/>
      <c r="I668" s="159"/>
      <c r="J668" s="159"/>
      <c r="K668" s="159"/>
      <c r="L668" s="159"/>
    </row>
    <row r="669" spans="1:12" ht="24.95" customHeight="1">
      <c r="A669" s="206"/>
      <c r="B669" s="159"/>
      <c r="C669" s="159"/>
      <c r="D669" s="159"/>
      <c r="E669" s="159"/>
      <c r="H669" s="159"/>
      <c r="I669" s="159"/>
      <c r="J669" s="159"/>
      <c r="K669" s="159"/>
      <c r="L669" s="159"/>
    </row>
    <row r="670" spans="1:12" ht="24.95" customHeight="1">
      <c r="A670" s="206"/>
      <c r="B670" s="159"/>
      <c r="C670" s="159"/>
      <c r="D670" s="159"/>
      <c r="E670" s="159"/>
      <c r="H670" s="159"/>
      <c r="I670" s="159"/>
      <c r="J670" s="159"/>
      <c r="K670" s="159"/>
      <c r="L670" s="159"/>
    </row>
    <row r="671" spans="1:12" ht="24.95" customHeight="1">
      <c r="A671" s="206"/>
      <c r="B671" s="159"/>
      <c r="C671" s="159"/>
      <c r="D671" s="159"/>
      <c r="E671" s="159"/>
      <c r="H671" s="159"/>
      <c r="I671" s="159"/>
      <c r="J671" s="159"/>
      <c r="K671" s="159"/>
      <c r="L671" s="159"/>
    </row>
    <row r="672" spans="1:12" ht="24.95" customHeight="1">
      <c r="A672" s="206"/>
      <c r="B672" s="159"/>
      <c r="C672" s="159"/>
      <c r="D672" s="159"/>
      <c r="E672" s="159"/>
      <c r="H672" s="159"/>
      <c r="I672" s="159"/>
      <c r="J672" s="159"/>
      <c r="K672" s="159"/>
      <c r="L672" s="159"/>
    </row>
    <row r="673" spans="1:12" ht="24.95" customHeight="1">
      <c r="A673" s="206"/>
      <c r="B673" s="159"/>
      <c r="C673" s="159"/>
      <c r="D673" s="159"/>
      <c r="E673" s="159"/>
      <c r="H673" s="159"/>
      <c r="I673" s="159"/>
      <c r="J673" s="159"/>
      <c r="K673" s="159"/>
      <c r="L673" s="159"/>
    </row>
    <row r="674" spans="1:12" ht="24.95" customHeight="1">
      <c r="A674" s="206"/>
      <c r="B674" s="159"/>
      <c r="C674" s="159"/>
      <c r="D674" s="159"/>
      <c r="E674" s="159"/>
      <c r="H674" s="159"/>
      <c r="I674" s="159"/>
      <c r="J674" s="159"/>
      <c r="K674" s="159"/>
      <c r="L674" s="159"/>
    </row>
    <row r="675" spans="1:12" ht="24.95" customHeight="1">
      <c r="A675" s="206"/>
      <c r="B675" s="159"/>
      <c r="C675" s="159"/>
      <c r="D675" s="159"/>
      <c r="E675" s="159"/>
      <c r="H675" s="159"/>
      <c r="I675" s="159"/>
      <c r="J675" s="159"/>
      <c r="K675" s="159"/>
      <c r="L675" s="159"/>
    </row>
    <row r="676" spans="1:12" ht="24.95" customHeight="1">
      <c r="A676" s="206"/>
      <c r="B676" s="159"/>
      <c r="C676" s="159"/>
      <c r="D676" s="159"/>
      <c r="E676" s="159"/>
      <c r="H676" s="159"/>
      <c r="I676" s="159"/>
      <c r="J676" s="159"/>
      <c r="K676" s="159"/>
      <c r="L676" s="159"/>
    </row>
    <row r="677" spans="1:12" ht="24.95" customHeight="1">
      <c r="A677" s="206"/>
      <c r="B677" s="159"/>
      <c r="C677" s="159"/>
      <c r="D677" s="159"/>
      <c r="E677" s="159"/>
      <c r="H677" s="159"/>
      <c r="I677" s="159"/>
      <c r="J677" s="159"/>
      <c r="K677" s="159"/>
      <c r="L677" s="159"/>
    </row>
    <row r="678" spans="1:12" ht="24.95" customHeight="1">
      <c r="A678" s="206"/>
      <c r="B678" s="159"/>
      <c r="C678" s="159"/>
      <c r="D678" s="159"/>
      <c r="E678" s="159"/>
      <c r="H678" s="159"/>
      <c r="I678" s="159"/>
      <c r="J678" s="159"/>
      <c r="K678" s="159"/>
      <c r="L678" s="159"/>
    </row>
    <row r="679" spans="1:12" ht="24.95" customHeight="1">
      <c r="A679" s="206"/>
      <c r="B679" s="159"/>
      <c r="C679" s="159"/>
      <c r="D679" s="159"/>
      <c r="E679" s="159"/>
      <c r="H679" s="159"/>
      <c r="I679" s="159"/>
      <c r="J679" s="159"/>
      <c r="K679" s="159"/>
      <c r="L679" s="159"/>
    </row>
    <row r="680" spans="1:12" ht="24.95" customHeight="1">
      <c r="A680" s="206"/>
      <c r="B680" s="159"/>
      <c r="C680" s="159"/>
      <c r="D680" s="159"/>
      <c r="E680" s="159"/>
      <c r="H680" s="159"/>
      <c r="I680" s="159"/>
      <c r="J680" s="159"/>
      <c r="K680" s="159"/>
      <c r="L680" s="159"/>
    </row>
    <row r="681" spans="1:12" ht="24.95" customHeight="1">
      <c r="A681" s="206"/>
      <c r="B681" s="159"/>
      <c r="C681" s="159"/>
      <c r="D681" s="159"/>
      <c r="E681" s="159"/>
      <c r="H681" s="159"/>
      <c r="I681" s="159"/>
      <c r="J681" s="159"/>
      <c r="K681" s="159"/>
      <c r="L681" s="159"/>
    </row>
    <row r="682" spans="1:12" ht="24.95" customHeight="1">
      <c r="A682" s="206"/>
      <c r="B682" s="159"/>
      <c r="C682" s="159"/>
      <c r="D682" s="159"/>
      <c r="E682" s="159"/>
      <c r="H682" s="159"/>
      <c r="I682" s="159"/>
      <c r="J682" s="159"/>
      <c r="K682" s="159"/>
      <c r="L682" s="159"/>
    </row>
    <row r="683" spans="1:12" ht="24.95" customHeight="1">
      <c r="A683" s="206"/>
      <c r="B683" s="159"/>
      <c r="C683" s="159"/>
      <c r="D683" s="159"/>
      <c r="E683" s="159"/>
      <c r="H683" s="159"/>
      <c r="I683" s="159"/>
      <c r="J683" s="159"/>
      <c r="K683" s="159"/>
      <c r="L683" s="159"/>
    </row>
    <row r="684" spans="1:12" ht="24.95" customHeight="1">
      <c r="A684" s="206"/>
      <c r="B684" s="159"/>
      <c r="C684" s="159"/>
      <c r="D684" s="159"/>
      <c r="E684" s="159"/>
      <c r="H684" s="159"/>
      <c r="I684" s="159"/>
      <c r="J684" s="159"/>
      <c r="K684" s="159"/>
      <c r="L684" s="159"/>
    </row>
    <row r="685" spans="1:12" ht="24.95" customHeight="1">
      <c r="A685" s="206"/>
      <c r="B685" s="159"/>
      <c r="C685" s="159"/>
      <c r="D685" s="159"/>
      <c r="E685" s="159"/>
      <c r="H685" s="159"/>
      <c r="I685" s="159"/>
      <c r="J685" s="159"/>
      <c r="K685" s="159"/>
      <c r="L685" s="159"/>
    </row>
    <row r="686" spans="1:12" ht="24.95" customHeight="1">
      <c r="A686" s="206"/>
      <c r="B686" s="159"/>
      <c r="C686" s="159"/>
      <c r="D686" s="159"/>
      <c r="E686" s="159"/>
      <c r="H686" s="159"/>
      <c r="I686" s="159"/>
      <c r="J686" s="159"/>
      <c r="K686" s="159"/>
      <c r="L686" s="159"/>
    </row>
    <row r="687" spans="1:12" ht="24.95" customHeight="1">
      <c r="A687" s="206"/>
      <c r="B687" s="159"/>
      <c r="C687" s="159"/>
      <c r="D687" s="159"/>
      <c r="E687" s="159"/>
      <c r="H687" s="159"/>
      <c r="I687" s="159"/>
      <c r="J687" s="159"/>
      <c r="K687" s="159"/>
      <c r="L687" s="159"/>
    </row>
    <row r="688" spans="1:12" ht="24.95" customHeight="1">
      <c r="A688" s="206"/>
      <c r="B688" s="159"/>
      <c r="C688" s="159"/>
      <c r="D688" s="159"/>
      <c r="E688" s="159"/>
      <c r="H688" s="159"/>
      <c r="I688" s="159"/>
      <c r="J688" s="159"/>
      <c r="K688" s="159"/>
      <c r="L688" s="159"/>
    </row>
    <row r="689" spans="1:12" ht="24.95" customHeight="1">
      <c r="A689" s="206"/>
      <c r="B689" s="159"/>
      <c r="C689" s="159"/>
      <c r="D689" s="159"/>
      <c r="E689" s="159"/>
      <c r="H689" s="159"/>
      <c r="I689" s="159"/>
      <c r="J689" s="159"/>
      <c r="K689" s="159"/>
      <c r="L689" s="159"/>
    </row>
    <row r="690" spans="1:12" ht="24.95" customHeight="1">
      <c r="A690" s="206"/>
      <c r="B690" s="159"/>
      <c r="C690" s="159"/>
      <c r="D690" s="159"/>
      <c r="E690" s="159"/>
      <c r="H690" s="159"/>
      <c r="I690" s="159"/>
      <c r="J690" s="159"/>
      <c r="K690" s="159"/>
      <c r="L690" s="159"/>
    </row>
    <row r="691" spans="1:12" ht="24.95" customHeight="1">
      <c r="A691" s="206"/>
      <c r="B691" s="159"/>
      <c r="C691" s="159"/>
      <c r="D691" s="159"/>
      <c r="E691" s="159"/>
      <c r="H691" s="159"/>
      <c r="I691" s="159"/>
      <c r="J691" s="159"/>
      <c r="K691" s="159"/>
      <c r="L691" s="159"/>
    </row>
    <row r="692" spans="1:12" ht="24.95" customHeight="1">
      <c r="A692" s="206"/>
      <c r="B692" s="159"/>
      <c r="C692" s="159"/>
      <c r="D692" s="159"/>
      <c r="E692" s="159"/>
      <c r="H692" s="159"/>
      <c r="I692" s="159"/>
      <c r="J692" s="159"/>
      <c r="K692" s="159"/>
      <c r="L692" s="159"/>
    </row>
    <row r="693" spans="1:12" ht="24.95" customHeight="1">
      <c r="A693" s="206"/>
      <c r="B693" s="159"/>
      <c r="C693" s="159"/>
      <c r="D693" s="159"/>
      <c r="E693" s="159"/>
      <c r="H693" s="159"/>
      <c r="I693" s="159"/>
      <c r="J693" s="159"/>
      <c r="K693" s="159"/>
      <c r="L693" s="159"/>
    </row>
    <row r="694" spans="1:12" ht="24.95" customHeight="1">
      <c r="A694" s="206"/>
      <c r="B694" s="159"/>
      <c r="C694" s="159"/>
      <c r="D694" s="159"/>
      <c r="E694" s="159"/>
      <c r="H694" s="159"/>
      <c r="I694" s="159"/>
      <c r="J694" s="159"/>
      <c r="K694" s="159"/>
      <c r="L694" s="159"/>
    </row>
    <row r="695" spans="1:12" ht="24.95" customHeight="1">
      <c r="A695" s="206"/>
      <c r="B695" s="159"/>
      <c r="C695" s="159"/>
      <c r="D695" s="159"/>
      <c r="E695" s="159"/>
      <c r="H695" s="159"/>
      <c r="I695" s="159"/>
      <c r="J695" s="159"/>
      <c r="K695" s="159"/>
      <c r="L695" s="159"/>
    </row>
    <row r="696" spans="1:12" ht="24.95" customHeight="1">
      <c r="A696" s="206"/>
      <c r="B696" s="159"/>
      <c r="C696" s="159"/>
      <c r="D696" s="159"/>
      <c r="E696" s="159"/>
      <c r="H696" s="159"/>
      <c r="I696" s="159"/>
      <c r="J696" s="159"/>
      <c r="K696" s="159"/>
      <c r="L696" s="159"/>
    </row>
    <row r="697" spans="1:12" ht="24.95" customHeight="1">
      <c r="A697" s="206"/>
      <c r="B697" s="159"/>
      <c r="C697" s="159"/>
      <c r="D697" s="159"/>
      <c r="E697" s="159"/>
      <c r="H697" s="159"/>
      <c r="I697" s="159"/>
      <c r="J697" s="159"/>
      <c r="K697" s="159"/>
      <c r="L697" s="159"/>
    </row>
    <row r="698" spans="1:12" ht="24.95" customHeight="1">
      <c r="A698" s="206"/>
      <c r="B698" s="159"/>
      <c r="C698" s="159"/>
      <c r="D698" s="159"/>
      <c r="E698" s="159"/>
      <c r="H698" s="159"/>
      <c r="I698" s="159"/>
      <c r="J698" s="159"/>
      <c r="K698" s="159"/>
      <c r="L698" s="159"/>
    </row>
    <row r="699" spans="1:12" ht="24.95" customHeight="1">
      <c r="A699" s="206"/>
      <c r="B699" s="159"/>
      <c r="C699" s="159"/>
      <c r="D699" s="159"/>
      <c r="E699" s="159"/>
      <c r="H699" s="159"/>
      <c r="I699" s="159"/>
      <c r="J699" s="159"/>
      <c r="K699" s="159"/>
      <c r="L699" s="159"/>
    </row>
    <row r="700" spans="1:12" ht="24.95" customHeight="1">
      <c r="A700" s="206"/>
      <c r="B700" s="159"/>
      <c r="C700" s="159"/>
      <c r="D700" s="159"/>
      <c r="E700" s="159"/>
      <c r="H700" s="159"/>
      <c r="I700" s="159"/>
      <c r="J700" s="159"/>
      <c r="K700" s="159"/>
      <c r="L700" s="159"/>
    </row>
    <row r="701" spans="1:12" ht="24.95" customHeight="1">
      <c r="A701" s="206"/>
      <c r="B701" s="159"/>
      <c r="C701" s="159"/>
      <c r="D701" s="159"/>
      <c r="E701" s="159"/>
      <c r="H701" s="159"/>
      <c r="I701" s="159"/>
      <c r="J701" s="159"/>
      <c r="K701" s="159"/>
      <c r="L701" s="159"/>
    </row>
    <row r="702" spans="1:12" ht="24.95" customHeight="1">
      <c r="A702" s="206"/>
      <c r="B702" s="159"/>
      <c r="C702" s="159"/>
      <c r="D702" s="159"/>
      <c r="E702" s="159"/>
      <c r="H702" s="159"/>
      <c r="I702" s="159"/>
      <c r="J702" s="159"/>
      <c r="K702" s="159"/>
      <c r="L702" s="159"/>
    </row>
    <row r="703" spans="1:12" ht="24.95" customHeight="1">
      <c r="A703" s="206"/>
      <c r="B703" s="159"/>
      <c r="C703" s="159"/>
      <c r="D703" s="159"/>
      <c r="E703" s="159"/>
      <c r="H703" s="159"/>
      <c r="I703" s="159"/>
      <c r="J703" s="159"/>
      <c r="K703" s="159"/>
      <c r="L703" s="159"/>
    </row>
    <row r="704" spans="1:12" ht="24.95" customHeight="1">
      <c r="A704" s="206"/>
      <c r="B704" s="159"/>
      <c r="C704" s="159"/>
      <c r="D704" s="159"/>
      <c r="E704" s="159"/>
      <c r="H704" s="159"/>
      <c r="I704" s="159"/>
      <c r="J704" s="159"/>
      <c r="K704" s="159"/>
      <c r="L704" s="159"/>
    </row>
    <row r="705" spans="1:12" ht="24.95" customHeight="1">
      <c r="A705" s="206"/>
      <c r="B705" s="159"/>
      <c r="C705" s="159"/>
      <c r="D705" s="159"/>
      <c r="E705" s="159"/>
      <c r="H705" s="159"/>
      <c r="I705" s="159"/>
      <c r="J705" s="159"/>
      <c r="K705" s="159"/>
      <c r="L705" s="159"/>
    </row>
    <row r="706" spans="1:12" ht="24.95" customHeight="1">
      <c r="A706" s="206"/>
      <c r="B706" s="159"/>
      <c r="C706" s="159"/>
      <c r="D706" s="159"/>
      <c r="E706" s="159"/>
      <c r="H706" s="159"/>
      <c r="I706" s="159"/>
      <c r="J706" s="159"/>
      <c r="K706" s="159"/>
      <c r="L706" s="159"/>
    </row>
    <row r="707" spans="1:12" ht="24.95" customHeight="1">
      <c r="A707" s="206"/>
      <c r="B707" s="159"/>
      <c r="C707" s="159"/>
      <c r="D707" s="159"/>
      <c r="E707" s="159"/>
      <c r="H707" s="159"/>
      <c r="I707" s="159"/>
      <c r="J707" s="159"/>
      <c r="K707" s="159"/>
      <c r="L707" s="159"/>
    </row>
    <row r="708" spans="1:12" ht="24.95" customHeight="1">
      <c r="A708" s="206"/>
      <c r="B708" s="159"/>
      <c r="C708" s="159"/>
      <c r="D708" s="159"/>
      <c r="E708" s="159"/>
      <c r="H708" s="159"/>
      <c r="I708" s="159"/>
      <c r="J708" s="159"/>
      <c r="K708" s="159"/>
      <c r="L708" s="159"/>
    </row>
    <row r="709" spans="1:12" ht="24.95" customHeight="1">
      <c r="A709" s="206"/>
      <c r="B709" s="159"/>
      <c r="C709" s="159"/>
      <c r="D709" s="159"/>
      <c r="E709" s="159"/>
      <c r="H709" s="159"/>
      <c r="I709" s="159"/>
      <c r="J709" s="159"/>
      <c r="K709" s="159"/>
      <c r="L709" s="159"/>
    </row>
    <row r="710" spans="1:12" ht="24.95" customHeight="1">
      <c r="A710" s="206"/>
      <c r="B710" s="159"/>
      <c r="C710" s="159"/>
      <c r="D710" s="159"/>
      <c r="E710" s="159"/>
      <c r="H710" s="159"/>
      <c r="I710" s="159"/>
      <c r="J710" s="159"/>
      <c r="K710" s="159"/>
      <c r="L710" s="159"/>
    </row>
    <row r="711" spans="1:12" ht="24.95" customHeight="1">
      <c r="A711" s="206"/>
      <c r="B711" s="159"/>
      <c r="C711" s="159"/>
      <c r="D711" s="159"/>
      <c r="E711" s="159"/>
      <c r="H711" s="159"/>
      <c r="I711" s="159"/>
      <c r="J711" s="159"/>
      <c r="K711" s="159"/>
      <c r="L711" s="159"/>
    </row>
    <row r="712" spans="1:12" ht="24.95" customHeight="1">
      <c r="A712" s="206"/>
      <c r="B712" s="159"/>
      <c r="C712" s="159"/>
      <c r="D712" s="159"/>
      <c r="E712" s="159"/>
      <c r="H712" s="159"/>
      <c r="I712" s="159"/>
      <c r="J712" s="159"/>
      <c r="K712" s="159"/>
      <c r="L712" s="159"/>
    </row>
    <row r="713" spans="1:12" ht="24.95" customHeight="1">
      <c r="A713" s="206"/>
      <c r="B713" s="159"/>
      <c r="C713" s="159"/>
      <c r="D713" s="159"/>
      <c r="E713" s="159"/>
      <c r="H713" s="159"/>
      <c r="I713" s="159"/>
      <c r="J713" s="159"/>
      <c r="K713" s="159"/>
      <c r="L713" s="159"/>
    </row>
    <row r="714" spans="1:12" ht="24.95" customHeight="1">
      <c r="A714" s="206"/>
      <c r="B714" s="159"/>
      <c r="C714" s="159"/>
      <c r="D714" s="159"/>
      <c r="E714" s="159"/>
      <c r="H714" s="159"/>
      <c r="I714" s="159"/>
      <c r="J714" s="159"/>
      <c r="K714" s="159"/>
      <c r="L714" s="159"/>
    </row>
    <row r="715" spans="1:12" ht="24.95" customHeight="1">
      <c r="A715" s="206"/>
      <c r="B715" s="159"/>
      <c r="C715" s="159"/>
      <c r="D715" s="159"/>
      <c r="E715" s="159"/>
      <c r="H715" s="159"/>
      <c r="I715" s="159"/>
      <c r="J715" s="159"/>
      <c r="K715" s="159"/>
      <c r="L715" s="159"/>
    </row>
    <row r="716" spans="1:12" ht="24.95" customHeight="1">
      <c r="A716" s="206"/>
      <c r="B716" s="159"/>
      <c r="C716" s="159"/>
      <c r="D716" s="159"/>
      <c r="E716" s="159"/>
      <c r="H716" s="159"/>
      <c r="I716" s="159"/>
      <c r="J716" s="159"/>
      <c r="K716" s="159"/>
      <c r="L716" s="159"/>
    </row>
    <row r="717" spans="1:12" ht="24.95" customHeight="1">
      <c r="A717" s="206"/>
      <c r="B717" s="159"/>
      <c r="C717" s="159"/>
      <c r="D717" s="159"/>
      <c r="E717" s="159"/>
      <c r="H717" s="159"/>
      <c r="I717" s="159"/>
      <c r="J717" s="159"/>
      <c r="K717" s="159"/>
      <c r="L717" s="159"/>
    </row>
    <row r="718" spans="1:12" ht="24.95" customHeight="1">
      <c r="A718" s="206"/>
      <c r="B718" s="159"/>
      <c r="C718" s="159"/>
      <c r="D718" s="159"/>
      <c r="E718" s="159"/>
      <c r="H718" s="159"/>
      <c r="I718" s="159"/>
      <c r="J718" s="159"/>
      <c r="K718" s="159"/>
      <c r="L718" s="159"/>
    </row>
    <row r="719" spans="1:12" ht="24.95" customHeight="1">
      <c r="A719" s="206"/>
      <c r="B719" s="159"/>
      <c r="C719" s="159"/>
      <c r="D719" s="159"/>
      <c r="E719" s="159"/>
      <c r="H719" s="159"/>
      <c r="I719" s="159"/>
      <c r="J719" s="159"/>
      <c r="K719" s="159"/>
      <c r="L719" s="159"/>
    </row>
    <row r="720" spans="1:12" ht="24.95" customHeight="1">
      <c r="A720" s="206"/>
      <c r="B720" s="159"/>
      <c r="C720" s="159"/>
      <c r="D720" s="159"/>
      <c r="E720" s="159"/>
      <c r="H720" s="159"/>
      <c r="I720" s="159"/>
      <c r="J720" s="159"/>
      <c r="K720" s="159"/>
      <c r="L720" s="159"/>
    </row>
    <row r="721" spans="1:12" ht="24.95" customHeight="1">
      <c r="A721" s="206"/>
      <c r="B721" s="159"/>
      <c r="C721" s="159"/>
      <c r="D721" s="159"/>
      <c r="E721" s="159"/>
      <c r="H721" s="159"/>
      <c r="I721" s="159"/>
      <c r="J721" s="159"/>
      <c r="K721" s="159"/>
      <c r="L721" s="159"/>
    </row>
    <row r="722" spans="1:12" ht="24.95" customHeight="1">
      <c r="A722" s="206"/>
      <c r="B722" s="159"/>
      <c r="C722" s="159"/>
      <c r="D722" s="159"/>
      <c r="E722" s="159"/>
      <c r="H722" s="159"/>
      <c r="I722" s="159"/>
      <c r="J722" s="159"/>
      <c r="K722" s="159"/>
      <c r="L722" s="159"/>
    </row>
    <row r="723" spans="1:12" ht="24.95" customHeight="1">
      <c r="A723" s="206"/>
      <c r="B723" s="159"/>
      <c r="C723" s="159"/>
      <c r="D723" s="159"/>
      <c r="E723" s="159"/>
      <c r="H723" s="159"/>
      <c r="I723" s="159"/>
      <c r="J723" s="159"/>
      <c r="K723" s="159"/>
      <c r="L723" s="159"/>
    </row>
    <row r="724" spans="1:12" ht="24.95" customHeight="1">
      <c r="A724" s="206"/>
      <c r="B724" s="159"/>
      <c r="C724" s="159"/>
      <c r="D724" s="159"/>
      <c r="E724" s="159"/>
      <c r="H724" s="159"/>
      <c r="I724" s="159"/>
      <c r="J724" s="159"/>
      <c r="K724" s="159"/>
      <c r="L724" s="159"/>
    </row>
    <row r="725" spans="1:12" ht="24.95" customHeight="1">
      <c r="A725" s="206"/>
      <c r="B725" s="159"/>
      <c r="C725" s="159"/>
      <c r="D725" s="159"/>
      <c r="E725" s="159"/>
      <c r="H725" s="159"/>
      <c r="I725" s="159"/>
      <c r="J725" s="159"/>
      <c r="K725" s="159"/>
      <c r="L725" s="159"/>
    </row>
    <row r="726" spans="1:12" ht="24.95" customHeight="1">
      <c r="A726" s="206"/>
      <c r="B726" s="159"/>
      <c r="C726" s="159"/>
      <c r="D726" s="159"/>
      <c r="E726" s="159"/>
      <c r="H726" s="159"/>
      <c r="I726" s="159"/>
      <c r="J726" s="159"/>
      <c r="K726" s="159"/>
      <c r="L726" s="159"/>
    </row>
    <row r="727" spans="1:12" ht="24.95" customHeight="1">
      <c r="A727" s="206"/>
      <c r="B727" s="159"/>
      <c r="C727" s="159"/>
      <c r="D727" s="159"/>
      <c r="E727" s="159"/>
      <c r="H727" s="159"/>
      <c r="I727" s="159"/>
      <c r="J727" s="159"/>
      <c r="K727" s="159"/>
      <c r="L727" s="159"/>
    </row>
    <row r="728" spans="1:12" ht="24.95" customHeight="1">
      <c r="A728" s="206"/>
      <c r="B728" s="159"/>
      <c r="C728" s="159"/>
      <c r="D728" s="159"/>
      <c r="E728" s="159"/>
      <c r="H728" s="159"/>
      <c r="I728" s="159"/>
      <c r="J728" s="159"/>
      <c r="K728" s="159"/>
      <c r="L728" s="159"/>
    </row>
    <row r="729" spans="1:12" ht="24.95" customHeight="1">
      <c r="A729" s="206"/>
      <c r="B729" s="159"/>
      <c r="C729" s="159"/>
      <c r="D729" s="159"/>
      <c r="E729" s="159"/>
      <c r="H729" s="159"/>
      <c r="I729" s="159"/>
      <c r="J729" s="159"/>
      <c r="K729" s="159"/>
      <c r="L729" s="159"/>
    </row>
    <row r="730" spans="1:12" ht="24.95" customHeight="1">
      <c r="A730" s="206"/>
      <c r="B730" s="159"/>
      <c r="C730" s="159"/>
      <c r="D730" s="159"/>
      <c r="E730" s="159"/>
      <c r="H730" s="159"/>
      <c r="I730" s="159"/>
      <c r="J730" s="159"/>
      <c r="K730" s="159"/>
      <c r="L730" s="159"/>
    </row>
    <row r="731" spans="1:12" ht="24.95" customHeight="1">
      <c r="A731" s="206"/>
      <c r="B731" s="159"/>
      <c r="C731" s="159"/>
      <c r="D731" s="159"/>
      <c r="E731" s="159"/>
      <c r="H731" s="159"/>
      <c r="I731" s="159"/>
      <c r="J731" s="159"/>
      <c r="K731" s="159"/>
      <c r="L731" s="159"/>
    </row>
    <row r="732" spans="1:12" ht="24.95" customHeight="1">
      <c r="A732" s="206"/>
      <c r="B732" s="159"/>
      <c r="C732" s="159"/>
      <c r="D732" s="159"/>
      <c r="E732" s="159"/>
      <c r="H732" s="159"/>
      <c r="I732" s="159"/>
      <c r="J732" s="159"/>
      <c r="K732" s="159"/>
      <c r="L732" s="159"/>
    </row>
    <row r="733" spans="1:12" ht="24.95" customHeight="1">
      <c r="A733" s="206"/>
      <c r="B733" s="159"/>
      <c r="C733" s="159"/>
      <c r="D733" s="159"/>
      <c r="E733" s="159"/>
      <c r="H733" s="159"/>
      <c r="I733" s="159"/>
      <c r="J733" s="159"/>
      <c r="K733" s="159"/>
      <c r="L733" s="159"/>
    </row>
    <row r="734" spans="1:12" ht="24.95" customHeight="1">
      <c r="A734" s="206"/>
      <c r="B734" s="159"/>
      <c r="C734" s="159"/>
      <c r="D734" s="159"/>
      <c r="E734" s="159"/>
      <c r="H734" s="159"/>
      <c r="I734" s="159"/>
      <c r="J734" s="159"/>
      <c r="K734" s="159"/>
      <c r="L734" s="159"/>
    </row>
    <row r="735" spans="1:12" ht="24.95" customHeight="1">
      <c r="A735" s="206"/>
      <c r="B735" s="159"/>
      <c r="C735" s="159"/>
      <c r="D735" s="159"/>
      <c r="E735" s="159"/>
      <c r="H735" s="159"/>
      <c r="I735" s="159"/>
      <c r="J735" s="159"/>
      <c r="K735" s="159"/>
      <c r="L735" s="159"/>
    </row>
    <row r="736" spans="1:12" ht="24.95" customHeight="1">
      <c r="A736" s="206"/>
      <c r="B736" s="159"/>
      <c r="C736" s="159"/>
      <c r="D736" s="159"/>
      <c r="E736" s="159"/>
      <c r="H736" s="159"/>
      <c r="I736" s="159"/>
      <c r="J736" s="159"/>
      <c r="K736" s="159"/>
      <c r="L736" s="159"/>
    </row>
    <row r="737" spans="1:12" ht="24.95" customHeight="1">
      <c r="A737" s="206"/>
      <c r="B737" s="159"/>
      <c r="C737" s="159"/>
      <c r="D737" s="159"/>
      <c r="E737" s="159"/>
      <c r="H737" s="159"/>
      <c r="I737" s="159"/>
      <c r="J737" s="159"/>
      <c r="K737" s="159"/>
      <c r="L737" s="159"/>
    </row>
    <row r="738" spans="1:12" ht="24.95" customHeight="1">
      <c r="A738" s="206"/>
      <c r="B738" s="159"/>
      <c r="C738" s="159"/>
      <c r="D738" s="159"/>
      <c r="E738" s="159"/>
      <c r="H738" s="159"/>
      <c r="I738" s="159"/>
      <c r="J738" s="159"/>
      <c r="K738" s="159"/>
      <c r="L738" s="159"/>
    </row>
    <row r="739" spans="1:12" ht="24.95" customHeight="1">
      <c r="A739" s="206"/>
      <c r="B739" s="159"/>
      <c r="C739" s="159"/>
      <c r="D739" s="159"/>
      <c r="E739" s="159"/>
      <c r="H739" s="159"/>
      <c r="I739" s="159"/>
      <c r="J739" s="159"/>
      <c r="K739" s="159"/>
      <c r="L739" s="159"/>
    </row>
    <row r="740" spans="1:12" ht="24.95" customHeight="1">
      <c r="A740" s="206"/>
      <c r="B740" s="159"/>
      <c r="C740" s="159"/>
      <c r="D740" s="159"/>
      <c r="E740" s="159"/>
      <c r="H740" s="159"/>
      <c r="I740" s="159"/>
      <c r="J740" s="159"/>
      <c r="K740" s="159"/>
      <c r="L740" s="159"/>
    </row>
    <row r="741" spans="1:12" ht="24.95" customHeight="1">
      <c r="A741" s="206"/>
      <c r="B741" s="159"/>
      <c r="C741" s="159"/>
      <c r="D741" s="159"/>
      <c r="E741" s="159"/>
      <c r="H741" s="159"/>
      <c r="I741" s="159"/>
      <c r="J741" s="159"/>
      <c r="K741" s="159"/>
      <c r="L741" s="159"/>
    </row>
    <row r="742" spans="1:12" ht="24.95" customHeight="1">
      <c r="A742" s="206"/>
      <c r="B742" s="159"/>
      <c r="C742" s="159"/>
      <c r="D742" s="159"/>
      <c r="E742" s="159"/>
      <c r="H742" s="159"/>
      <c r="I742" s="159"/>
      <c r="J742" s="159"/>
      <c r="K742" s="159"/>
      <c r="L742" s="159"/>
    </row>
    <row r="743" spans="1:12" ht="24.95" customHeight="1">
      <c r="A743" s="206"/>
      <c r="B743" s="159"/>
      <c r="C743" s="159"/>
      <c r="D743" s="159"/>
      <c r="E743" s="159"/>
      <c r="H743" s="159"/>
      <c r="I743" s="159"/>
      <c r="J743" s="159"/>
      <c r="K743" s="159"/>
      <c r="L743" s="159"/>
    </row>
    <row r="744" spans="1:12" ht="24.95" customHeight="1">
      <c r="A744" s="206"/>
      <c r="B744" s="159"/>
      <c r="C744" s="159"/>
      <c r="D744" s="159"/>
      <c r="E744" s="159"/>
      <c r="H744" s="159"/>
      <c r="I744" s="159"/>
      <c r="J744" s="159"/>
      <c r="K744" s="159"/>
      <c r="L744" s="159"/>
    </row>
    <row r="745" spans="1:12" ht="24.95" customHeight="1">
      <c r="A745" s="206"/>
      <c r="B745" s="159"/>
      <c r="C745" s="159"/>
      <c r="D745" s="159"/>
      <c r="E745" s="159"/>
      <c r="H745" s="159"/>
      <c r="I745" s="159"/>
      <c r="J745" s="159"/>
      <c r="K745" s="159"/>
      <c r="L745" s="159"/>
    </row>
    <row r="746" spans="1:12" ht="24.95" customHeight="1">
      <c r="A746" s="206"/>
      <c r="B746" s="159"/>
      <c r="C746" s="159"/>
      <c r="D746" s="159"/>
      <c r="E746" s="159"/>
      <c r="H746" s="159"/>
      <c r="I746" s="159"/>
      <c r="J746" s="159"/>
      <c r="K746" s="159"/>
      <c r="L746" s="159"/>
    </row>
    <row r="747" spans="1:12" ht="24.95" customHeight="1">
      <c r="A747" s="206"/>
      <c r="B747" s="159"/>
      <c r="C747" s="159"/>
      <c r="D747" s="159"/>
      <c r="E747" s="159"/>
      <c r="H747" s="159"/>
      <c r="I747" s="159"/>
      <c r="J747" s="159"/>
      <c r="K747" s="159"/>
      <c r="L747" s="159"/>
    </row>
    <row r="748" spans="1:12" ht="24.95" customHeight="1">
      <c r="A748" s="206"/>
      <c r="B748" s="159"/>
      <c r="C748" s="159"/>
      <c r="D748" s="159"/>
      <c r="E748" s="159"/>
      <c r="H748" s="159"/>
      <c r="I748" s="159"/>
      <c r="J748" s="159"/>
      <c r="K748" s="159"/>
      <c r="L748" s="159"/>
    </row>
    <row r="749" spans="1:12" ht="24.95" customHeight="1">
      <c r="A749" s="206"/>
      <c r="B749" s="159"/>
      <c r="C749" s="159"/>
      <c r="D749" s="159"/>
      <c r="E749" s="159"/>
      <c r="H749" s="159"/>
      <c r="I749" s="159"/>
      <c r="J749" s="159"/>
      <c r="K749" s="159"/>
      <c r="L749" s="159"/>
    </row>
    <row r="750" spans="1:12" ht="24.95" customHeight="1">
      <c r="A750" s="206"/>
      <c r="B750" s="159"/>
      <c r="C750" s="159"/>
      <c r="D750" s="159"/>
      <c r="E750" s="159"/>
      <c r="H750" s="159"/>
      <c r="I750" s="159"/>
      <c r="J750" s="159"/>
      <c r="K750" s="159"/>
      <c r="L750" s="159"/>
    </row>
    <row r="751" spans="1:12" ht="24.95" customHeight="1">
      <c r="A751" s="206"/>
      <c r="B751" s="159"/>
      <c r="C751" s="159"/>
      <c r="D751" s="159"/>
      <c r="E751" s="159"/>
      <c r="H751" s="159"/>
      <c r="I751" s="159"/>
      <c r="J751" s="159"/>
      <c r="K751" s="159"/>
      <c r="L751" s="159"/>
    </row>
    <row r="752" spans="1:12" ht="24.95" customHeight="1">
      <c r="A752" s="206"/>
      <c r="B752" s="159"/>
      <c r="C752" s="159"/>
      <c r="D752" s="159"/>
      <c r="E752" s="159"/>
      <c r="H752" s="159"/>
      <c r="I752" s="159"/>
      <c r="J752" s="159"/>
      <c r="K752" s="159"/>
      <c r="L752" s="159"/>
    </row>
    <row r="753" spans="1:12" ht="24.95" customHeight="1">
      <c r="A753" s="206"/>
      <c r="B753" s="159"/>
      <c r="C753" s="159"/>
      <c r="D753" s="159"/>
      <c r="E753" s="159"/>
      <c r="H753" s="159"/>
      <c r="I753" s="159"/>
      <c r="J753" s="159"/>
      <c r="K753" s="159"/>
      <c r="L753" s="159"/>
    </row>
    <row r="754" spans="1:12" ht="24.95" customHeight="1">
      <c r="A754" s="206"/>
      <c r="B754" s="159"/>
      <c r="C754" s="159"/>
      <c r="D754" s="159"/>
      <c r="E754" s="159"/>
      <c r="H754" s="159"/>
      <c r="I754" s="159"/>
      <c r="J754" s="159"/>
      <c r="K754" s="159"/>
      <c r="L754" s="159"/>
    </row>
    <row r="755" spans="1:12" ht="24.95" customHeight="1">
      <c r="A755" s="206"/>
      <c r="B755" s="159"/>
      <c r="C755" s="159"/>
      <c r="D755" s="159"/>
      <c r="E755" s="159"/>
      <c r="H755" s="159"/>
      <c r="I755" s="159"/>
      <c r="J755" s="159"/>
      <c r="K755" s="159"/>
      <c r="L755" s="159"/>
    </row>
    <row r="756" spans="1:12" ht="24.95" customHeight="1">
      <c r="A756" s="206"/>
      <c r="B756" s="159"/>
      <c r="C756" s="159"/>
      <c r="D756" s="159"/>
      <c r="E756" s="159"/>
      <c r="H756" s="159"/>
      <c r="I756" s="159"/>
      <c r="J756" s="159"/>
      <c r="K756" s="159"/>
      <c r="L756" s="159"/>
    </row>
    <row r="757" spans="1:12" ht="24.95" customHeight="1">
      <c r="A757" s="206"/>
      <c r="B757" s="159"/>
      <c r="C757" s="159"/>
      <c r="D757" s="159"/>
      <c r="E757" s="159"/>
      <c r="H757" s="159"/>
      <c r="I757" s="159"/>
      <c r="J757" s="159"/>
      <c r="K757" s="159"/>
      <c r="L757" s="159"/>
    </row>
    <row r="758" spans="1:12" ht="24.95" customHeight="1">
      <c r="A758" s="206"/>
      <c r="B758" s="159"/>
      <c r="C758" s="159"/>
      <c r="D758" s="159"/>
      <c r="E758" s="159"/>
      <c r="H758" s="159"/>
      <c r="I758" s="159"/>
      <c r="J758" s="159"/>
      <c r="K758" s="159"/>
      <c r="L758" s="159"/>
    </row>
    <row r="759" spans="1:12" ht="24.95" customHeight="1">
      <c r="A759" s="206"/>
      <c r="B759" s="159"/>
      <c r="C759" s="159"/>
      <c r="D759" s="159"/>
      <c r="E759" s="159"/>
      <c r="H759" s="159"/>
      <c r="I759" s="159"/>
      <c r="J759" s="159"/>
      <c r="K759" s="159"/>
      <c r="L759" s="159"/>
    </row>
    <row r="760" spans="1:12" ht="24.95" customHeight="1">
      <c r="A760" s="206"/>
      <c r="B760" s="159"/>
      <c r="C760" s="159"/>
      <c r="D760" s="159"/>
      <c r="E760" s="159"/>
      <c r="H760" s="159"/>
      <c r="I760" s="159"/>
      <c r="J760" s="159"/>
      <c r="K760" s="159"/>
      <c r="L760" s="159"/>
    </row>
    <row r="761" spans="1:12" ht="24.95" customHeight="1">
      <c r="A761" s="206"/>
      <c r="B761" s="159"/>
      <c r="C761" s="159"/>
      <c r="D761" s="159"/>
      <c r="E761" s="159"/>
      <c r="H761" s="159"/>
      <c r="I761" s="159"/>
      <c r="J761" s="159"/>
      <c r="K761" s="159"/>
      <c r="L761" s="159"/>
    </row>
    <row r="762" spans="1:12" ht="24.95" customHeight="1">
      <c r="A762" s="206"/>
      <c r="B762" s="159"/>
      <c r="C762" s="159"/>
      <c r="D762" s="159"/>
      <c r="E762" s="159"/>
      <c r="H762" s="159"/>
      <c r="I762" s="159"/>
      <c r="J762" s="159"/>
      <c r="K762" s="159"/>
      <c r="L762" s="159"/>
    </row>
    <row r="763" spans="1:12" ht="24.95" customHeight="1">
      <c r="A763" s="206"/>
      <c r="B763" s="159"/>
      <c r="C763" s="159"/>
      <c r="D763" s="159"/>
      <c r="E763" s="159"/>
      <c r="H763" s="159"/>
      <c r="I763" s="159"/>
      <c r="J763" s="159"/>
      <c r="K763" s="159"/>
      <c r="L763" s="159"/>
    </row>
    <row r="764" spans="1:12" ht="24.95" customHeight="1">
      <c r="A764" s="206"/>
      <c r="B764" s="159"/>
      <c r="C764" s="159"/>
      <c r="D764" s="159"/>
      <c r="E764" s="159"/>
      <c r="H764" s="159"/>
      <c r="I764" s="159"/>
      <c r="J764" s="159"/>
      <c r="K764" s="159"/>
      <c r="L764" s="159"/>
    </row>
    <row r="765" spans="1:12" ht="24.95" customHeight="1">
      <c r="A765" s="206"/>
      <c r="B765" s="159"/>
      <c r="C765" s="159"/>
      <c r="D765" s="159"/>
      <c r="E765" s="159"/>
      <c r="H765" s="159"/>
      <c r="I765" s="159"/>
      <c r="J765" s="159"/>
      <c r="K765" s="159"/>
      <c r="L765" s="159"/>
    </row>
    <row r="766" spans="1:12" ht="24.95" customHeight="1">
      <c r="A766" s="206"/>
      <c r="B766" s="159"/>
      <c r="C766" s="159"/>
      <c r="D766" s="159"/>
      <c r="E766" s="159"/>
      <c r="H766" s="159"/>
      <c r="I766" s="159"/>
      <c r="J766" s="159"/>
      <c r="K766" s="159"/>
      <c r="L766" s="159"/>
    </row>
    <row r="767" spans="1:12" ht="24.95" customHeight="1">
      <c r="A767" s="206"/>
      <c r="B767" s="159"/>
      <c r="C767" s="159"/>
      <c r="D767" s="159"/>
      <c r="E767" s="159"/>
      <c r="H767" s="159"/>
      <c r="I767" s="159"/>
      <c r="J767" s="159"/>
      <c r="K767" s="159"/>
      <c r="L767" s="159"/>
    </row>
    <row r="768" spans="1:12" ht="24.95" customHeight="1">
      <c r="A768" s="206"/>
      <c r="B768" s="159"/>
      <c r="C768" s="159"/>
      <c r="D768" s="159"/>
      <c r="E768" s="159"/>
      <c r="H768" s="159"/>
      <c r="I768" s="159"/>
      <c r="J768" s="159"/>
      <c r="K768" s="159"/>
      <c r="L768" s="159"/>
    </row>
    <row r="769" spans="1:12" ht="24.95" customHeight="1">
      <c r="A769" s="206"/>
      <c r="B769" s="159"/>
      <c r="C769" s="159"/>
      <c r="D769" s="159"/>
      <c r="E769" s="159"/>
      <c r="H769" s="159"/>
      <c r="I769" s="159"/>
      <c r="J769" s="159"/>
      <c r="K769" s="159"/>
      <c r="L769" s="159"/>
    </row>
    <row r="770" spans="1:12" ht="24.95" customHeight="1">
      <c r="A770" s="206"/>
      <c r="B770" s="159"/>
      <c r="C770" s="159"/>
      <c r="D770" s="159"/>
      <c r="E770" s="159"/>
      <c r="H770" s="159"/>
      <c r="I770" s="159"/>
      <c r="J770" s="159"/>
      <c r="K770" s="159"/>
      <c r="L770" s="159"/>
    </row>
    <row r="771" spans="1:12" ht="24.95" customHeight="1">
      <c r="A771" s="206"/>
      <c r="B771" s="159"/>
      <c r="C771" s="159"/>
      <c r="D771" s="159"/>
      <c r="E771" s="159"/>
      <c r="H771" s="159"/>
      <c r="I771" s="159"/>
      <c r="J771" s="159"/>
      <c r="K771" s="159"/>
      <c r="L771" s="159"/>
    </row>
    <row r="772" spans="1:12" ht="24.95" customHeight="1">
      <c r="A772" s="206"/>
      <c r="B772" s="159"/>
      <c r="C772" s="159"/>
      <c r="D772" s="159"/>
      <c r="E772" s="159"/>
      <c r="H772" s="159"/>
      <c r="I772" s="159"/>
      <c r="J772" s="159"/>
      <c r="K772" s="159"/>
      <c r="L772" s="159"/>
    </row>
    <row r="773" spans="1:12" ht="24.95" customHeight="1">
      <c r="A773" s="206"/>
      <c r="B773" s="159"/>
      <c r="C773" s="159"/>
      <c r="D773" s="159"/>
      <c r="E773" s="159"/>
      <c r="H773" s="159"/>
      <c r="I773" s="159"/>
      <c r="J773" s="159"/>
      <c r="K773" s="159"/>
      <c r="L773" s="159"/>
    </row>
    <row r="774" spans="1:12" ht="24.95" customHeight="1">
      <c r="A774" s="206"/>
      <c r="B774" s="159"/>
      <c r="C774" s="159"/>
      <c r="D774" s="159"/>
      <c r="E774" s="159"/>
      <c r="H774" s="159"/>
      <c r="I774" s="159"/>
      <c r="J774" s="159"/>
      <c r="K774" s="159"/>
      <c r="L774" s="159"/>
    </row>
    <row r="775" spans="1:12" ht="24.95" customHeight="1">
      <c r="A775" s="206"/>
      <c r="B775" s="159"/>
      <c r="C775" s="159"/>
      <c r="D775" s="159"/>
      <c r="E775" s="159"/>
      <c r="H775" s="159"/>
      <c r="I775" s="159"/>
      <c r="J775" s="159"/>
      <c r="K775" s="159"/>
      <c r="L775" s="159"/>
    </row>
    <row r="776" spans="1:12" ht="24.95" customHeight="1">
      <c r="A776" s="206"/>
      <c r="B776" s="159"/>
      <c r="C776" s="159"/>
      <c r="D776" s="159"/>
      <c r="E776" s="159"/>
      <c r="H776" s="159"/>
      <c r="I776" s="159"/>
      <c r="J776" s="159"/>
      <c r="K776" s="159"/>
      <c r="L776" s="159"/>
    </row>
    <row r="777" spans="1:12" ht="24.95" customHeight="1">
      <c r="A777" s="206"/>
      <c r="B777" s="159"/>
      <c r="C777" s="159"/>
      <c r="D777" s="159"/>
      <c r="E777" s="159"/>
      <c r="H777" s="159"/>
      <c r="I777" s="159"/>
      <c r="J777" s="159"/>
      <c r="K777" s="159"/>
      <c r="L777" s="159"/>
    </row>
    <row r="778" spans="1:12" ht="24.95" customHeight="1">
      <c r="A778" s="206"/>
      <c r="B778" s="159"/>
      <c r="C778" s="159"/>
      <c r="D778" s="159"/>
      <c r="E778" s="159"/>
      <c r="H778" s="159"/>
      <c r="I778" s="159"/>
      <c r="J778" s="159"/>
      <c r="K778" s="159"/>
      <c r="L778" s="159"/>
    </row>
    <row r="779" spans="1:12" ht="24.95" customHeight="1">
      <c r="A779" s="206"/>
      <c r="B779" s="159"/>
      <c r="C779" s="159"/>
      <c r="D779" s="159"/>
      <c r="E779" s="159"/>
      <c r="H779" s="159"/>
      <c r="I779" s="159"/>
      <c r="J779" s="159"/>
      <c r="K779" s="159"/>
      <c r="L779" s="159"/>
    </row>
    <row r="780" spans="1:12" ht="24.95" customHeight="1">
      <c r="A780" s="206"/>
      <c r="B780" s="159"/>
      <c r="C780" s="159"/>
      <c r="D780" s="159"/>
      <c r="E780" s="159"/>
      <c r="H780" s="159"/>
      <c r="I780" s="159"/>
      <c r="J780" s="159"/>
      <c r="K780" s="159"/>
      <c r="L780" s="159"/>
    </row>
    <row r="781" spans="1:12" ht="24.95" customHeight="1">
      <c r="A781" s="206"/>
      <c r="B781" s="159"/>
      <c r="C781" s="159"/>
      <c r="D781" s="159"/>
      <c r="E781" s="159"/>
      <c r="H781" s="159"/>
      <c r="I781" s="159"/>
      <c r="J781" s="159"/>
      <c r="K781" s="159"/>
      <c r="L781" s="159"/>
    </row>
    <row r="782" spans="1:12" ht="24.95" customHeight="1">
      <c r="A782" s="206"/>
      <c r="B782" s="159"/>
      <c r="C782" s="159"/>
      <c r="D782" s="159"/>
      <c r="E782" s="159"/>
      <c r="H782" s="159"/>
      <c r="I782" s="159"/>
      <c r="J782" s="159"/>
      <c r="K782" s="159"/>
      <c r="L782" s="159"/>
    </row>
    <row r="783" spans="1:12" ht="24.95" customHeight="1">
      <c r="A783" s="206"/>
      <c r="B783" s="159"/>
      <c r="C783" s="159"/>
      <c r="D783" s="159"/>
      <c r="E783" s="159"/>
      <c r="H783" s="159"/>
      <c r="I783" s="159"/>
      <c r="J783" s="159"/>
      <c r="K783" s="159"/>
      <c r="L783" s="159"/>
    </row>
    <row r="784" spans="1:12" ht="24.95" customHeight="1">
      <c r="A784" s="206"/>
      <c r="B784" s="159"/>
      <c r="C784" s="159"/>
      <c r="D784" s="159"/>
      <c r="E784" s="159"/>
      <c r="H784" s="159"/>
      <c r="I784" s="159"/>
      <c r="J784" s="159"/>
      <c r="K784" s="159"/>
      <c r="L784" s="159"/>
    </row>
    <row r="785" spans="1:12" ht="24.95" customHeight="1">
      <c r="A785" s="206"/>
      <c r="B785" s="159"/>
      <c r="C785" s="159"/>
      <c r="D785" s="159"/>
      <c r="E785" s="159"/>
      <c r="H785" s="159"/>
      <c r="I785" s="159"/>
      <c r="J785" s="159"/>
      <c r="K785" s="159"/>
      <c r="L785" s="159"/>
    </row>
    <row r="786" spans="1:12" ht="24.95" customHeight="1">
      <c r="A786" s="206"/>
      <c r="B786" s="159"/>
      <c r="C786" s="159"/>
      <c r="D786" s="159"/>
      <c r="E786" s="159"/>
      <c r="H786" s="159"/>
      <c r="I786" s="159"/>
      <c r="J786" s="159"/>
      <c r="K786" s="159"/>
      <c r="L786" s="159"/>
    </row>
    <row r="787" spans="1:12" ht="24.95" customHeight="1">
      <c r="A787" s="206"/>
      <c r="B787" s="159"/>
      <c r="C787" s="159"/>
      <c r="D787" s="159"/>
      <c r="E787" s="159"/>
    </row>
    <row r="788" spans="1:12" ht="24.95" customHeight="1">
      <c r="A788" s="206"/>
      <c r="B788" s="159"/>
      <c r="C788" s="159"/>
      <c r="D788" s="159"/>
      <c r="E788" s="159"/>
    </row>
  </sheetData>
  <mergeCells count="16">
    <mergeCell ref="B21:C21"/>
    <mergeCell ref="A1:E1"/>
    <mergeCell ref="A16:B16"/>
    <mergeCell ref="A12:B12"/>
    <mergeCell ref="I21:J21"/>
    <mergeCell ref="A7:B7"/>
    <mergeCell ref="H1:L1"/>
    <mergeCell ref="A20:B20"/>
    <mergeCell ref="H10:I10"/>
    <mergeCell ref="H16:I16"/>
    <mergeCell ref="C20:E20"/>
    <mergeCell ref="C16:E16"/>
    <mergeCell ref="C12:E12"/>
    <mergeCell ref="C7:E7"/>
    <mergeCell ref="J16:L16"/>
    <mergeCell ref="J10:L10"/>
  </mergeCells>
  <phoneticPr fontId="25" type="noConversion"/>
  <pageMargins left="0" right="0" top="0" bottom="0" header="0" footer="0"/>
  <pageSetup paperSize="9" scale="44" orientation="portrait" horizontalDpi="1200" verticalDpi="1200" r:id="rId1"/>
  <rowBreaks count="2" manualBreakCount="2">
    <brk id="21" max="14" man="1"/>
    <brk id="24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topLeftCell="A7" zoomScale="34" zoomScaleNormal="34" workbookViewId="0">
      <selection activeCell="P6" sqref="P6"/>
    </sheetView>
  </sheetViews>
  <sheetFormatPr defaultColWidth="8.7109375" defaultRowHeight="15"/>
  <cols>
    <col min="1" max="1" width="54.5703125" style="398" customWidth="1"/>
    <col min="2" max="2" width="92" style="397" customWidth="1"/>
    <col min="3" max="3" width="40" style="397" customWidth="1"/>
    <col min="4" max="4" width="32.5703125" style="397" customWidth="1"/>
    <col min="5" max="5" width="38.85546875" style="397" customWidth="1"/>
    <col min="6" max="6" width="17.7109375" style="397" customWidth="1"/>
    <col min="7" max="7" width="3.85546875" style="397" customWidth="1"/>
    <col min="8" max="8" width="6.140625" style="397" customWidth="1"/>
    <col min="9" max="10" width="4" style="397" customWidth="1"/>
    <col min="11" max="11" width="4.140625" style="399" customWidth="1"/>
    <col min="12" max="12" width="0.140625" style="397" customWidth="1"/>
    <col min="13" max="16384" width="8.7109375" style="397"/>
  </cols>
  <sheetData>
    <row r="1" spans="1:13" s="400" customFormat="1" ht="47.25" customHeight="1" thickBot="1">
      <c r="A1" s="617" t="s">
        <v>63</v>
      </c>
      <c r="B1" s="618"/>
      <c r="C1" s="618"/>
      <c r="D1" s="618"/>
      <c r="E1" s="619"/>
      <c r="F1" s="397"/>
      <c r="G1" s="397"/>
      <c r="H1" s="397"/>
      <c r="I1" s="397"/>
      <c r="J1" s="397"/>
      <c r="K1" s="399"/>
      <c r="L1" s="397"/>
      <c r="M1" s="397"/>
    </row>
    <row r="2" spans="1:13" s="467" customFormat="1" ht="83.25" customHeight="1">
      <c r="A2" s="464" t="s">
        <v>4</v>
      </c>
      <c r="B2" s="465" t="s">
        <v>3</v>
      </c>
      <c r="C2" s="466" t="s">
        <v>0</v>
      </c>
      <c r="D2" s="466" t="s">
        <v>1</v>
      </c>
      <c r="E2" s="466" t="s">
        <v>60</v>
      </c>
      <c r="F2" s="397"/>
      <c r="G2" s="397"/>
      <c r="H2" s="397"/>
      <c r="I2" s="397"/>
      <c r="J2" s="397"/>
      <c r="K2" s="399"/>
      <c r="L2" s="397"/>
      <c r="M2" s="397"/>
    </row>
    <row r="3" spans="1:13" s="400" customFormat="1" ht="83.25" customHeight="1">
      <c r="A3" s="161">
        <v>30</v>
      </c>
      <c r="B3" s="401" t="s">
        <v>339</v>
      </c>
      <c r="C3" s="162">
        <v>80</v>
      </c>
      <c r="D3" s="162">
        <v>80</v>
      </c>
      <c r="E3" s="162">
        <f>SUM(C3-D3)</f>
        <v>0</v>
      </c>
      <c r="F3" s="397"/>
      <c r="G3" s="397"/>
      <c r="H3" s="397"/>
      <c r="I3" s="397"/>
      <c r="J3" s="397"/>
      <c r="K3" s="399"/>
      <c r="L3" s="397"/>
      <c r="M3" s="397"/>
    </row>
    <row r="4" spans="1:13" s="400" customFormat="1" ht="83.25" customHeight="1">
      <c r="A4" s="404" t="s">
        <v>83</v>
      </c>
      <c r="B4" s="163">
        <f>+D4*60</f>
        <v>4800</v>
      </c>
      <c r="C4" s="164">
        <f>SUM(C3)</f>
        <v>80</v>
      </c>
      <c r="D4" s="164">
        <f>SUM(D3)</f>
        <v>80</v>
      </c>
      <c r="E4" s="164">
        <f>SUM(E3)</f>
        <v>0</v>
      </c>
      <c r="F4" s="397"/>
      <c r="G4" s="397"/>
      <c r="H4" s="397"/>
      <c r="I4" s="397"/>
      <c r="J4" s="397"/>
      <c r="K4" s="399"/>
      <c r="L4" s="397"/>
      <c r="M4" s="397"/>
    </row>
    <row r="5" spans="1:13" s="400" customFormat="1" ht="83.25" customHeight="1">
      <c r="A5" s="620" t="s">
        <v>84</v>
      </c>
      <c r="B5" s="621"/>
      <c r="C5" s="614">
        <f>+B4/8</f>
        <v>600</v>
      </c>
      <c r="D5" s="615"/>
      <c r="E5" s="616"/>
      <c r="F5" s="397"/>
      <c r="G5" s="397"/>
      <c r="H5" s="397"/>
      <c r="I5" s="397"/>
      <c r="J5" s="397"/>
      <c r="K5" s="399"/>
      <c r="L5" s="397"/>
      <c r="M5" s="397"/>
    </row>
    <row r="6" spans="1:13" s="400" customFormat="1" ht="83.25" customHeight="1">
      <c r="A6" s="161">
        <v>29</v>
      </c>
      <c r="B6" s="401" t="s">
        <v>338</v>
      </c>
      <c r="C6" s="162">
        <v>80</v>
      </c>
      <c r="D6" s="162">
        <v>4</v>
      </c>
      <c r="E6" s="162">
        <f>C6-D6</f>
        <v>76</v>
      </c>
      <c r="F6" s="397"/>
      <c r="G6" s="397"/>
      <c r="H6" s="397"/>
      <c r="I6" s="397"/>
      <c r="J6" s="397"/>
      <c r="K6" s="399"/>
      <c r="L6" s="397"/>
      <c r="M6" s="397"/>
    </row>
    <row r="7" spans="1:13" s="400" customFormat="1" ht="83.25" customHeight="1">
      <c r="A7" s="404" t="s">
        <v>83</v>
      </c>
      <c r="B7" s="163">
        <f>+D7*60</f>
        <v>240</v>
      </c>
      <c r="C7" s="164">
        <f>SUM(C6)</f>
        <v>80</v>
      </c>
      <c r="D7" s="579">
        <f>SUM(D6)</f>
        <v>4</v>
      </c>
      <c r="E7" s="164">
        <f>SUM(E6)</f>
        <v>76</v>
      </c>
      <c r="F7" s="397"/>
      <c r="G7" s="397"/>
      <c r="H7" s="397"/>
      <c r="I7" s="397"/>
      <c r="J7" s="397"/>
      <c r="K7" s="399"/>
      <c r="L7" s="397"/>
      <c r="M7" s="397"/>
    </row>
    <row r="8" spans="1:13" s="400" customFormat="1" ht="83.25" customHeight="1">
      <c r="A8" s="620" t="s">
        <v>84</v>
      </c>
      <c r="B8" s="621"/>
      <c r="C8" s="614">
        <f>+B7/8</f>
        <v>30</v>
      </c>
      <c r="D8" s="615"/>
      <c r="E8" s="616"/>
      <c r="F8" s="397"/>
      <c r="G8" s="397"/>
      <c r="H8" s="397"/>
      <c r="I8" s="397"/>
      <c r="J8" s="397"/>
      <c r="K8" s="399"/>
      <c r="L8" s="397"/>
      <c r="M8" s="397"/>
    </row>
    <row r="9" spans="1:13" s="400" customFormat="1" ht="83.25" customHeight="1">
      <c r="A9" s="161">
        <v>28</v>
      </c>
      <c r="B9" s="401" t="s">
        <v>337</v>
      </c>
      <c r="C9" s="162">
        <v>80</v>
      </c>
      <c r="D9" s="162">
        <v>80</v>
      </c>
      <c r="E9" s="162">
        <f>C9-D9</f>
        <v>0</v>
      </c>
      <c r="F9" s="397"/>
      <c r="G9" s="397"/>
      <c r="H9" s="397"/>
      <c r="I9" s="397"/>
      <c r="J9" s="397"/>
      <c r="K9" s="399"/>
      <c r="L9" s="397"/>
      <c r="M9" s="397"/>
    </row>
    <row r="10" spans="1:13" s="400" customFormat="1" ht="83.25" customHeight="1">
      <c r="A10" s="404" t="s">
        <v>83</v>
      </c>
      <c r="B10" s="163">
        <f>+D10*60</f>
        <v>4800</v>
      </c>
      <c r="C10" s="164">
        <f>SUM(C9)</f>
        <v>80</v>
      </c>
      <c r="D10" s="579">
        <f>SUM(D9)</f>
        <v>80</v>
      </c>
      <c r="E10" s="164">
        <f>SUM(E9)</f>
        <v>0</v>
      </c>
      <c r="F10" s="397"/>
      <c r="G10" s="397"/>
      <c r="H10" s="397"/>
      <c r="I10" s="397"/>
      <c r="J10" s="397"/>
      <c r="K10" s="399"/>
      <c r="L10" s="397"/>
      <c r="M10" s="397"/>
    </row>
    <row r="11" spans="1:13" s="400" customFormat="1" ht="83.25" customHeight="1">
      <c r="A11" s="620" t="s">
        <v>84</v>
      </c>
      <c r="B11" s="621"/>
      <c r="C11" s="614">
        <f>+B10/8</f>
        <v>600</v>
      </c>
      <c r="D11" s="615"/>
      <c r="E11" s="616"/>
      <c r="F11" s="397"/>
      <c r="G11" s="397"/>
      <c r="H11" s="397"/>
      <c r="I11" s="397"/>
      <c r="J11" s="397"/>
      <c r="K11" s="399"/>
      <c r="L11" s="397"/>
      <c r="M11" s="397"/>
    </row>
    <row r="12" spans="1:13" s="400" customFormat="1" ht="83.25" customHeight="1">
      <c r="A12" s="161">
        <v>27</v>
      </c>
      <c r="B12" s="401" t="s">
        <v>336</v>
      </c>
      <c r="C12" s="162">
        <v>80</v>
      </c>
      <c r="D12" s="162">
        <v>80</v>
      </c>
      <c r="E12" s="162">
        <f>C12-D12</f>
        <v>0</v>
      </c>
      <c r="F12" s="397"/>
      <c r="G12" s="397"/>
      <c r="H12" s="397"/>
      <c r="I12" s="397"/>
      <c r="J12" s="397"/>
      <c r="K12" s="399"/>
      <c r="L12" s="397"/>
      <c r="M12" s="397"/>
    </row>
    <row r="13" spans="1:13" s="400" customFormat="1" ht="83.25" customHeight="1">
      <c r="A13" s="517">
        <v>26</v>
      </c>
      <c r="B13" s="401" t="s">
        <v>357</v>
      </c>
      <c r="C13" s="162">
        <v>80</v>
      </c>
      <c r="D13" s="162">
        <v>27</v>
      </c>
      <c r="E13" s="162">
        <f>C13-D13</f>
        <v>53</v>
      </c>
      <c r="F13" s="397"/>
      <c r="G13" s="397"/>
      <c r="H13" s="397"/>
      <c r="I13" s="397"/>
      <c r="J13" s="397"/>
      <c r="K13" s="399"/>
      <c r="L13" s="397"/>
      <c r="M13" s="397"/>
    </row>
    <row r="14" spans="1:13" s="400" customFormat="1" ht="83.25" customHeight="1">
      <c r="A14" s="404" t="s">
        <v>83</v>
      </c>
      <c r="B14" s="163">
        <f>+D14*60</f>
        <v>6420</v>
      </c>
      <c r="C14" s="164">
        <f>SUM(C12:C13)</f>
        <v>160</v>
      </c>
      <c r="D14" s="164">
        <f>SUM(D12:D13)</f>
        <v>107</v>
      </c>
      <c r="E14" s="164">
        <f>SUM(E12:E13)</f>
        <v>53</v>
      </c>
      <c r="F14" s="397"/>
      <c r="G14" s="397"/>
      <c r="H14" s="397"/>
      <c r="I14" s="397"/>
      <c r="J14" s="397"/>
      <c r="K14" s="399"/>
      <c r="L14" s="397"/>
      <c r="M14" s="397"/>
    </row>
    <row r="15" spans="1:13" s="400" customFormat="1" ht="83.25" customHeight="1">
      <c r="A15" s="620" t="s">
        <v>84</v>
      </c>
      <c r="B15" s="621"/>
      <c r="C15" s="614">
        <f>+B14/8</f>
        <v>802.5</v>
      </c>
      <c r="D15" s="615"/>
      <c r="E15" s="616"/>
      <c r="F15" s="397"/>
      <c r="G15" s="397"/>
      <c r="H15" s="397"/>
      <c r="I15" s="397"/>
      <c r="J15" s="397"/>
      <c r="K15" s="399"/>
      <c r="L15" s="397"/>
      <c r="M15" s="397"/>
    </row>
    <row r="16" spans="1:13" s="400" customFormat="1" ht="83.25" customHeight="1">
      <c r="A16" s="161">
        <v>25</v>
      </c>
      <c r="B16" s="162" t="s">
        <v>334</v>
      </c>
      <c r="C16" s="162">
        <v>80</v>
      </c>
      <c r="D16" s="402">
        <v>79</v>
      </c>
      <c r="E16" s="162">
        <f>C16-D16</f>
        <v>1</v>
      </c>
      <c r="F16" s="397"/>
      <c r="G16" s="397"/>
      <c r="H16" s="397"/>
      <c r="I16" s="397"/>
      <c r="J16" s="397"/>
      <c r="K16" s="399"/>
      <c r="L16" s="397"/>
      <c r="M16" s="397"/>
    </row>
    <row r="17" spans="1:13" s="400" customFormat="1" ht="83.25" customHeight="1">
      <c r="A17" s="404" t="s">
        <v>83</v>
      </c>
      <c r="B17" s="163">
        <f>+D17*60</f>
        <v>4740</v>
      </c>
      <c r="C17" s="164">
        <f>SUM(C16)</f>
        <v>80</v>
      </c>
      <c r="D17" s="579">
        <f>SUM(D16)</f>
        <v>79</v>
      </c>
      <c r="E17" s="164">
        <f>SUM(E16)</f>
        <v>1</v>
      </c>
      <c r="F17" s="397"/>
      <c r="G17" s="397"/>
      <c r="H17" s="397"/>
      <c r="I17" s="397"/>
      <c r="J17" s="397"/>
      <c r="K17" s="399"/>
      <c r="L17" s="397"/>
      <c r="M17" s="397"/>
    </row>
    <row r="18" spans="1:13" s="400" customFormat="1" ht="83.25" customHeight="1">
      <c r="A18" s="620" t="s">
        <v>84</v>
      </c>
      <c r="B18" s="621"/>
      <c r="C18" s="614">
        <f>+B17/8</f>
        <v>592.5</v>
      </c>
      <c r="D18" s="615"/>
      <c r="E18" s="616"/>
      <c r="F18" s="397"/>
      <c r="G18" s="397"/>
      <c r="H18" s="397"/>
      <c r="I18" s="397"/>
      <c r="J18" s="397"/>
      <c r="K18" s="399"/>
      <c r="L18" s="397"/>
      <c r="M18" s="397"/>
    </row>
    <row r="19" spans="1:13" s="400" customFormat="1" ht="83.25" customHeight="1">
      <c r="A19" s="161">
        <v>24</v>
      </c>
      <c r="B19" s="401" t="s">
        <v>335</v>
      </c>
      <c r="C19" s="162">
        <v>80</v>
      </c>
      <c r="D19" s="403">
        <v>80</v>
      </c>
      <c r="E19" s="162">
        <f>C19-D19</f>
        <v>0</v>
      </c>
      <c r="F19" s="397"/>
      <c r="G19" s="397"/>
      <c r="H19" s="397"/>
      <c r="I19" s="397"/>
      <c r="J19" s="397"/>
      <c r="K19" s="399"/>
      <c r="L19" s="397"/>
      <c r="M19" s="397"/>
    </row>
    <row r="20" spans="1:13" s="400" customFormat="1" ht="83.25" customHeight="1">
      <c r="A20" s="161">
        <v>23</v>
      </c>
      <c r="B20" s="401" t="s">
        <v>335</v>
      </c>
      <c r="C20" s="162">
        <v>80</v>
      </c>
      <c r="D20" s="162">
        <v>23</v>
      </c>
      <c r="E20" s="162">
        <f>C20-D20</f>
        <v>57</v>
      </c>
      <c r="F20" s="397"/>
      <c r="G20" s="397"/>
      <c r="H20" s="397"/>
      <c r="I20" s="397"/>
      <c r="J20" s="397"/>
      <c r="K20" s="399"/>
      <c r="L20" s="397"/>
      <c r="M20" s="397"/>
    </row>
    <row r="21" spans="1:13" s="400" customFormat="1" ht="83.25" customHeight="1">
      <c r="A21" s="404" t="s">
        <v>83</v>
      </c>
      <c r="B21" s="163">
        <f>+D21*60</f>
        <v>6180</v>
      </c>
      <c r="C21" s="164">
        <f>SUM(C19:C20)</f>
        <v>160</v>
      </c>
      <c r="D21" s="579">
        <f>SUM(D19:D20)</f>
        <v>103</v>
      </c>
      <c r="E21" s="164">
        <f>SUM(E19:E20)</f>
        <v>57</v>
      </c>
      <c r="F21" s="397"/>
      <c r="G21" s="397"/>
      <c r="H21" s="397"/>
      <c r="I21" s="397"/>
      <c r="J21" s="397"/>
      <c r="K21" s="399"/>
      <c r="L21" s="397"/>
      <c r="M21" s="397"/>
    </row>
    <row r="22" spans="1:13" s="400" customFormat="1" ht="83.25" customHeight="1">
      <c r="A22" s="620" t="s">
        <v>84</v>
      </c>
      <c r="B22" s="621"/>
      <c r="C22" s="614">
        <f>+B21/8</f>
        <v>772.5</v>
      </c>
      <c r="D22" s="615"/>
      <c r="E22" s="616"/>
      <c r="F22" s="397"/>
      <c r="G22" s="397"/>
      <c r="H22" s="397"/>
      <c r="I22" s="397"/>
      <c r="J22" s="397"/>
      <c r="K22" s="399"/>
      <c r="L22" s="397"/>
      <c r="M22" s="397"/>
    </row>
    <row r="23" spans="1:13" s="400" customFormat="1" ht="83.25" customHeight="1">
      <c r="A23" s="161">
        <v>22</v>
      </c>
      <c r="B23" s="401" t="s">
        <v>333</v>
      </c>
      <c r="C23" s="162">
        <v>80</v>
      </c>
      <c r="D23" s="162">
        <v>80</v>
      </c>
      <c r="E23" s="162">
        <f>C23-D23</f>
        <v>0</v>
      </c>
      <c r="F23" s="397"/>
      <c r="G23" s="397"/>
      <c r="H23" s="397"/>
      <c r="I23" s="397"/>
      <c r="J23" s="397"/>
      <c r="K23" s="399"/>
      <c r="L23" s="397"/>
      <c r="M23" s="397"/>
    </row>
    <row r="24" spans="1:13" s="400" customFormat="1" ht="83.25" customHeight="1">
      <c r="A24" s="161">
        <v>21</v>
      </c>
      <c r="B24" s="401" t="s">
        <v>333</v>
      </c>
      <c r="C24" s="162">
        <v>80</v>
      </c>
      <c r="D24" s="162">
        <v>8</v>
      </c>
      <c r="E24" s="162">
        <f>C24-D24</f>
        <v>72</v>
      </c>
      <c r="F24" s="397"/>
      <c r="G24" s="397"/>
      <c r="H24" s="397"/>
      <c r="I24" s="397"/>
      <c r="J24" s="397"/>
      <c r="K24" s="399"/>
      <c r="L24" s="397"/>
      <c r="M24" s="397"/>
    </row>
    <row r="25" spans="1:13" s="400" customFormat="1" ht="83.25" customHeight="1">
      <c r="A25" s="404" t="s">
        <v>83</v>
      </c>
      <c r="B25" s="163">
        <f>+D25*60</f>
        <v>5280</v>
      </c>
      <c r="C25" s="164">
        <f>SUM(C23:C24)</f>
        <v>160</v>
      </c>
      <c r="D25" s="164">
        <f>SUM(D23:D24)</f>
        <v>88</v>
      </c>
      <c r="E25" s="164">
        <f>SUM(E23:E24)</f>
        <v>72</v>
      </c>
      <c r="F25" s="397"/>
      <c r="G25" s="397"/>
      <c r="H25" s="397"/>
      <c r="I25" s="397"/>
      <c r="J25" s="397"/>
      <c r="K25" s="399"/>
      <c r="L25" s="397"/>
      <c r="M25" s="397"/>
    </row>
    <row r="26" spans="1:13" s="400" customFormat="1" ht="83.25" customHeight="1">
      <c r="A26" s="620" t="s">
        <v>84</v>
      </c>
      <c r="B26" s="621"/>
      <c r="C26" s="614">
        <f>+B25/8</f>
        <v>660</v>
      </c>
      <c r="D26" s="615"/>
      <c r="E26" s="616"/>
      <c r="F26" s="397"/>
      <c r="G26" s="397"/>
      <c r="H26" s="397"/>
      <c r="I26" s="397"/>
      <c r="J26" s="397"/>
      <c r="K26" s="399"/>
      <c r="L26" s="397"/>
      <c r="M26" s="397"/>
    </row>
    <row r="27" spans="1:13" s="400" customFormat="1" ht="21" customHeight="1">
      <c r="A27" s="398"/>
      <c r="B27" s="397"/>
      <c r="C27" s="397"/>
      <c r="D27" s="397"/>
      <c r="E27" s="397"/>
      <c r="F27" s="397"/>
      <c r="G27" s="397"/>
      <c r="H27" s="397"/>
      <c r="I27" s="397"/>
      <c r="J27" s="397"/>
      <c r="K27" s="399"/>
      <c r="L27" s="397"/>
      <c r="M27" s="397"/>
    </row>
    <row r="28" spans="1:13" s="400" customFormat="1" ht="21" customHeight="1">
      <c r="A28" s="398"/>
      <c r="B28" s="397"/>
      <c r="C28" s="397"/>
      <c r="D28" s="397"/>
      <c r="E28" s="397"/>
      <c r="F28" s="397"/>
      <c r="G28" s="397"/>
      <c r="H28" s="397"/>
      <c r="I28" s="397"/>
      <c r="J28" s="397"/>
      <c r="K28" s="399"/>
      <c r="L28" s="397"/>
      <c r="M28" s="397"/>
    </row>
    <row r="29" spans="1:13" ht="30.75" customHeight="1"/>
    <row r="30" spans="1:13" ht="30.75" customHeight="1"/>
    <row r="31" spans="1:13" ht="30.75" customHeight="1"/>
    <row r="32" spans="1:13" ht="30.75" customHeight="1"/>
    <row r="33" ht="30.75" customHeight="1"/>
  </sheetData>
  <mergeCells count="15">
    <mergeCell ref="C26:E26"/>
    <mergeCell ref="C22:E22"/>
    <mergeCell ref="A1:E1"/>
    <mergeCell ref="A26:B26"/>
    <mergeCell ref="A22:B22"/>
    <mergeCell ref="A18:B18"/>
    <mergeCell ref="A15:B15"/>
    <mergeCell ref="A11:B11"/>
    <mergeCell ref="A8:B8"/>
    <mergeCell ref="A5:B5"/>
    <mergeCell ref="C18:E18"/>
    <mergeCell ref="C15:E15"/>
    <mergeCell ref="C11:E11"/>
    <mergeCell ref="C8:E8"/>
    <mergeCell ref="C5:E5"/>
  </mergeCells>
  <pageMargins left="0" right="0" top="0" bottom="0" header="0" footer="0"/>
  <pageSetup scale="36" orientation="portrait" verticalDpi="300" r:id="rId1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8000"/>
  </sheetPr>
  <dimension ref="A1:AP1775"/>
  <sheetViews>
    <sheetView view="pageBreakPreview" topLeftCell="A2" zoomScale="35" zoomScaleSheetLayoutView="35" workbookViewId="0">
      <selection activeCell="E19" sqref="E19"/>
    </sheetView>
  </sheetViews>
  <sheetFormatPr defaultColWidth="7.140625" defaultRowHeight="24.95" customHeight="1"/>
  <cols>
    <col min="1" max="1" width="32.42578125" style="463" customWidth="1"/>
    <col min="2" max="2" width="44.28515625" style="460" customWidth="1"/>
    <col min="3" max="3" width="18" style="460" customWidth="1"/>
    <col min="4" max="4" width="24.85546875" style="460" customWidth="1"/>
    <col min="5" max="5" width="17.28515625" style="460" customWidth="1"/>
    <col min="6" max="6" width="1.42578125" style="154" customWidth="1"/>
    <col min="7" max="7" width="32.85546875" style="460" customWidth="1"/>
    <col min="8" max="8" width="43" style="460" customWidth="1"/>
    <col min="9" max="9" width="30.28515625" style="460" customWidth="1"/>
    <col min="10" max="10" width="29.42578125" style="460" customWidth="1"/>
    <col min="11" max="11" width="24.85546875" style="460" customWidth="1"/>
    <col min="12" max="12" width="8.140625" style="133" customWidth="1"/>
    <col min="13" max="13" width="33" style="525" customWidth="1"/>
    <col min="14" max="14" width="58.5703125" style="462" customWidth="1"/>
    <col min="15" max="15" width="23.42578125" style="462" customWidth="1"/>
    <col min="16" max="16" width="19.7109375" style="462" customWidth="1"/>
    <col min="17" max="17" width="20" style="462" customWidth="1"/>
    <col min="18" max="22" width="7.140625" style="269"/>
    <col min="23" max="23" width="12.28515625" style="269" bestFit="1" customWidth="1"/>
    <col min="24" max="24" width="7.140625" style="269"/>
    <col min="25" max="25" width="11.5703125" style="269" bestFit="1" customWidth="1"/>
    <col min="26" max="16384" width="7.140625" style="269"/>
  </cols>
  <sheetData>
    <row r="1" spans="1:42" s="306" customFormat="1" ht="121.5" customHeight="1" thickBot="1">
      <c r="A1" s="629" t="s">
        <v>46</v>
      </c>
      <c r="B1" s="630"/>
      <c r="C1" s="630"/>
      <c r="D1" s="630"/>
      <c r="E1" s="631"/>
      <c r="F1" s="430"/>
      <c r="G1" s="629" t="s">
        <v>47</v>
      </c>
      <c r="H1" s="630"/>
      <c r="I1" s="630"/>
      <c r="J1" s="630"/>
      <c r="K1" s="631"/>
      <c r="L1" s="305"/>
      <c r="M1" s="632" t="s">
        <v>48</v>
      </c>
      <c r="N1" s="633"/>
      <c r="O1" s="633"/>
      <c r="P1" s="633"/>
      <c r="Q1" s="634"/>
    </row>
    <row r="2" spans="1:42" ht="53.25" customHeight="1">
      <c r="A2" s="431" t="s">
        <v>4</v>
      </c>
      <c r="B2" s="432" t="s">
        <v>3</v>
      </c>
      <c r="C2" s="433" t="s">
        <v>0</v>
      </c>
      <c r="D2" s="433" t="s">
        <v>1</v>
      </c>
      <c r="E2" s="433" t="s">
        <v>60</v>
      </c>
      <c r="F2" s="268"/>
      <c r="G2" s="434" t="s">
        <v>4</v>
      </c>
      <c r="H2" s="435" t="s">
        <v>3</v>
      </c>
      <c r="I2" s="435" t="s">
        <v>0</v>
      </c>
      <c r="J2" s="436" t="s">
        <v>61</v>
      </c>
      <c r="K2" s="499" t="s">
        <v>62</v>
      </c>
      <c r="L2" s="437"/>
      <c r="M2" s="274" t="s">
        <v>4</v>
      </c>
      <c r="N2" s="438" t="s">
        <v>3</v>
      </c>
      <c r="O2" s="438" t="s">
        <v>0</v>
      </c>
      <c r="P2" s="494" t="s">
        <v>61</v>
      </c>
      <c r="Q2" s="438" t="s">
        <v>62</v>
      </c>
    </row>
    <row r="3" spans="1:42" s="272" customFormat="1" ht="39.75" customHeight="1">
      <c r="A3" s="155">
        <v>40</v>
      </c>
      <c r="B3" s="270" t="s">
        <v>359</v>
      </c>
      <c r="C3" s="156">
        <v>132</v>
      </c>
      <c r="D3" s="156">
        <v>132</v>
      </c>
      <c r="E3" s="156">
        <f>C3-D3</f>
        <v>0</v>
      </c>
      <c r="F3" s="268"/>
      <c r="G3" s="157">
        <v>50</v>
      </c>
      <c r="H3" s="270" t="s">
        <v>362</v>
      </c>
      <c r="I3" s="156">
        <v>132</v>
      </c>
      <c r="J3" s="271">
        <v>24</v>
      </c>
      <c r="K3" s="500">
        <f t="shared" ref="K3:K5" si="0">+(I3-J3)</f>
        <v>108</v>
      </c>
      <c r="L3" s="440"/>
      <c r="M3" s="273">
        <v>60</v>
      </c>
      <c r="N3" s="367" t="s">
        <v>366</v>
      </c>
      <c r="O3" s="367">
        <v>132</v>
      </c>
      <c r="P3" s="367">
        <v>132</v>
      </c>
      <c r="Q3" s="367">
        <f>O3-P3</f>
        <v>0</v>
      </c>
    </row>
    <row r="4" spans="1:42" s="272" customFormat="1" ht="51.75" customHeight="1">
      <c r="A4" s="155">
        <v>39</v>
      </c>
      <c r="B4" s="270" t="s">
        <v>359</v>
      </c>
      <c r="C4" s="156">
        <v>132</v>
      </c>
      <c r="D4" s="156">
        <v>132</v>
      </c>
      <c r="E4" s="156">
        <f t="shared" ref="E4:E14" si="1">C4-D4</f>
        <v>0</v>
      </c>
      <c r="F4" s="268"/>
      <c r="G4" s="157">
        <v>49</v>
      </c>
      <c r="H4" s="270" t="s">
        <v>362</v>
      </c>
      <c r="I4" s="156">
        <v>132</v>
      </c>
      <c r="J4" s="271">
        <v>132</v>
      </c>
      <c r="K4" s="500">
        <f t="shared" si="0"/>
        <v>0</v>
      </c>
      <c r="L4" s="440"/>
      <c r="M4" s="273">
        <v>59</v>
      </c>
      <c r="N4" s="367" t="s">
        <v>366</v>
      </c>
      <c r="O4" s="367">
        <v>132</v>
      </c>
      <c r="P4" s="367">
        <v>132</v>
      </c>
      <c r="Q4" s="367">
        <f>O4-P4</f>
        <v>0</v>
      </c>
    </row>
    <row r="5" spans="1:42" s="272" customFormat="1" ht="56.25" customHeight="1">
      <c r="A5" s="155">
        <v>38</v>
      </c>
      <c r="B5" s="270" t="s">
        <v>359</v>
      </c>
      <c r="C5" s="156">
        <v>132</v>
      </c>
      <c r="D5" s="156">
        <v>132</v>
      </c>
      <c r="E5" s="156">
        <f t="shared" si="1"/>
        <v>0</v>
      </c>
      <c r="F5" s="268"/>
      <c r="G5" s="157">
        <v>48</v>
      </c>
      <c r="H5" s="156" t="s">
        <v>362</v>
      </c>
      <c r="I5" s="156">
        <v>132</v>
      </c>
      <c r="J5" s="156">
        <v>132</v>
      </c>
      <c r="K5" s="500">
        <f t="shared" si="0"/>
        <v>0</v>
      </c>
      <c r="L5" s="440"/>
      <c r="M5" s="522" t="s">
        <v>83</v>
      </c>
      <c r="N5" s="151">
        <f>+P5*40</f>
        <v>10560</v>
      </c>
      <c r="O5" s="152">
        <f>SUM(O3:O4)</f>
        <v>264</v>
      </c>
      <c r="P5" s="152">
        <f>SUM(P3:P4)</f>
        <v>264</v>
      </c>
      <c r="Q5" s="152">
        <f>SUM(Q3:Q4)</f>
        <v>0</v>
      </c>
      <c r="S5" s="441"/>
      <c r="T5" s="441"/>
      <c r="U5" s="441"/>
      <c r="V5" s="441"/>
      <c r="W5" s="441"/>
    </row>
    <row r="6" spans="1:42" s="272" customFormat="1" ht="105" customHeight="1">
      <c r="A6" s="155">
        <v>37</v>
      </c>
      <c r="B6" s="270" t="s">
        <v>359</v>
      </c>
      <c r="C6" s="156">
        <v>132</v>
      </c>
      <c r="D6" s="156">
        <v>114</v>
      </c>
      <c r="E6" s="156">
        <f t="shared" si="1"/>
        <v>18</v>
      </c>
      <c r="F6" s="442"/>
      <c r="G6" s="158" t="s">
        <v>83</v>
      </c>
      <c r="H6" s="151">
        <f>+J6*40</f>
        <v>11520</v>
      </c>
      <c r="I6" s="152">
        <f>SUM(I3:I5)</f>
        <v>396</v>
      </c>
      <c r="J6" s="156">
        <f>SUM(J3:J5)</f>
        <v>288</v>
      </c>
      <c r="K6" s="152">
        <f>SUM(K3:K5)</f>
        <v>108</v>
      </c>
      <c r="L6" s="443"/>
      <c r="M6" s="625" t="s">
        <v>84</v>
      </c>
      <c r="N6" s="626"/>
      <c r="O6" s="622">
        <f>+N5/6</f>
        <v>1760</v>
      </c>
      <c r="P6" s="623"/>
      <c r="Q6" s="624"/>
      <c r="S6" s="441"/>
      <c r="T6" s="441"/>
      <c r="U6" s="441"/>
      <c r="V6" s="441"/>
      <c r="W6" s="441"/>
    </row>
    <row r="7" spans="1:42" s="272" customFormat="1" ht="59.25" customHeight="1">
      <c r="A7" s="518">
        <v>36</v>
      </c>
      <c r="B7" s="270" t="s">
        <v>359</v>
      </c>
      <c r="C7" s="280">
        <v>132</v>
      </c>
      <c r="D7" s="280">
        <v>132</v>
      </c>
      <c r="E7" s="280">
        <f>C7-D7</f>
        <v>0</v>
      </c>
      <c r="F7" s="442"/>
      <c r="G7" s="625" t="s">
        <v>84</v>
      </c>
      <c r="H7" s="626"/>
      <c r="I7" s="622">
        <f>+H6/6</f>
        <v>1920</v>
      </c>
      <c r="J7" s="623"/>
      <c r="K7" s="624"/>
      <c r="L7" s="443"/>
      <c r="M7" s="523">
        <v>58</v>
      </c>
      <c r="N7" s="367" t="s">
        <v>365</v>
      </c>
      <c r="O7" s="156">
        <v>132</v>
      </c>
      <c r="P7" s="156">
        <v>132</v>
      </c>
      <c r="Q7" s="156">
        <f>O7-P7</f>
        <v>0</v>
      </c>
      <c r="S7" s="441"/>
      <c r="T7" s="441"/>
      <c r="U7" s="441"/>
      <c r="V7" s="441"/>
      <c r="W7" s="441"/>
    </row>
    <row r="8" spans="1:42" s="272" customFormat="1" ht="88.5" customHeight="1">
      <c r="A8" s="158" t="s">
        <v>83</v>
      </c>
      <c r="B8" s="151">
        <f>+D8*40</f>
        <v>25680</v>
      </c>
      <c r="C8" s="152">
        <f>SUM(C3:C7)</f>
        <v>660</v>
      </c>
      <c r="D8" s="156">
        <f>SUM(D3:D7)</f>
        <v>642</v>
      </c>
      <c r="E8" s="152">
        <f>SUM(E3:E7)</f>
        <v>18</v>
      </c>
      <c r="F8" s="442"/>
      <c r="G8" s="157">
        <v>47</v>
      </c>
      <c r="H8" s="270" t="s">
        <v>361</v>
      </c>
      <c r="I8" s="156">
        <v>132</v>
      </c>
      <c r="J8" s="156">
        <v>0</v>
      </c>
      <c r="K8" s="500">
        <f>+(I8-J8)</f>
        <v>132</v>
      </c>
      <c r="L8" s="443"/>
      <c r="M8" s="524">
        <v>57</v>
      </c>
      <c r="N8" s="367" t="s">
        <v>365</v>
      </c>
      <c r="O8" s="156">
        <v>132</v>
      </c>
      <c r="P8" s="156">
        <v>132</v>
      </c>
      <c r="Q8" s="156">
        <f>O8-P8</f>
        <v>0</v>
      </c>
      <c r="S8" s="441"/>
      <c r="T8" s="441"/>
      <c r="U8" s="441"/>
      <c r="V8" s="441"/>
      <c r="W8" s="441"/>
    </row>
    <row r="9" spans="1:42" s="272" customFormat="1" ht="66" customHeight="1">
      <c r="A9" s="625" t="s">
        <v>84</v>
      </c>
      <c r="B9" s="626"/>
      <c r="C9" s="622">
        <f>+B8/6</f>
        <v>4280</v>
      </c>
      <c r="D9" s="623"/>
      <c r="E9" s="624"/>
      <c r="F9" s="268"/>
      <c r="G9" s="157">
        <v>46</v>
      </c>
      <c r="H9" s="270" t="s">
        <v>361</v>
      </c>
      <c r="I9" s="156">
        <v>132</v>
      </c>
      <c r="J9" s="156">
        <v>2</v>
      </c>
      <c r="K9" s="500">
        <f>+(I9-J9)</f>
        <v>130</v>
      </c>
      <c r="L9" s="440"/>
      <c r="M9" s="522" t="s">
        <v>83</v>
      </c>
      <c r="N9" s="151">
        <f>+P9*40</f>
        <v>10560</v>
      </c>
      <c r="O9" s="152">
        <f>SUM(O7:O8)</f>
        <v>264</v>
      </c>
      <c r="P9" s="152">
        <f>SUM(P7:P8)</f>
        <v>264</v>
      </c>
      <c r="Q9" s="152">
        <f>SUM(Q7:Q8)</f>
        <v>0</v>
      </c>
      <c r="S9" s="441"/>
      <c r="T9" s="441"/>
      <c r="U9" s="441"/>
      <c r="V9" s="441"/>
      <c r="W9" s="441"/>
    </row>
    <row r="10" spans="1:42" s="272" customFormat="1" ht="100.5" customHeight="1">
      <c r="A10" s="155">
        <v>35</v>
      </c>
      <c r="B10" s="270" t="s">
        <v>354</v>
      </c>
      <c r="C10" s="156">
        <v>132</v>
      </c>
      <c r="D10" s="444">
        <v>132</v>
      </c>
      <c r="E10" s="156">
        <f t="shared" ref="E10" si="2">C10-D10</f>
        <v>0</v>
      </c>
      <c r="F10" s="268"/>
      <c r="G10" s="158" t="s">
        <v>83</v>
      </c>
      <c r="H10" s="151">
        <f>+J10*40</f>
        <v>80</v>
      </c>
      <c r="I10" s="152">
        <f>SUM(I8:I9)</f>
        <v>264</v>
      </c>
      <c r="J10" s="156">
        <f>SUM(J8:J9)</f>
        <v>2</v>
      </c>
      <c r="K10" s="152">
        <f>SUM(K8:K9)</f>
        <v>262</v>
      </c>
      <c r="L10" s="440"/>
      <c r="M10" s="625" t="s">
        <v>84</v>
      </c>
      <c r="N10" s="626"/>
      <c r="O10" s="622">
        <f>+N9/6</f>
        <v>1760</v>
      </c>
      <c r="P10" s="623"/>
      <c r="Q10" s="624"/>
      <c r="S10" s="441"/>
      <c r="T10" s="441"/>
      <c r="U10" s="441"/>
      <c r="V10" s="441"/>
      <c r="W10" s="441"/>
    </row>
    <row r="11" spans="1:42" s="272" customFormat="1" ht="63" customHeight="1">
      <c r="A11" s="155">
        <v>34</v>
      </c>
      <c r="B11" s="270" t="s">
        <v>354</v>
      </c>
      <c r="C11" s="156">
        <v>132</v>
      </c>
      <c r="D11" s="444">
        <v>132</v>
      </c>
      <c r="E11" s="156">
        <f t="shared" si="1"/>
        <v>0</v>
      </c>
      <c r="F11" s="445"/>
      <c r="G11" s="625" t="s">
        <v>84</v>
      </c>
      <c r="H11" s="626"/>
      <c r="I11" s="622">
        <f>+H10/6</f>
        <v>13.333333333333334</v>
      </c>
      <c r="J11" s="623"/>
      <c r="K11" s="624"/>
      <c r="L11" s="446"/>
      <c r="M11" s="273">
        <v>56</v>
      </c>
      <c r="N11" s="367" t="s">
        <v>364</v>
      </c>
      <c r="O11" s="367">
        <v>132</v>
      </c>
      <c r="P11" s="367">
        <v>132</v>
      </c>
      <c r="Q11" s="475">
        <f>O11-P11</f>
        <v>0</v>
      </c>
      <c r="S11" s="441"/>
      <c r="T11" s="441"/>
      <c r="U11" s="441"/>
      <c r="V11" s="441"/>
      <c r="W11" s="441"/>
    </row>
    <row r="12" spans="1:42" s="272" customFormat="1" ht="53.25" customHeight="1">
      <c r="A12" s="155">
        <v>33</v>
      </c>
      <c r="B12" s="270" t="s">
        <v>358</v>
      </c>
      <c r="C12" s="156">
        <v>132</v>
      </c>
      <c r="D12" s="156">
        <v>132</v>
      </c>
      <c r="E12" s="156">
        <f t="shared" si="1"/>
        <v>0</v>
      </c>
      <c r="F12" s="445"/>
      <c r="G12" s="157">
        <v>45</v>
      </c>
      <c r="H12" s="270" t="s">
        <v>360</v>
      </c>
      <c r="I12" s="156">
        <v>132</v>
      </c>
      <c r="J12" s="156">
        <v>132</v>
      </c>
      <c r="K12" s="500">
        <f>+(I12-J12)</f>
        <v>0</v>
      </c>
      <c r="L12" s="446"/>
      <c r="M12" s="273">
        <v>55</v>
      </c>
      <c r="N12" s="367" t="s">
        <v>364</v>
      </c>
      <c r="O12" s="367">
        <v>132</v>
      </c>
      <c r="P12" s="367">
        <v>132</v>
      </c>
      <c r="Q12" s="475">
        <f>O12-P12</f>
        <v>0</v>
      </c>
      <c r="S12" s="447"/>
      <c r="T12" s="447"/>
      <c r="U12" s="448"/>
      <c r="V12" s="448"/>
      <c r="W12" s="448"/>
    </row>
    <row r="13" spans="1:42" s="450" customFormat="1" ht="56.25" customHeight="1">
      <c r="A13" s="155">
        <v>32</v>
      </c>
      <c r="B13" s="270" t="s">
        <v>354</v>
      </c>
      <c r="C13" s="156">
        <v>132</v>
      </c>
      <c r="D13" s="156">
        <v>132</v>
      </c>
      <c r="E13" s="156">
        <f t="shared" si="1"/>
        <v>0</v>
      </c>
      <c r="F13" s="445"/>
      <c r="G13" s="157">
        <v>44</v>
      </c>
      <c r="H13" s="270" t="s">
        <v>360</v>
      </c>
      <c r="I13" s="156">
        <v>132</v>
      </c>
      <c r="J13" s="156">
        <v>132</v>
      </c>
      <c r="K13" s="439">
        <f>+(I13-J13)</f>
        <v>0</v>
      </c>
      <c r="L13" s="440"/>
      <c r="M13" s="273">
        <v>54</v>
      </c>
      <c r="N13" s="367" t="s">
        <v>364</v>
      </c>
      <c r="O13" s="367">
        <v>132</v>
      </c>
      <c r="P13" s="367">
        <v>132</v>
      </c>
      <c r="Q13" s="475">
        <f>O13-P13</f>
        <v>0</v>
      </c>
      <c r="R13" s="272"/>
      <c r="S13" s="627"/>
      <c r="T13" s="627"/>
      <c r="U13" s="449"/>
      <c r="V13" s="628"/>
      <c r="W13" s="628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</row>
    <row r="14" spans="1:42" s="272" customFormat="1" ht="50.25" customHeight="1">
      <c r="A14" s="155">
        <v>31</v>
      </c>
      <c r="B14" s="270" t="s">
        <v>354</v>
      </c>
      <c r="C14" s="156">
        <v>132</v>
      </c>
      <c r="D14" s="156">
        <v>132</v>
      </c>
      <c r="E14" s="156">
        <f t="shared" si="1"/>
        <v>0</v>
      </c>
      <c r="F14" s="268"/>
      <c r="G14" s="157">
        <v>43</v>
      </c>
      <c r="H14" s="270" t="s">
        <v>360</v>
      </c>
      <c r="I14" s="156">
        <v>132</v>
      </c>
      <c r="J14" s="311">
        <v>132</v>
      </c>
      <c r="K14" s="439">
        <f>+(I14-J14)</f>
        <v>0</v>
      </c>
      <c r="L14" s="451"/>
      <c r="M14" s="522" t="s">
        <v>83</v>
      </c>
      <c r="N14" s="151">
        <f>+P14*40</f>
        <v>15840</v>
      </c>
      <c r="O14" s="152">
        <f>SUM(O11:O13)</f>
        <v>396</v>
      </c>
      <c r="P14" s="152">
        <f>SUM(P11:P13)</f>
        <v>396</v>
      </c>
      <c r="Q14" s="580">
        <f>SUM(Q11:Q13)</f>
        <v>0</v>
      </c>
    </row>
    <row r="15" spans="1:42" ht="101.25" customHeight="1">
      <c r="A15" s="158" t="s">
        <v>83</v>
      </c>
      <c r="B15" s="151">
        <f>+D15*40</f>
        <v>26400</v>
      </c>
      <c r="C15" s="152">
        <f>SUM(C10:C14)</f>
        <v>660</v>
      </c>
      <c r="D15" s="156">
        <f>SUM(D10:D14)</f>
        <v>660</v>
      </c>
      <c r="E15" s="152">
        <f>SUM(E10:E14)</f>
        <v>0</v>
      </c>
      <c r="F15" s="442"/>
      <c r="G15" s="157">
        <v>42</v>
      </c>
      <c r="H15" s="270" t="s">
        <v>360</v>
      </c>
      <c r="I15" s="156">
        <v>132</v>
      </c>
      <c r="J15" s="271">
        <v>132</v>
      </c>
      <c r="K15" s="500">
        <f>+(I15-J15)</f>
        <v>0</v>
      </c>
      <c r="L15" s="451"/>
      <c r="M15" s="625" t="s">
        <v>84</v>
      </c>
      <c r="N15" s="626"/>
      <c r="O15" s="622">
        <f>+N14/6</f>
        <v>2640</v>
      </c>
      <c r="P15" s="623"/>
      <c r="Q15" s="624"/>
    </row>
    <row r="16" spans="1:42" ht="51.75" customHeight="1">
      <c r="A16" s="625" t="s">
        <v>84</v>
      </c>
      <c r="B16" s="626"/>
      <c r="C16" s="622">
        <f>+B15/6</f>
        <v>4400</v>
      </c>
      <c r="D16" s="623"/>
      <c r="E16" s="624"/>
      <c r="F16" s="452"/>
      <c r="G16" s="157">
        <v>41</v>
      </c>
      <c r="H16" s="270" t="s">
        <v>360</v>
      </c>
      <c r="I16" s="156">
        <v>132</v>
      </c>
      <c r="J16" s="271">
        <v>27</v>
      </c>
      <c r="K16" s="500">
        <f>+(I16-J16)</f>
        <v>105</v>
      </c>
      <c r="L16" s="443"/>
      <c r="M16" s="273">
        <v>53</v>
      </c>
      <c r="N16" s="367" t="s">
        <v>363</v>
      </c>
      <c r="O16" s="367">
        <v>132</v>
      </c>
      <c r="P16" s="367">
        <v>132</v>
      </c>
      <c r="Q16" s="475">
        <f>O16-P16</f>
        <v>0</v>
      </c>
    </row>
    <row r="17" spans="1:17" ht="94.5" customHeight="1">
      <c r="A17" s="453"/>
      <c r="B17" s="454"/>
      <c r="C17" s="454"/>
      <c r="D17" s="455"/>
      <c r="E17" s="456"/>
      <c r="F17" s="442"/>
      <c r="G17" s="158" t="s">
        <v>83</v>
      </c>
      <c r="H17" s="151">
        <f>+J17*40</f>
        <v>22200</v>
      </c>
      <c r="I17" s="152">
        <f>SUM(I12:I16)</f>
        <v>660</v>
      </c>
      <c r="J17" s="156">
        <f>SUM(J12:J16)</f>
        <v>555</v>
      </c>
      <c r="K17" s="152">
        <f>SUM(K12:K16)</f>
        <v>105</v>
      </c>
      <c r="L17" s="443"/>
      <c r="M17" s="273">
        <v>52</v>
      </c>
      <c r="N17" s="367" t="s">
        <v>363</v>
      </c>
      <c r="O17" s="367">
        <v>132</v>
      </c>
      <c r="P17" s="367">
        <v>132</v>
      </c>
      <c r="Q17" s="475">
        <f>O17-P17</f>
        <v>0</v>
      </c>
    </row>
    <row r="18" spans="1:17" ht="78" customHeight="1" thickBot="1">
      <c r="A18" s="457"/>
      <c r="B18" s="454"/>
      <c r="C18" s="458"/>
      <c r="D18" s="454"/>
      <c r="E18" s="454"/>
      <c r="F18" s="459"/>
      <c r="G18" s="625" t="s">
        <v>84</v>
      </c>
      <c r="H18" s="626"/>
      <c r="I18" s="622">
        <f>+H17/6</f>
        <v>3700</v>
      </c>
      <c r="J18" s="623"/>
      <c r="K18" s="624"/>
      <c r="L18" s="443"/>
      <c r="M18" s="273">
        <v>51</v>
      </c>
      <c r="N18" s="367" t="s">
        <v>363</v>
      </c>
      <c r="O18" s="367">
        <v>132</v>
      </c>
      <c r="P18" s="367">
        <v>132</v>
      </c>
      <c r="Q18" s="475">
        <f>O18-P18</f>
        <v>0</v>
      </c>
    </row>
    <row r="19" spans="1:17" ht="49.5" customHeight="1">
      <c r="A19" s="460"/>
      <c r="E19" s="154"/>
      <c r="F19" s="460"/>
      <c r="K19" s="154"/>
      <c r="L19" s="461"/>
      <c r="M19" s="522" t="s">
        <v>83</v>
      </c>
      <c r="N19" s="151">
        <f>+P19*40</f>
        <v>15840</v>
      </c>
      <c r="O19" s="152">
        <f>SUM(O16:O18)</f>
        <v>396</v>
      </c>
      <c r="P19" s="152">
        <f>SUM(P16:P18)</f>
        <v>396</v>
      </c>
      <c r="Q19" s="580">
        <f>SUM(Q16:Q18)</f>
        <v>0</v>
      </c>
    </row>
    <row r="20" spans="1:17" ht="41.25" customHeight="1">
      <c r="A20" s="460"/>
      <c r="E20" s="154"/>
      <c r="F20" s="460"/>
      <c r="K20" s="154"/>
      <c r="L20" s="461"/>
      <c r="M20" s="625" t="s">
        <v>84</v>
      </c>
      <c r="N20" s="626"/>
      <c r="O20" s="622">
        <f>+N19/6</f>
        <v>2640</v>
      </c>
      <c r="P20" s="623"/>
      <c r="Q20" s="624"/>
    </row>
    <row r="21" spans="1:17" ht="36.75" customHeight="1">
      <c r="A21" s="460"/>
      <c r="E21" s="154"/>
      <c r="F21" s="460"/>
      <c r="K21" s="154"/>
      <c r="L21" s="269"/>
    </row>
    <row r="22" spans="1:17" ht="24.95" customHeight="1">
      <c r="A22" s="460"/>
      <c r="E22" s="154"/>
      <c r="F22" s="460"/>
      <c r="K22" s="154"/>
      <c r="L22" s="269"/>
    </row>
    <row r="23" spans="1:17" ht="24.95" customHeight="1">
      <c r="A23" s="460"/>
      <c r="E23" s="154"/>
      <c r="F23" s="460"/>
      <c r="K23" s="154"/>
      <c r="L23" s="269"/>
    </row>
    <row r="24" spans="1:17" ht="24.95" customHeight="1">
      <c r="A24" s="460"/>
      <c r="E24" s="154"/>
      <c r="F24" s="460"/>
      <c r="K24" s="154"/>
      <c r="L24" s="269"/>
    </row>
    <row r="25" spans="1:17" ht="24.95" customHeight="1">
      <c r="A25" s="460"/>
      <c r="E25" s="154"/>
      <c r="F25" s="460"/>
      <c r="K25" s="154"/>
      <c r="L25" s="269"/>
    </row>
    <row r="26" spans="1:17" ht="24.95" customHeight="1">
      <c r="A26" s="460"/>
      <c r="E26" s="154"/>
      <c r="F26" s="460"/>
      <c r="K26" s="154"/>
      <c r="L26" s="269"/>
    </row>
    <row r="27" spans="1:17" ht="24.95" customHeight="1">
      <c r="A27" s="460"/>
      <c r="E27" s="154"/>
      <c r="F27" s="460"/>
      <c r="K27" s="154"/>
      <c r="L27" s="269"/>
    </row>
    <row r="28" spans="1:17" ht="24.95" customHeight="1">
      <c r="A28" s="460"/>
      <c r="E28" s="154"/>
      <c r="F28" s="460"/>
      <c r="K28" s="154"/>
      <c r="L28" s="269"/>
    </row>
    <row r="29" spans="1:17" ht="24.95" customHeight="1">
      <c r="A29" s="460"/>
      <c r="E29" s="154"/>
      <c r="F29" s="460"/>
      <c r="K29" s="154"/>
      <c r="L29" s="269"/>
    </row>
    <row r="30" spans="1:17" ht="24.95" customHeight="1">
      <c r="A30" s="460"/>
      <c r="E30" s="154"/>
      <c r="F30" s="460"/>
      <c r="K30" s="154"/>
      <c r="L30" s="269"/>
    </row>
    <row r="31" spans="1:17" ht="24.95" customHeight="1">
      <c r="A31" s="460"/>
      <c r="E31" s="154"/>
      <c r="F31" s="460"/>
      <c r="K31" s="154"/>
      <c r="L31" s="269"/>
    </row>
    <row r="32" spans="1:17" ht="24.95" customHeight="1">
      <c r="A32" s="460"/>
      <c r="E32" s="154"/>
      <c r="F32" s="460"/>
      <c r="K32" s="154"/>
      <c r="L32" s="269"/>
    </row>
    <row r="33" spans="1:12" ht="24.95" customHeight="1">
      <c r="A33" s="460"/>
      <c r="E33" s="154"/>
      <c r="F33" s="460"/>
      <c r="K33" s="154"/>
      <c r="L33" s="269"/>
    </row>
    <row r="34" spans="1:12" ht="24.95" customHeight="1">
      <c r="A34" s="460"/>
      <c r="E34" s="154"/>
      <c r="F34" s="460"/>
      <c r="K34" s="154"/>
      <c r="L34" s="269"/>
    </row>
    <row r="35" spans="1:12" ht="24.95" customHeight="1">
      <c r="A35" s="460"/>
      <c r="E35" s="154"/>
      <c r="F35" s="460"/>
      <c r="K35" s="154"/>
      <c r="L35" s="269"/>
    </row>
    <row r="36" spans="1:12" ht="24.95" customHeight="1">
      <c r="A36" s="460"/>
      <c r="E36" s="154"/>
      <c r="F36" s="460"/>
      <c r="K36" s="154"/>
      <c r="L36" s="269"/>
    </row>
    <row r="37" spans="1:12" ht="24.95" customHeight="1">
      <c r="A37" s="460"/>
      <c r="E37" s="154"/>
      <c r="F37" s="460"/>
      <c r="K37" s="154"/>
      <c r="L37" s="269"/>
    </row>
    <row r="38" spans="1:12" ht="24.95" customHeight="1">
      <c r="A38" s="460"/>
      <c r="E38" s="154"/>
      <c r="F38" s="460"/>
      <c r="K38" s="154"/>
      <c r="L38" s="269"/>
    </row>
    <row r="39" spans="1:12" ht="24.95" customHeight="1">
      <c r="A39" s="460"/>
      <c r="E39" s="154"/>
      <c r="F39" s="460"/>
      <c r="K39" s="154"/>
      <c r="L39" s="269"/>
    </row>
    <row r="40" spans="1:12" ht="24.95" customHeight="1">
      <c r="A40" s="460"/>
      <c r="E40" s="154"/>
      <c r="F40" s="460"/>
      <c r="K40" s="154"/>
      <c r="L40" s="269"/>
    </row>
    <row r="41" spans="1:12" ht="24.95" customHeight="1">
      <c r="A41" s="460"/>
      <c r="E41" s="154"/>
      <c r="F41" s="460"/>
      <c r="K41" s="154"/>
      <c r="L41" s="269"/>
    </row>
    <row r="42" spans="1:12" ht="24.95" customHeight="1">
      <c r="A42" s="460"/>
      <c r="E42" s="154"/>
      <c r="F42" s="460"/>
      <c r="K42" s="154"/>
      <c r="L42" s="269"/>
    </row>
    <row r="43" spans="1:12" ht="24.95" customHeight="1">
      <c r="A43" s="460"/>
      <c r="E43" s="154"/>
      <c r="F43" s="460"/>
      <c r="K43" s="154"/>
      <c r="L43" s="269"/>
    </row>
    <row r="44" spans="1:12" ht="24.95" customHeight="1">
      <c r="A44" s="460"/>
      <c r="E44" s="154"/>
      <c r="F44" s="460"/>
      <c r="K44" s="154"/>
      <c r="L44" s="269"/>
    </row>
    <row r="45" spans="1:12" ht="24.95" customHeight="1">
      <c r="A45" s="460"/>
      <c r="E45" s="154"/>
      <c r="F45" s="460"/>
      <c r="K45" s="154"/>
      <c r="L45" s="269"/>
    </row>
    <row r="46" spans="1:12" ht="24.95" customHeight="1">
      <c r="A46" s="460"/>
      <c r="E46" s="154"/>
      <c r="F46" s="460"/>
      <c r="K46" s="154"/>
      <c r="L46" s="269"/>
    </row>
    <row r="47" spans="1:12" ht="24.95" customHeight="1">
      <c r="A47" s="460"/>
      <c r="E47" s="154"/>
      <c r="F47" s="460"/>
      <c r="K47" s="154"/>
      <c r="L47" s="269"/>
    </row>
    <row r="48" spans="1:12" ht="24.95" customHeight="1">
      <c r="A48" s="460"/>
      <c r="E48" s="154"/>
      <c r="F48" s="460"/>
      <c r="K48" s="154"/>
      <c r="L48" s="269"/>
    </row>
    <row r="49" spans="1:12" ht="24.95" customHeight="1">
      <c r="A49" s="460"/>
      <c r="E49" s="154"/>
      <c r="F49" s="460"/>
      <c r="K49" s="154"/>
      <c r="L49" s="269"/>
    </row>
    <row r="50" spans="1:12" ht="24.95" customHeight="1">
      <c r="A50" s="460"/>
      <c r="E50" s="154"/>
      <c r="F50" s="460"/>
      <c r="K50" s="154"/>
      <c r="L50" s="269"/>
    </row>
    <row r="51" spans="1:12" ht="24.95" customHeight="1">
      <c r="A51" s="460"/>
      <c r="E51" s="154"/>
      <c r="F51" s="460"/>
      <c r="K51" s="154"/>
      <c r="L51" s="269"/>
    </row>
    <row r="52" spans="1:12" ht="24.95" customHeight="1">
      <c r="A52" s="460"/>
      <c r="E52" s="154"/>
      <c r="F52" s="460"/>
      <c r="K52" s="154"/>
      <c r="L52" s="269"/>
    </row>
    <row r="53" spans="1:12" ht="24.95" customHeight="1">
      <c r="A53" s="460"/>
      <c r="E53" s="154"/>
      <c r="F53" s="460"/>
      <c r="K53" s="154"/>
      <c r="L53" s="269"/>
    </row>
    <row r="54" spans="1:12" ht="24.95" customHeight="1">
      <c r="A54" s="460"/>
      <c r="E54" s="154"/>
      <c r="F54" s="460"/>
      <c r="K54" s="154"/>
      <c r="L54" s="269"/>
    </row>
    <row r="55" spans="1:12" ht="24.95" customHeight="1">
      <c r="A55" s="460"/>
      <c r="E55" s="154"/>
      <c r="F55" s="460"/>
      <c r="K55" s="154"/>
      <c r="L55" s="269"/>
    </row>
    <row r="56" spans="1:12" ht="24.95" customHeight="1">
      <c r="A56" s="460"/>
      <c r="E56" s="154"/>
      <c r="F56" s="460"/>
      <c r="K56" s="154"/>
      <c r="L56" s="269"/>
    </row>
    <row r="57" spans="1:12" ht="24.95" customHeight="1">
      <c r="A57" s="460"/>
      <c r="E57" s="154"/>
      <c r="F57" s="460"/>
      <c r="K57" s="154"/>
      <c r="L57" s="269"/>
    </row>
    <row r="58" spans="1:12" ht="24.95" customHeight="1">
      <c r="A58" s="460"/>
      <c r="E58" s="154"/>
      <c r="F58" s="460"/>
      <c r="K58" s="154"/>
      <c r="L58" s="269"/>
    </row>
    <row r="59" spans="1:12" ht="24.95" customHeight="1">
      <c r="A59" s="460"/>
      <c r="E59" s="154"/>
      <c r="F59" s="460"/>
      <c r="K59" s="154"/>
      <c r="L59" s="269"/>
    </row>
    <row r="60" spans="1:12" ht="24.95" customHeight="1">
      <c r="A60" s="460"/>
      <c r="E60" s="154"/>
      <c r="F60" s="460"/>
      <c r="K60" s="154"/>
      <c r="L60" s="269"/>
    </row>
    <row r="61" spans="1:12" ht="24.95" customHeight="1">
      <c r="A61" s="460"/>
      <c r="E61" s="154"/>
      <c r="F61" s="460"/>
      <c r="K61" s="154"/>
      <c r="L61" s="269"/>
    </row>
    <row r="62" spans="1:12" ht="24.95" customHeight="1">
      <c r="A62" s="460"/>
      <c r="E62" s="154"/>
      <c r="F62" s="460"/>
      <c r="K62" s="154"/>
      <c r="L62" s="269"/>
    </row>
    <row r="63" spans="1:12" ht="24.95" customHeight="1">
      <c r="A63" s="460"/>
      <c r="E63" s="154"/>
      <c r="F63" s="460"/>
      <c r="K63" s="154"/>
      <c r="L63" s="269"/>
    </row>
    <row r="64" spans="1:12" ht="24.95" customHeight="1">
      <c r="A64" s="460"/>
      <c r="E64" s="154"/>
      <c r="F64" s="460"/>
      <c r="K64" s="154"/>
      <c r="L64" s="269"/>
    </row>
    <row r="65" spans="1:12" ht="24.95" customHeight="1">
      <c r="A65" s="460"/>
      <c r="E65" s="154"/>
      <c r="F65" s="460"/>
      <c r="K65" s="154"/>
      <c r="L65" s="269"/>
    </row>
    <row r="66" spans="1:12" ht="24.95" customHeight="1">
      <c r="A66" s="460"/>
      <c r="E66" s="154"/>
      <c r="F66" s="460"/>
      <c r="K66" s="154"/>
      <c r="L66" s="269"/>
    </row>
    <row r="67" spans="1:12" ht="24.95" customHeight="1">
      <c r="A67" s="460"/>
      <c r="E67" s="154"/>
      <c r="F67" s="460"/>
      <c r="K67" s="154"/>
      <c r="L67" s="269"/>
    </row>
    <row r="68" spans="1:12" ht="24.95" customHeight="1">
      <c r="A68" s="460"/>
      <c r="E68" s="154"/>
      <c r="F68" s="460"/>
      <c r="K68" s="154"/>
      <c r="L68" s="269"/>
    </row>
    <row r="69" spans="1:12" ht="24.95" customHeight="1">
      <c r="A69" s="460"/>
      <c r="E69" s="154"/>
      <c r="F69" s="460"/>
      <c r="K69" s="154"/>
      <c r="L69" s="269"/>
    </row>
    <row r="70" spans="1:12" ht="24.95" customHeight="1">
      <c r="A70" s="460"/>
      <c r="E70" s="154"/>
      <c r="F70" s="460"/>
      <c r="K70" s="154"/>
      <c r="L70" s="269"/>
    </row>
    <row r="71" spans="1:12" ht="24.95" customHeight="1">
      <c r="A71" s="460"/>
      <c r="E71" s="154"/>
      <c r="F71" s="460"/>
      <c r="K71" s="154"/>
      <c r="L71" s="269"/>
    </row>
    <row r="72" spans="1:12" ht="24.95" customHeight="1">
      <c r="A72" s="460"/>
      <c r="E72" s="154"/>
      <c r="F72" s="460"/>
      <c r="K72" s="154"/>
      <c r="L72" s="269"/>
    </row>
    <row r="73" spans="1:12" ht="24.95" customHeight="1">
      <c r="A73" s="460"/>
      <c r="E73" s="154"/>
      <c r="F73" s="460"/>
      <c r="K73" s="154"/>
      <c r="L73" s="269"/>
    </row>
    <row r="74" spans="1:12" ht="24.95" customHeight="1">
      <c r="A74" s="460"/>
      <c r="E74" s="154"/>
      <c r="F74" s="460"/>
      <c r="K74" s="154"/>
      <c r="L74" s="269"/>
    </row>
    <row r="75" spans="1:12" ht="24.95" customHeight="1">
      <c r="A75" s="460"/>
      <c r="E75" s="154"/>
      <c r="F75" s="460"/>
      <c r="K75" s="154"/>
      <c r="L75" s="269"/>
    </row>
    <row r="76" spans="1:12" ht="24.95" customHeight="1">
      <c r="A76" s="460"/>
      <c r="E76" s="154"/>
      <c r="F76" s="460"/>
      <c r="K76" s="154"/>
      <c r="L76" s="269"/>
    </row>
    <row r="77" spans="1:12" ht="24.95" customHeight="1">
      <c r="A77" s="460"/>
      <c r="E77" s="154"/>
      <c r="F77" s="460"/>
      <c r="K77" s="154"/>
      <c r="L77" s="269"/>
    </row>
    <row r="78" spans="1:12" ht="24.95" customHeight="1">
      <c r="A78" s="460"/>
      <c r="E78" s="154"/>
      <c r="F78" s="460"/>
      <c r="K78" s="154"/>
      <c r="L78" s="269"/>
    </row>
    <row r="79" spans="1:12" ht="24.95" customHeight="1">
      <c r="A79" s="460"/>
      <c r="E79" s="154"/>
      <c r="F79" s="460"/>
      <c r="K79" s="154"/>
      <c r="L79" s="269"/>
    </row>
    <row r="80" spans="1:12" ht="24.95" customHeight="1">
      <c r="A80" s="460"/>
      <c r="E80" s="154"/>
      <c r="F80" s="460"/>
      <c r="K80" s="154"/>
      <c r="L80" s="269"/>
    </row>
    <row r="81" spans="1:12" ht="24.95" customHeight="1">
      <c r="A81" s="460"/>
      <c r="E81" s="154"/>
      <c r="F81" s="460"/>
      <c r="K81" s="154"/>
      <c r="L81" s="269"/>
    </row>
    <row r="82" spans="1:12" ht="24.95" customHeight="1">
      <c r="A82" s="460"/>
      <c r="E82" s="154"/>
      <c r="F82" s="460"/>
      <c r="K82" s="154"/>
      <c r="L82" s="269"/>
    </row>
    <row r="83" spans="1:12" ht="24.95" customHeight="1">
      <c r="A83" s="460"/>
      <c r="E83" s="154"/>
      <c r="F83" s="460"/>
      <c r="K83" s="154"/>
      <c r="L83" s="269"/>
    </row>
    <row r="84" spans="1:12" ht="24.95" customHeight="1">
      <c r="A84" s="460"/>
      <c r="E84" s="154"/>
      <c r="F84" s="460"/>
      <c r="K84" s="154"/>
      <c r="L84" s="269"/>
    </row>
    <row r="85" spans="1:12" ht="24.95" customHeight="1">
      <c r="A85" s="460"/>
      <c r="E85" s="154"/>
      <c r="F85" s="460"/>
      <c r="K85" s="154"/>
      <c r="L85" s="269"/>
    </row>
    <row r="86" spans="1:12" ht="24.95" customHeight="1">
      <c r="A86" s="460"/>
      <c r="E86" s="154"/>
      <c r="F86" s="460"/>
      <c r="K86" s="154"/>
      <c r="L86" s="269"/>
    </row>
    <row r="87" spans="1:12" ht="24.95" customHeight="1">
      <c r="A87" s="460"/>
      <c r="E87" s="154"/>
      <c r="F87" s="460"/>
      <c r="K87" s="154"/>
      <c r="L87" s="269"/>
    </row>
    <row r="88" spans="1:12" ht="24.95" customHeight="1">
      <c r="A88" s="460"/>
      <c r="E88" s="154"/>
      <c r="F88" s="460"/>
      <c r="K88" s="154"/>
      <c r="L88" s="269"/>
    </row>
    <row r="89" spans="1:12" ht="24.95" customHeight="1">
      <c r="A89" s="460"/>
      <c r="E89" s="154"/>
      <c r="F89" s="460"/>
      <c r="K89" s="154"/>
      <c r="L89" s="269"/>
    </row>
    <row r="90" spans="1:12" ht="24.95" customHeight="1">
      <c r="A90" s="460"/>
      <c r="E90" s="154"/>
      <c r="F90" s="460"/>
      <c r="K90" s="154"/>
      <c r="L90" s="269"/>
    </row>
    <row r="91" spans="1:12" ht="24.95" customHeight="1">
      <c r="A91" s="460"/>
      <c r="E91" s="154"/>
      <c r="F91" s="460"/>
      <c r="K91" s="154"/>
      <c r="L91" s="269"/>
    </row>
    <row r="92" spans="1:12" ht="24.95" customHeight="1">
      <c r="A92" s="460"/>
      <c r="E92" s="154"/>
      <c r="F92" s="460"/>
      <c r="K92" s="154"/>
      <c r="L92" s="269"/>
    </row>
    <row r="93" spans="1:12" ht="24.95" customHeight="1">
      <c r="A93" s="460"/>
      <c r="E93" s="154"/>
      <c r="F93" s="460"/>
      <c r="K93" s="154"/>
      <c r="L93" s="269"/>
    </row>
    <row r="94" spans="1:12" ht="24.95" customHeight="1">
      <c r="A94" s="460"/>
      <c r="E94" s="154"/>
      <c r="F94" s="460"/>
      <c r="K94" s="154"/>
      <c r="L94" s="269"/>
    </row>
    <row r="95" spans="1:12" ht="24.95" customHeight="1">
      <c r="A95" s="460"/>
      <c r="E95" s="154"/>
      <c r="F95" s="460"/>
      <c r="K95" s="154"/>
      <c r="L95" s="269"/>
    </row>
    <row r="96" spans="1:12" ht="24.95" customHeight="1">
      <c r="A96" s="460"/>
      <c r="E96" s="154"/>
      <c r="F96" s="460"/>
      <c r="K96" s="154"/>
      <c r="L96" s="269"/>
    </row>
    <row r="97" spans="1:12" ht="24.95" customHeight="1">
      <c r="A97" s="460"/>
      <c r="E97" s="154"/>
      <c r="F97" s="460"/>
      <c r="K97" s="154"/>
      <c r="L97" s="269"/>
    </row>
    <row r="98" spans="1:12" ht="24.95" customHeight="1">
      <c r="A98" s="460"/>
      <c r="E98" s="154"/>
      <c r="F98" s="460"/>
      <c r="K98" s="154"/>
      <c r="L98" s="269"/>
    </row>
    <row r="99" spans="1:12" ht="24.95" customHeight="1">
      <c r="A99" s="460"/>
      <c r="E99" s="154"/>
      <c r="F99" s="460"/>
      <c r="K99" s="154"/>
      <c r="L99" s="269"/>
    </row>
    <row r="100" spans="1:12" ht="24.95" customHeight="1">
      <c r="A100" s="460"/>
      <c r="E100" s="154"/>
      <c r="F100" s="460"/>
      <c r="K100" s="154"/>
      <c r="L100" s="269"/>
    </row>
    <row r="101" spans="1:12" ht="24.95" customHeight="1">
      <c r="A101" s="460"/>
      <c r="E101" s="154"/>
      <c r="F101" s="460"/>
      <c r="K101" s="154"/>
      <c r="L101" s="269"/>
    </row>
    <row r="102" spans="1:12" ht="24.95" customHeight="1">
      <c r="A102" s="460"/>
      <c r="E102" s="154"/>
      <c r="F102" s="460"/>
      <c r="K102" s="154"/>
      <c r="L102" s="269"/>
    </row>
    <row r="103" spans="1:12" ht="24.95" customHeight="1">
      <c r="A103" s="460"/>
      <c r="E103" s="154"/>
      <c r="F103" s="460"/>
      <c r="K103" s="154"/>
      <c r="L103" s="269"/>
    </row>
    <row r="104" spans="1:12" ht="24.95" customHeight="1">
      <c r="A104" s="460"/>
      <c r="E104" s="154"/>
      <c r="F104" s="460"/>
      <c r="K104" s="154"/>
      <c r="L104" s="269"/>
    </row>
    <row r="105" spans="1:12" ht="24.95" customHeight="1">
      <c r="A105" s="460"/>
      <c r="E105" s="154"/>
      <c r="F105" s="460"/>
      <c r="K105" s="154"/>
      <c r="L105" s="269"/>
    </row>
    <row r="106" spans="1:12" ht="24.95" customHeight="1">
      <c r="A106" s="460"/>
      <c r="E106" s="154"/>
      <c r="F106" s="460"/>
      <c r="K106" s="154"/>
      <c r="L106" s="269"/>
    </row>
    <row r="107" spans="1:12" ht="24.95" customHeight="1">
      <c r="A107" s="460"/>
      <c r="E107" s="154"/>
      <c r="F107" s="460"/>
      <c r="K107" s="154"/>
      <c r="L107" s="269"/>
    </row>
    <row r="108" spans="1:12" ht="24.95" customHeight="1">
      <c r="A108" s="460"/>
      <c r="E108" s="154"/>
      <c r="F108" s="460"/>
      <c r="K108" s="154"/>
      <c r="L108" s="269"/>
    </row>
    <row r="109" spans="1:12" ht="24.95" customHeight="1">
      <c r="A109" s="460"/>
      <c r="E109" s="154"/>
      <c r="F109" s="460"/>
      <c r="K109" s="154"/>
      <c r="L109" s="269"/>
    </row>
    <row r="110" spans="1:12" ht="24.95" customHeight="1">
      <c r="A110" s="460"/>
      <c r="E110" s="154"/>
      <c r="F110" s="460"/>
      <c r="K110" s="154"/>
      <c r="L110" s="269"/>
    </row>
    <row r="111" spans="1:12" ht="24.95" customHeight="1">
      <c r="A111" s="460"/>
      <c r="E111" s="154"/>
      <c r="F111" s="460"/>
      <c r="K111" s="154"/>
      <c r="L111" s="269"/>
    </row>
    <row r="112" spans="1:12" ht="24.95" customHeight="1">
      <c r="A112" s="460"/>
      <c r="E112" s="154"/>
      <c r="F112" s="460"/>
      <c r="K112" s="154"/>
      <c r="L112" s="269"/>
    </row>
    <row r="113" spans="1:12" ht="24.95" customHeight="1">
      <c r="A113" s="460"/>
      <c r="E113" s="154"/>
      <c r="F113" s="460"/>
      <c r="K113" s="154"/>
      <c r="L113" s="269"/>
    </row>
    <row r="114" spans="1:12" ht="24.95" customHeight="1">
      <c r="A114" s="460"/>
      <c r="E114" s="154"/>
      <c r="F114" s="460"/>
      <c r="K114" s="154"/>
      <c r="L114" s="269"/>
    </row>
    <row r="115" spans="1:12" ht="24.95" customHeight="1">
      <c r="A115" s="460"/>
      <c r="E115" s="154"/>
      <c r="F115" s="460"/>
      <c r="K115" s="154"/>
      <c r="L115" s="269"/>
    </row>
    <row r="116" spans="1:12" ht="24.95" customHeight="1">
      <c r="A116" s="460"/>
      <c r="E116" s="154"/>
      <c r="F116" s="460"/>
      <c r="K116" s="154"/>
      <c r="L116" s="269"/>
    </row>
    <row r="117" spans="1:12" ht="24.95" customHeight="1">
      <c r="A117" s="460"/>
      <c r="E117" s="154"/>
      <c r="F117" s="460"/>
      <c r="K117" s="154"/>
      <c r="L117" s="269"/>
    </row>
    <row r="118" spans="1:12" ht="24.95" customHeight="1">
      <c r="A118" s="460"/>
      <c r="E118" s="154"/>
      <c r="F118" s="460"/>
      <c r="K118" s="154"/>
      <c r="L118" s="269"/>
    </row>
    <row r="119" spans="1:12" ht="24.95" customHeight="1">
      <c r="A119" s="460"/>
      <c r="E119" s="154"/>
      <c r="F119" s="460"/>
      <c r="K119" s="154"/>
      <c r="L119" s="269"/>
    </row>
    <row r="120" spans="1:12" ht="24.95" customHeight="1">
      <c r="A120" s="460"/>
      <c r="E120" s="154"/>
      <c r="F120" s="460"/>
      <c r="K120" s="154"/>
      <c r="L120" s="269"/>
    </row>
    <row r="121" spans="1:12" ht="24.95" customHeight="1">
      <c r="A121" s="460"/>
      <c r="E121" s="154"/>
      <c r="F121" s="460"/>
      <c r="K121" s="154"/>
      <c r="L121" s="269"/>
    </row>
    <row r="122" spans="1:12" ht="24.95" customHeight="1">
      <c r="A122" s="460"/>
      <c r="E122" s="154"/>
      <c r="F122" s="460"/>
      <c r="K122" s="154"/>
      <c r="L122" s="269"/>
    </row>
    <row r="123" spans="1:12" ht="24.95" customHeight="1">
      <c r="A123" s="460"/>
      <c r="E123" s="154"/>
      <c r="F123" s="460"/>
      <c r="K123" s="154"/>
      <c r="L123" s="269"/>
    </row>
    <row r="124" spans="1:12" ht="24.95" customHeight="1">
      <c r="A124" s="460"/>
      <c r="E124" s="154"/>
      <c r="F124" s="460"/>
      <c r="K124" s="154"/>
      <c r="L124" s="269"/>
    </row>
    <row r="125" spans="1:12" ht="24.95" customHeight="1">
      <c r="A125" s="460"/>
      <c r="E125" s="154"/>
      <c r="F125" s="460"/>
      <c r="K125" s="154"/>
      <c r="L125" s="269"/>
    </row>
    <row r="126" spans="1:12" ht="24.95" customHeight="1">
      <c r="A126" s="460"/>
      <c r="E126" s="154"/>
      <c r="F126" s="460"/>
      <c r="K126" s="154"/>
      <c r="L126" s="269"/>
    </row>
    <row r="127" spans="1:12" ht="24.95" customHeight="1">
      <c r="A127" s="460"/>
      <c r="E127" s="154"/>
      <c r="F127" s="460"/>
      <c r="K127" s="154"/>
      <c r="L127" s="269"/>
    </row>
    <row r="128" spans="1:12" ht="24.95" customHeight="1">
      <c r="A128" s="460"/>
      <c r="E128" s="154"/>
      <c r="F128" s="460"/>
      <c r="K128" s="154"/>
      <c r="L128" s="269"/>
    </row>
    <row r="129" spans="1:12" ht="24.95" customHeight="1">
      <c r="A129" s="460"/>
      <c r="E129" s="154"/>
      <c r="F129" s="460"/>
      <c r="K129" s="154"/>
      <c r="L129" s="269"/>
    </row>
    <row r="130" spans="1:12" ht="24.95" customHeight="1">
      <c r="A130" s="460"/>
      <c r="E130" s="154"/>
      <c r="F130" s="460"/>
      <c r="K130" s="154"/>
      <c r="L130" s="269"/>
    </row>
    <row r="131" spans="1:12" ht="24.95" customHeight="1">
      <c r="A131" s="460"/>
      <c r="E131" s="154"/>
      <c r="F131" s="460"/>
      <c r="K131" s="154"/>
      <c r="L131" s="269"/>
    </row>
    <row r="132" spans="1:12" ht="24.95" customHeight="1">
      <c r="A132" s="460"/>
      <c r="E132" s="154"/>
      <c r="F132" s="460"/>
      <c r="K132" s="154"/>
      <c r="L132" s="269"/>
    </row>
    <row r="133" spans="1:12" ht="24.95" customHeight="1">
      <c r="A133" s="460"/>
      <c r="E133" s="154"/>
      <c r="F133" s="460"/>
      <c r="K133" s="154"/>
      <c r="L133" s="269"/>
    </row>
    <row r="134" spans="1:12" ht="24.95" customHeight="1">
      <c r="A134" s="460"/>
      <c r="E134" s="154"/>
      <c r="F134" s="460"/>
      <c r="K134" s="154"/>
      <c r="L134" s="269"/>
    </row>
    <row r="135" spans="1:12" ht="24.95" customHeight="1">
      <c r="A135" s="460"/>
      <c r="E135" s="154"/>
      <c r="F135" s="460"/>
      <c r="K135" s="154"/>
      <c r="L135" s="269"/>
    </row>
    <row r="136" spans="1:12" ht="24.95" customHeight="1">
      <c r="A136" s="460"/>
      <c r="E136" s="154"/>
      <c r="F136" s="460"/>
      <c r="K136" s="154"/>
      <c r="L136" s="269"/>
    </row>
    <row r="137" spans="1:12" ht="24.95" customHeight="1">
      <c r="A137" s="460"/>
      <c r="E137" s="154"/>
      <c r="F137" s="460"/>
      <c r="K137" s="154"/>
      <c r="L137" s="269"/>
    </row>
    <row r="138" spans="1:12" ht="24.95" customHeight="1">
      <c r="A138" s="460"/>
      <c r="E138" s="154"/>
      <c r="F138" s="460"/>
      <c r="K138" s="154"/>
      <c r="L138" s="269"/>
    </row>
    <row r="139" spans="1:12" ht="24.95" customHeight="1">
      <c r="A139" s="460"/>
      <c r="E139" s="154"/>
      <c r="F139" s="460"/>
      <c r="K139" s="154"/>
      <c r="L139" s="269"/>
    </row>
    <row r="140" spans="1:12" ht="24.95" customHeight="1">
      <c r="A140" s="460"/>
      <c r="E140" s="154"/>
      <c r="F140" s="460"/>
      <c r="K140" s="154"/>
      <c r="L140" s="269"/>
    </row>
    <row r="141" spans="1:12" ht="24.95" customHeight="1">
      <c r="A141" s="460"/>
      <c r="E141" s="154"/>
      <c r="F141" s="460"/>
      <c r="K141" s="154"/>
      <c r="L141" s="269"/>
    </row>
    <row r="142" spans="1:12" ht="24.95" customHeight="1">
      <c r="A142" s="460"/>
      <c r="E142" s="154"/>
      <c r="F142" s="460"/>
      <c r="K142" s="154"/>
      <c r="L142" s="269"/>
    </row>
    <row r="143" spans="1:12" ht="24.95" customHeight="1">
      <c r="A143" s="460"/>
      <c r="E143" s="154"/>
      <c r="F143" s="460"/>
      <c r="K143" s="154"/>
      <c r="L143" s="269"/>
    </row>
    <row r="144" spans="1:12" ht="24.95" customHeight="1">
      <c r="A144" s="460"/>
      <c r="E144" s="154"/>
      <c r="F144" s="460"/>
      <c r="K144" s="154"/>
      <c r="L144" s="269"/>
    </row>
    <row r="145" spans="1:12" ht="24.95" customHeight="1">
      <c r="A145" s="460"/>
      <c r="E145" s="154"/>
      <c r="F145" s="460"/>
      <c r="K145" s="154"/>
      <c r="L145" s="269"/>
    </row>
    <row r="146" spans="1:12" ht="24.95" customHeight="1">
      <c r="A146" s="460"/>
      <c r="E146" s="154"/>
      <c r="F146" s="460"/>
      <c r="K146" s="154"/>
      <c r="L146" s="269"/>
    </row>
    <row r="147" spans="1:12" ht="24.95" customHeight="1">
      <c r="A147" s="460"/>
      <c r="E147" s="154"/>
      <c r="F147" s="460"/>
      <c r="K147" s="154"/>
      <c r="L147" s="269"/>
    </row>
    <row r="148" spans="1:12" ht="24.95" customHeight="1">
      <c r="A148" s="460"/>
      <c r="E148" s="154"/>
      <c r="F148" s="460"/>
      <c r="K148" s="154"/>
      <c r="L148" s="269"/>
    </row>
    <row r="149" spans="1:12" ht="24.95" customHeight="1">
      <c r="A149" s="460"/>
      <c r="E149" s="154"/>
      <c r="F149" s="460"/>
      <c r="K149" s="154"/>
      <c r="L149" s="269"/>
    </row>
    <row r="150" spans="1:12" ht="24.95" customHeight="1">
      <c r="A150" s="460"/>
      <c r="E150" s="154"/>
      <c r="F150" s="460"/>
      <c r="K150" s="154"/>
      <c r="L150" s="269"/>
    </row>
    <row r="151" spans="1:12" ht="24.95" customHeight="1">
      <c r="A151" s="460"/>
      <c r="E151" s="154"/>
      <c r="F151" s="460"/>
      <c r="K151" s="154"/>
      <c r="L151" s="269"/>
    </row>
    <row r="152" spans="1:12" ht="24.95" customHeight="1">
      <c r="A152" s="460"/>
      <c r="E152" s="154"/>
      <c r="F152" s="460"/>
      <c r="K152" s="154"/>
      <c r="L152" s="269"/>
    </row>
    <row r="153" spans="1:12" ht="24.95" customHeight="1">
      <c r="A153" s="460"/>
      <c r="E153" s="154"/>
      <c r="F153" s="460"/>
      <c r="K153" s="154"/>
      <c r="L153" s="269"/>
    </row>
    <row r="154" spans="1:12" ht="24.95" customHeight="1">
      <c r="A154" s="460"/>
      <c r="E154" s="154"/>
      <c r="F154" s="460"/>
      <c r="K154" s="154"/>
      <c r="L154" s="269"/>
    </row>
    <row r="155" spans="1:12" ht="24.95" customHeight="1">
      <c r="A155" s="460"/>
      <c r="E155" s="154"/>
      <c r="F155" s="460"/>
      <c r="K155" s="154"/>
      <c r="L155" s="269"/>
    </row>
    <row r="156" spans="1:12" ht="24.95" customHeight="1">
      <c r="A156" s="460"/>
      <c r="E156" s="154"/>
      <c r="F156" s="460"/>
      <c r="K156" s="154"/>
      <c r="L156" s="269"/>
    </row>
    <row r="157" spans="1:12" ht="24.95" customHeight="1">
      <c r="A157" s="460"/>
      <c r="E157" s="154"/>
      <c r="F157" s="460"/>
      <c r="K157" s="154"/>
      <c r="L157" s="269"/>
    </row>
    <row r="158" spans="1:12" ht="24.95" customHeight="1">
      <c r="A158" s="460"/>
      <c r="E158" s="154"/>
      <c r="F158" s="460"/>
      <c r="K158" s="154"/>
      <c r="L158" s="269"/>
    </row>
    <row r="159" spans="1:12" ht="24.95" customHeight="1">
      <c r="A159" s="460"/>
      <c r="E159" s="154"/>
      <c r="F159" s="460"/>
      <c r="K159" s="154"/>
      <c r="L159" s="269"/>
    </row>
    <row r="160" spans="1:12" ht="24.95" customHeight="1">
      <c r="A160" s="460"/>
      <c r="E160" s="154"/>
      <c r="F160" s="460"/>
      <c r="K160" s="154"/>
      <c r="L160" s="269"/>
    </row>
    <row r="161" spans="1:12" ht="24.95" customHeight="1">
      <c r="A161" s="460"/>
      <c r="E161" s="154"/>
      <c r="F161" s="460"/>
      <c r="K161" s="154"/>
      <c r="L161" s="269"/>
    </row>
    <row r="162" spans="1:12" ht="24.95" customHeight="1">
      <c r="A162" s="460"/>
      <c r="E162" s="154"/>
      <c r="F162" s="460"/>
      <c r="K162" s="154"/>
      <c r="L162" s="269"/>
    </row>
    <row r="163" spans="1:12" ht="24.95" customHeight="1">
      <c r="A163" s="460"/>
      <c r="E163" s="154"/>
      <c r="F163" s="460"/>
      <c r="K163" s="154"/>
      <c r="L163" s="269"/>
    </row>
    <row r="164" spans="1:12" ht="24.95" customHeight="1">
      <c r="A164" s="460"/>
      <c r="E164" s="154"/>
      <c r="F164" s="460"/>
      <c r="K164" s="154"/>
      <c r="L164" s="269"/>
    </row>
    <row r="165" spans="1:12" ht="24.95" customHeight="1">
      <c r="A165" s="460"/>
      <c r="E165" s="154"/>
      <c r="F165" s="460"/>
      <c r="K165" s="154"/>
      <c r="L165" s="269"/>
    </row>
    <row r="166" spans="1:12" ht="24.95" customHeight="1">
      <c r="A166" s="460"/>
      <c r="E166" s="154"/>
      <c r="F166" s="460"/>
      <c r="K166" s="154"/>
      <c r="L166" s="269"/>
    </row>
    <row r="167" spans="1:12" ht="24.95" customHeight="1">
      <c r="A167" s="460"/>
      <c r="E167" s="154"/>
      <c r="F167" s="460"/>
      <c r="K167" s="154"/>
      <c r="L167" s="269"/>
    </row>
    <row r="168" spans="1:12" ht="24.95" customHeight="1">
      <c r="A168" s="460"/>
      <c r="E168" s="154"/>
      <c r="F168" s="460"/>
      <c r="K168" s="154"/>
      <c r="L168" s="269"/>
    </row>
    <row r="169" spans="1:12" ht="24.95" customHeight="1">
      <c r="A169" s="460"/>
      <c r="E169" s="154"/>
      <c r="F169" s="460"/>
      <c r="K169" s="154"/>
      <c r="L169" s="269"/>
    </row>
    <row r="170" spans="1:12" ht="24.95" customHeight="1">
      <c r="A170" s="460"/>
      <c r="E170" s="154"/>
      <c r="F170" s="460"/>
      <c r="K170" s="154"/>
      <c r="L170" s="269"/>
    </row>
    <row r="171" spans="1:12" ht="24.95" customHeight="1">
      <c r="A171" s="460"/>
      <c r="E171" s="154"/>
      <c r="F171" s="460"/>
      <c r="K171" s="154"/>
      <c r="L171" s="269"/>
    </row>
    <row r="172" spans="1:12" ht="24.95" customHeight="1">
      <c r="A172" s="460"/>
      <c r="E172" s="154"/>
      <c r="F172" s="460"/>
      <c r="K172" s="154"/>
      <c r="L172" s="269"/>
    </row>
    <row r="173" spans="1:12" ht="24.95" customHeight="1">
      <c r="A173" s="460"/>
      <c r="E173" s="154"/>
      <c r="F173" s="460"/>
      <c r="K173" s="154"/>
      <c r="L173" s="269"/>
    </row>
    <row r="174" spans="1:12" ht="24.95" customHeight="1">
      <c r="A174" s="460"/>
      <c r="E174" s="154"/>
      <c r="F174" s="460"/>
      <c r="K174" s="154"/>
      <c r="L174" s="269"/>
    </row>
    <row r="175" spans="1:12" ht="24.95" customHeight="1">
      <c r="A175" s="460"/>
      <c r="E175" s="154"/>
      <c r="F175" s="460"/>
      <c r="K175" s="154"/>
      <c r="L175" s="269"/>
    </row>
    <row r="176" spans="1:12" ht="24.95" customHeight="1">
      <c r="A176" s="460"/>
      <c r="E176" s="154"/>
      <c r="F176" s="460"/>
      <c r="K176" s="154"/>
      <c r="L176" s="269"/>
    </row>
    <row r="177" spans="1:12" ht="24.95" customHeight="1">
      <c r="A177" s="460"/>
      <c r="E177" s="154"/>
      <c r="F177" s="460"/>
      <c r="K177" s="154"/>
      <c r="L177" s="269"/>
    </row>
    <row r="178" spans="1:12" ht="24.95" customHeight="1">
      <c r="A178" s="460"/>
      <c r="E178" s="154"/>
      <c r="F178" s="460"/>
      <c r="K178" s="154"/>
      <c r="L178" s="269"/>
    </row>
    <row r="179" spans="1:12" ht="24.95" customHeight="1">
      <c r="A179" s="460"/>
      <c r="E179" s="154"/>
      <c r="F179" s="460"/>
      <c r="K179" s="154"/>
      <c r="L179" s="269"/>
    </row>
    <row r="180" spans="1:12" ht="24.95" customHeight="1">
      <c r="A180" s="460"/>
      <c r="E180" s="154"/>
      <c r="F180" s="460"/>
      <c r="K180" s="154"/>
      <c r="L180" s="269"/>
    </row>
    <row r="181" spans="1:12" ht="24.95" customHeight="1">
      <c r="A181" s="460"/>
      <c r="E181" s="154"/>
      <c r="F181" s="460"/>
      <c r="K181" s="154"/>
      <c r="L181" s="269"/>
    </row>
    <row r="182" spans="1:12" ht="24.95" customHeight="1">
      <c r="A182" s="460"/>
      <c r="E182" s="154"/>
      <c r="F182" s="460"/>
      <c r="K182" s="154"/>
      <c r="L182" s="269"/>
    </row>
    <row r="183" spans="1:12" ht="24.95" customHeight="1">
      <c r="A183" s="460"/>
      <c r="E183" s="154"/>
      <c r="F183" s="460"/>
      <c r="K183" s="154"/>
      <c r="L183" s="269"/>
    </row>
    <row r="184" spans="1:12" ht="24.95" customHeight="1">
      <c r="A184" s="460"/>
      <c r="E184" s="154"/>
      <c r="F184" s="460"/>
      <c r="K184" s="154"/>
      <c r="L184" s="269"/>
    </row>
    <row r="185" spans="1:12" ht="24.95" customHeight="1">
      <c r="A185" s="460"/>
      <c r="E185" s="154"/>
      <c r="F185" s="460"/>
      <c r="K185" s="154"/>
      <c r="L185" s="269"/>
    </row>
    <row r="186" spans="1:12" ht="24.95" customHeight="1">
      <c r="A186" s="460"/>
      <c r="E186" s="154"/>
      <c r="F186" s="460"/>
      <c r="K186" s="154"/>
      <c r="L186" s="269"/>
    </row>
    <row r="187" spans="1:12" ht="24.95" customHeight="1">
      <c r="A187" s="460"/>
      <c r="E187" s="154"/>
      <c r="F187" s="460"/>
      <c r="K187" s="154"/>
      <c r="L187" s="269"/>
    </row>
    <row r="188" spans="1:12" ht="24.95" customHeight="1">
      <c r="A188" s="460"/>
      <c r="E188" s="154"/>
      <c r="F188" s="460"/>
      <c r="K188" s="154"/>
      <c r="L188" s="269"/>
    </row>
    <row r="189" spans="1:12" ht="24.95" customHeight="1">
      <c r="A189" s="460"/>
      <c r="E189" s="154"/>
      <c r="F189" s="460"/>
      <c r="K189" s="154"/>
      <c r="L189" s="269"/>
    </row>
    <row r="190" spans="1:12" ht="24.95" customHeight="1">
      <c r="A190" s="460"/>
      <c r="E190" s="154"/>
      <c r="F190" s="460"/>
      <c r="K190" s="154"/>
      <c r="L190" s="269"/>
    </row>
    <row r="191" spans="1:12" ht="24.95" customHeight="1">
      <c r="A191" s="460"/>
      <c r="E191" s="154"/>
      <c r="F191" s="460"/>
      <c r="K191" s="154"/>
      <c r="L191" s="269"/>
    </row>
    <row r="192" spans="1:12" ht="24.95" customHeight="1">
      <c r="A192" s="460"/>
      <c r="E192" s="154"/>
      <c r="F192" s="460"/>
      <c r="K192" s="154"/>
      <c r="L192" s="269"/>
    </row>
    <row r="193" spans="1:12" ht="24.95" customHeight="1">
      <c r="A193" s="460"/>
      <c r="E193" s="154"/>
      <c r="F193" s="460"/>
      <c r="K193" s="154"/>
      <c r="L193" s="269"/>
    </row>
    <row r="194" spans="1:12" ht="24.95" customHeight="1">
      <c r="A194" s="460"/>
      <c r="E194" s="154"/>
      <c r="F194" s="460"/>
      <c r="K194" s="154"/>
      <c r="L194" s="269"/>
    </row>
    <row r="195" spans="1:12" ht="24.95" customHeight="1">
      <c r="A195" s="460"/>
      <c r="E195" s="154"/>
      <c r="F195" s="460"/>
      <c r="K195" s="154"/>
      <c r="L195" s="269"/>
    </row>
    <row r="196" spans="1:12" ht="24.95" customHeight="1">
      <c r="A196" s="460"/>
      <c r="E196" s="154"/>
      <c r="F196" s="460"/>
      <c r="K196" s="154"/>
      <c r="L196" s="269"/>
    </row>
    <row r="197" spans="1:12" ht="24.95" customHeight="1">
      <c r="A197" s="460"/>
      <c r="E197" s="154"/>
      <c r="F197" s="460"/>
      <c r="K197" s="154"/>
      <c r="L197" s="269"/>
    </row>
    <row r="198" spans="1:12" ht="24.95" customHeight="1">
      <c r="A198" s="460"/>
      <c r="E198" s="154"/>
      <c r="F198" s="460"/>
      <c r="K198" s="154"/>
      <c r="L198" s="269"/>
    </row>
    <row r="199" spans="1:12" ht="24.95" customHeight="1">
      <c r="A199" s="460"/>
      <c r="E199" s="154"/>
      <c r="F199" s="460"/>
      <c r="K199" s="154"/>
      <c r="L199" s="269"/>
    </row>
    <row r="200" spans="1:12" ht="24.95" customHeight="1">
      <c r="A200" s="460"/>
      <c r="E200" s="154"/>
      <c r="F200" s="460"/>
      <c r="K200" s="154"/>
      <c r="L200" s="269"/>
    </row>
    <row r="201" spans="1:12" ht="24.95" customHeight="1">
      <c r="A201" s="460"/>
      <c r="E201" s="154"/>
      <c r="F201" s="460"/>
      <c r="K201" s="154"/>
      <c r="L201" s="269"/>
    </row>
    <row r="202" spans="1:12" ht="24.95" customHeight="1">
      <c r="A202" s="460"/>
      <c r="E202" s="154"/>
      <c r="F202" s="460"/>
      <c r="K202" s="154"/>
      <c r="L202" s="269"/>
    </row>
    <row r="203" spans="1:12" ht="24.95" customHeight="1">
      <c r="A203" s="460"/>
      <c r="E203" s="154"/>
      <c r="F203" s="460"/>
      <c r="K203" s="154"/>
      <c r="L203" s="269"/>
    </row>
    <row r="204" spans="1:12" ht="24.95" customHeight="1">
      <c r="A204" s="460"/>
      <c r="E204" s="154"/>
      <c r="F204" s="460"/>
      <c r="K204" s="154"/>
      <c r="L204" s="269"/>
    </row>
    <row r="205" spans="1:12" ht="24.95" customHeight="1">
      <c r="A205" s="460"/>
      <c r="E205" s="154"/>
      <c r="F205" s="460"/>
      <c r="K205" s="154"/>
      <c r="L205" s="269"/>
    </row>
    <row r="206" spans="1:12" ht="24.95" customHeight="1">
      <c r="A206" s="460"/>
      <c r="E206" s="154"/>
      <c r="F206" s="460"/>
      <c r="K206" s="154"/>
      <c r="L206" s="269"/>
    </row>
    <row r="207" spans="1:12" ht="24.95" customHeight="1">
      <c r="A207" s="460"/>
      <c r="E207" s="154"/>
      <c r="F207" s="460"/>
      <c r="K207" s="154"/>
      <c r="L207" s="269"/>
    </row>
    <row r="208" spans="1:12" ht="24.95" customHeight="1">
      <c r="A208" s="460"/>
      <c r="E208" s="154"/>
      <c r="F208" s="460"/>
      <c r="K208" s="154"/>
      <c r="L208" s="269"/>
    </row>
    <row r="209" spans="1:12" ht="24.95" customHeight="1">
      <c r="A209" s="460"/>
      <c r="E209" s="154"/>
      <c r="F209" s="460"/>
      <c r="K209" s="154"/>
      <c r="L209" s="269"/>
    </row>
    <row r="210" spans="1:12" ht="24.95" customHeight="1">
      <c r="A210" s="460"/>
      <c r="E210" s="154"/>
      <c r="F210" s="460"/>
      <c r="K210" s="154"/>
      <c r="L210" s="269"/>
    </row>
    <row r="211" spans="1:12" ht="24.95" customHeight="1">
      <c r="A211" s="460"/>
      <c r="E211" s="154"/>
      <c r="F211" s="460"/>
      <c r="K211" s="154"/>
      <c r="L211" s="269"/>
    </row>
    <row r="212" spans="1:12" ht="24.95" customHeight="1">
      <c r="A212" s="460"/>
      <c r="E212" s="154"/>
      <c r="F212" s="460"/>
      <c r="K212" s="154"/>
      <c r="L212" s="269"/>
    </row>
    <row r="213" spans="1:12" ht="24.95" customHeight="1">
      <c r="A213" s="460"/>
      <c r="E213" s="154"/>
      <c r="F213" s="460"/>
      <c r="K213" s="154"/>
      <c r="L213" s="269"/>
    </row>
    <row r="214" spans="1:12" ht="24.95" customHeight="1">
      <c r="A214" s="460"/>
      <c r="E214" s="154"/>
      <c r="F214" s="460"/>
      <c r="K214" s="154"/>
      <c r="L214" s="269"/>
    </row>
    <row r="215" spans="1:12" ht="24.95" customHeight="1">
      <c r="A215" s="460"/>
      <c r="E215" s="154"/>
      <c r="F215" s="460"/>
      <c r="K215" s="154"/>
      <c r="L215" s="269"/>
    </row>
    <row r="216" spans="1:12" ht="24.95" customHeight="1">
      <c r="A216" s="460"/>
      <c r="E216" s="154"/>
      <c r="F216" s="460"/>
      <c r="K216" s="154"/>
      <c r="L216" s="269"/>
    </row>
    <row r="217" spans="1:12" ht="24.95" customHeight="1">
      <c r="A217" s="460"/>
      <c r="E217" s="154"/>
      <c r="F217" s="460"/>
      <c r="K217" s="154"/>
      <c r="L217" s="269"/>
    </row>
    <row r="218" spans="1:12" ht="24.95" customHeight="1">
      <c r="A218" s="460"/>
      <c r="E218" s="154"/>
      <c r="F218" s="460"/>
      <c r="K218" s="154"/>
      <c r="L218" s="269"/>
    </row>
    <row r="219" spans="1:12" ht="24.95" customHeight="1">
      <c r="A219" s="460"/>
      <c r="E219" s="154"/>
      <c r="F219" s="460"/>
      <c r="K219" s="154"/>
      <c r="L219" s="269"/>
    </row>
    <row r="220" spans="1:12" ht="24.95" customHeight="1">
      <c r="A220" s="460"/>
      <c r="E220" s="154"/>
      <c r="F220" s="460"/>
      <c r="K220" s="154"/>
      <c r="L220" s="269"/>
    </row>
    <row r="221" spans="1:12" ht="24.95" customHeight="1">
      <c r="A221" s="460"/>
      <c r="E221" s="154"/>
      <c r="F221" s="460"/>
      <c r="K221" s="154"/>
      <c r="L221" s="269"/>
    </row>
    <row r="222" spans="1:12" ht="24.95" customHeight="1">
      <c r="A222" s="460"/>
      <c r="E222" s="154"/>
      <c r="F222" s="460"/>
      <c r="K222" s="154"/>
      <c r="L222" s="269"/>
    </row>
    <row r="223" spans="1:12" ht="24.95" customHeight="1">
      <c r="A223" s="460"/>
      <c r="E223" s="154"/>
      <c r="F223" s="460"/>
      <c r="K223" s="154"/>
      <c r="L223" s="269"/>
    </row>
    <row r="224" spans="1:12" ht="24.95" customHeight="1">
      <c r="A224" s="460"/>
      <c r="E224" s="154"/>
      <c r="F224" s="460"/>
      <c r="K224" s="154"/>
      <c r="L224" s="269"/>
    </row>
    <row r="225" spans="1:12" ht="24.95" customHeight="1">
      <c r="A225" s="460"/>
      <c r="E225" s="154"/>
      <c r="F225" s="460"/>
      <c r="K225" s="154"/>
      <c r="L225" s="269"/>
    </row>
    <row r="226" spans="1:12" ht="24.95" customHeight="1">
      <c r="A226" s="460"/>
      <c r="E226" s="154"/>
      <c r="F226" s="460"/>
      <c r="K226" s="154"/>
      <c r="L226" s="269"/>
    </row>
    <row r="227" spans="1:12" ht="24.95" customHeight="1">
      <c r="A227" s="460"/>
      <c r="E227" s="154"/>
      <c r="F227" s="460"/>
      <c r="K227" s="154"/>
      <c r="L227" s="269"/>
    </row>
    <row r="228" spans="1:12" ht="24.95" customHeight="1">
      <c r="A228" s="460"/>
      <c r="E228" s="154"/>
      <c r="F228" s="460"/>
      <c r="K228" s="154"/>
      <c r="L228" s="269"/>
    </row>
    <row r="229" spans="1:12" ht="24.95" customHeight="1">
      <c r="A229" s="460"/>
      <c r="E229" s="154"/>
      <c r="F229" s="460"/>
      <c r="K229" s="154"/>
      <c r="L229" s="269"/>
    </row>
    <row r="230" spans="1:12" ht="24.95" customHeight="1">
      <c r="A230" s="460"/>
      <c r="E230" s="154"/>
      <c r="F230" s="460"/>
      <c r="K230" s="154"/>
      <c r="L230" s="269"/>
    </row>
    <row r="231" spans="1:12" ht="24.95" customHeight="1">
      <c r="A231" s="460"/>
      <c r="E231" s="154"/>
      <c r="F231" s="460"/>
      <c r="K231" s="154"/>
      <c r="L231" s="269"/>
    </row>
    <row r="232" spans="1:12" ht="24.95" customHeight="1">
      <c r="A232" s="460"/>
      <c r="E232" s="154"/>
      <c r="F232" s="460"/>
      <c r="K232" s="154"/>
      <c r="L232" s="269"/>
    </row>
    <row r="233" spans="1:12" ht="24.95" customHeight="1">
      <c r="A233" s="460"/>
      <c r="E233" s="154"/>
      <c r="F233" s="460"/>
      <c r="K233" s="154"/>
      <c r="L233" s="269"/>
    </row>
    <row r="234" spans="1:12" ht="24.95" customHeight="1">
      <c r="A234" s="460"/>
      <c r="E234" s="154"/>
      <c r="F234" s="460"/>
      <c r="K234" s="154"/>
      <c r="L234" s="269"/>
    </row>
    <row r="235" spans="1:12" ht="24.95" customHeight="1">
      <c r="A235" s="460"/>
      <c r="E235" s="154"/>
      <c r="F235" s="460"/>
      <c r="K235" s="154"/>
      <c r="L235" s="269"/>
    </row>
    <row r="236" spans="1:12" ht="24.95" customHeight="1">
      <c r="A236" s="460"/>
      <c r="E236" s="154"/>
      <c r="F236" s="460"/>
      <c r="K236" s="154"/>
      <c r="L236" s="269"/>
    </row>
    <row r="237" spans="1:12" ht="24.95" customHeight="1">
      <c r="A237" s="460"/>
      <c r="E237" s="154"/>
      <c r="F237" s="460"/>
      <c r="K237" s="154"/>
      <c r="L237" s="269"/>
    </row>
    <row r="238" spans="1:12" ht="24.95" customHeight="1">
      <c r="A238" s="460"/>
      <c r="E238" s="154"/>
      <c r="F238" s="460"/>
      <c r="K238" s="154"/>
      <c r="L238" s="269"/>
    </row>
    <row r="239" spans="1:12" ht="24.95" customHeight="1">
      <c r="A239" s="460"/>
      <c r="E239" s="154"/>
      <c r="F239" s="460"/>
      <c r="K239" s="154"/>
      <c r="L239" s="269"/>
    </row>
    <row r="240" spans="1:12" ht="24.95" customHeight="1">
      <c r="A240" s="460"/>
      <c r="E240" s="154"/>
      <c r="F240" s="460"/>
      <c r="K240" s="154"/>
      <c r="L240" s="269"/>
    </row>
    <row r="241" spans="1:12" ht="24.95" customHeight="1">
      <c r="A241" s="460"/>
      <c r="E241" s="154"/>
      <c r="F241" s="460"/>
      <c r="K241" s="154"/>
      <c r="L241" s="269"/>
    </row>
    <row r="242" spans="1:12" ht="24.95" customHeight="1">
      <c r="A242" s="460"/>
      <c r="E242" s="154"/>
      <c r="F242" s="460"/>
      <c r="K242" s="154"/>
      <c r="L242" s="269"/>
    </row>
    <row r="243" spans="1:12" ht="24.95" customHeight="1">
      <c r="A243" s="460"/>
      <c r="E243" s="154"/>
      <c r="F243" s="460"/>
      <c r="K243" s="154"/>
      <c r="L243" s="269"/>
    </row>
    <row r="244" spans="1:12" ht="24.95" customHeight="1">
      <c r="A244" s="460"/>
      <c r="E244" s="154"/>
      <c r="F244" s="460"/>
      <c r="K244" s="154"/>
      <c r="L244" s="269"/>
    </row>
    <row r="245" spans="1:12" ht="24.95" customHeight="1">
      <c r="A245" s="460"/>
      <c r="E245" s="154"/>
      <c r="F245" s="460"/>
      <c r="K245" s="154"/>
      <c r="L245" s="269"/>
    </row>
    <row r="246" spans="1:12" ht="24.95" customHeight="1">
      <c r="A246" s="460"/>
      <c r="E246" s="154"/>
      <c r="F246" s="460"/>
      <c r="K246" s="154"/>
      <c r="L246" s="269"/>
    </row>
    <row r="247" spans="1:12" ht="24.95" customHeight="1">
      <c r="A247" s="460"/>
      <c r="E247" s="154"/>
      <c r="F247" s="460"/>
      <c r="K247" s="154"/>
      <c r="L247" s="269"/>
    </row>
    <row r="248" spans="1:12" ht="24.95" customHeight="1">
      <c r="A248" s="460"/>
      <c r="E248" s="154"/>
      <c r="F248" s="460"/>
      <c r="K248" s="154"/>
      <c r="L248" s="269"/>
    </row>
    <row r="249" spans="1:12" ht="24.95" customHeight="1">
      <c r="A249" s="460"/>
      <c r="E249" s="154"/>
      <c r="F249" s="460"/>
      <c r="K249" s="154"/>
      <c r="L249" s="269"/>
    </row>
    <row r="250" spans="1:12" ht="24.95" customHeight="1">
      <c r="A250" s="460"/>
      <c r="E250" s="154"/>
      <c r="F250" s="460"/>
      <c r="K250" s="154"/>
      <c r="L250" s="269"/>
    </row>
    <row r="251" spans="1:12" ht="24.95" customHeight="1">
      <c r="A251" s="460"/>
      <c r="E251" s="154"/>
      <c r="F251" s="460"/>
      <c r="K251" s="154"/>
      <c r="L251" s="269"/>
    </row>
    <row r="252" spans="1:12" ht="24.95" customHeight="1">
      <c r="A252" s="460"/>
      <c r="E252" s="154"/>
      <c r="F252" s="460"/>
      <c r="K252" s="154"/>
      <c r="L252" s="269"/>
    </row>
    <row r="253" spans="1:12" ht="24.95" customHeight="1">
      <c r="A253" s="460"/>
      <c r="E253" s="154"/>
      <c r="F253" s="460"/>
      <c r="K253" s="154"/>
      <c r="L253" s="269"/>
    </row>
    <row r="254" spans="1:12" ht="24.95" customHeight="1">
      <c r="A254" s="460"/>
      <c r="E254" s="154"/>
      <c r="F254" s="460"/>
      <c r="K254" s="154"/>
      <c r="L254" s="269"/>
    </row>
    <row r="255" spans="1:12" ht="24.95" customHeight="1">
      <c r="A255" s="460"/>
      <c r="E255" s="154"/>
      <c r="F255" s="460"/>
      <c r="K255" s="154"/>
      <c r="L255" s="269"/>
    </row>
    <row r="256" spans="1:12" ht="24.95" customHeight="1">
      <c r="A256" s="460"/>
      <c r="E256" s="154"/>
      <c r="F256" s="460"/>
      <c r="K256" s="154"/>
      <c r="L256" s="269"/>
    </row>
    <row r="257" spans="1:12" ht="24.95" customHeight="1">
      <c r="A257" s="460"/>
      <c r="E257" s="154"/>
      <c r="F257" s="460"/>
      <c r="K257" s="154"/>
      <c r="L257" s="269"/>
    </row>
    <row r="258" spans="1:12" ht="24.95" customHeight="1">
      <c r="A258" s="460"/>
      <c r="E258" s="154"/>
      <c r="F258" s="460"/>
      <c r="K258" s="154"/>
      <c r="L258" s="269"/>
    </row>
    <row r="259" spans="1:12" ht="24.95" customHeight="1">
      <c r="A259" s="460"/>
      <c r="E259" s="154"/>
      <c r="F259" s="460"/>
      <c r="K259" s="154"/>
      <c r="L259" s="269"/>
    </row>
    <row r="260" spans="1:12" ht="24.95" customHeight="1">
      <c r="A260" s="460"/>
      <c r="E260" s="154"/>
      <c r="F260" s="460"/>
      <c r="K260" s="154"/>
      <c r="L260" s="269"/>
    </row>
    <row r="261" spans="1:12" ht="24.95" customHeight="1">
      <c r="A261" s="460"/>
      <c r="E261" s="154"/>
      <c r="F261" s="460"/>
      <c r="K261" s="154"/>
      <c r="L261" s="269"/>
    </row>
    <row r="262" spans="1:12" ht="24.95" customHeight="1">
      <c r="A262" s="460"/>
      <c r="E262" s="154"/>
      <c r="F262" s="460"/>
      <c r="K262" s="154"/>
      <c r="L262" s="269"/>
    </row>
    <row r="263" spans="1:12" ht="24.95" customHeight="1">
      <c r="A263" s="460"/>
      <c r="E263" s="154"/>
      <c r="F263" s="460"/>
      <c r="K263" s="154"/>
      <c r="L263" s="269"/>
    </row>
    <row r="264" spans="1:12" ht="24.95" customHeight="1">
      <c r="A264" s="460"/>
      <c r="E264" s="154"/>
      <c r="F264" s="460"/>
      <c r="K264" s="154"/>
      <c r="L264" s="269"/>
    </row>
    <row r="265" spans="1:12" ht="24.95" customHeight="1">
      <c r="A265" s="460"/>
      <c r="E265" s="154"/>
      <c r="F265" s="460"/>
      <c r="K265" s="154"/>
      <c r="L265" s="269"/>
    </row>
    <row r="266" spans="1:12" ht="24.95" customHeight="1">
      <c r="A266" s="460"/>
      <c r="E266" s="154"/>
      <c r="F266" s="460"/>
      <c r="K266" s="154"/>
      <c r="L266" s="269"/>
    </row>
    <row r="267" spans="1:12" ht="24.95" customHeight="1">
      <c r="A267" s="460"/>
      <c r="E267" s="154"/>
      <c r="F267" s="460"/>
      <c r="K267" s="154"/>
      <c r="L267" s="269"/>
    </row>
    <row r="268" spans="1:12" ht="24.95" customHeight="1">
      <c r="A268" s="460"/>
      <c r="E268" s="154"/>
      <c r="F268" s="460"/>
      <c r="K268" s="154"/>
      <c r="L268" s="269"/>
    </row>
    <row r="269" spans="1:12" ht="24.95" customHeight="1">
      <c r="A269" s="460"/>
      <c r="E269" s="154"/>
      <c r="F269" s="460"/>
      <c r="K269" s="154"/>
      <c r="L269" s="269"/>
    </row>
    <row r="270" spans="1:12" ht="24.95" customHeight="1">
      <c r="A270" s="460"/>
      <c r="E270" s="154"/>
      <c r="F270" s="460"/>
      <c r="K270" s="154"/>
      <c r="L270" s="269"/>
    </row>
    <row r="271" spans="1:12" ht="24.95" customHeight="1">
      <c r="A271" s="460"/>
      <c r="E271" s="154"/>
      <c r="F271" s="460"/>
      <c r="K271" s="154"/>
      <c r="L271" s="269"/>
    </row>
    <row r="272" spans="1:12" ht="24.95" customHeight="1">
      <c r="A272" s="460"/>
      <c r="E272" s="154"/>
      <c r="F272" s="460"/>
      <c r="K272" s="154"/>
      <c r="L272" s="269"/>
    </row>
    <row r="273" spans="1:12" ht="24.95" customHeight="1">
      <c r="A273" s="460"/>
      <c r="E273" s="154"/>
      <c r="F273" s="460"/>
      <c r="K273" s="154"/>
      <c r="L273" s="269"/>
    </row>
    <row r="274" spans="1:12" ht="24.95" customHeight="1">
      <c r="A274" s="460"/>
      <c r="E274" s="154"/>
      <c r="F274" s="460"/>
      <c r="K274" s="154"/>
      <c r="L274" s="269"/>
    </row>
    <row r="275" spans="1:12" ht="24.95" customHeight="1">
      <c r="A275" s="460"/>
      <c r="E275" s="154"/>
      <c r="F275" s="460"/>
      <c r="K275" s="154"/>
      <c r="L275" s="269"/>
    </row>
    <row r="276" spans="1:12" ht="24.95" customHeight="1">
      <c r="A276" s="460"/>
      <c r="E276" s="154"/>
      <c r="F276" s="460"/>
      <c r="K276" s="154"/>
      <c r="L276" s="269"/>
    </row>
    <row r="277" spans="1:12" ht="24.95" customHeight="1">
      <c r="A277" s="460"/>
      <c r="E277" s="154"/>
      <c r="F277" s="460"/>
      <c r="K277" s="154"/>
      <c r="L277" s="269"/>
    </row>
    <row r="278" spans="1:12" ht="24.95" customHeight="1">
      <c r="A278" s="460"/>
      <c r="E278" s="154"/>
      <c r="F278" s="460"/>
      <c r="K278" s="154"/>
      <c r="L278" s="269"/>
    </row>
    <row r="279" spans="1:12" ht="24.95" customHeight="1">
      <c r="A279" s="460"/>
      <c r="E279" s="154"/>
      <c r="F279" s="460"/>
      <c r="K279" s="154"/>
      <c r="L279" s="269"/>
    </row>
    <row r="280" spans="1:12" ht="24.95" customHeight="1">
      <c r="A280" s="460"/>
      <c r="E280" s="154"/>
      <c r="F280" s="460"/>
      <c r="K280" s="154"/>
      <c r="L280" s="269"/>
    </row>
    <row r="281" spans="1:12" ht="24.95" customHeight="1">
      <c r="A281" s="460"/>
      <c r="E281" s="154"/>
      <c r="F281" s="460"/>
      <c r="K281" s="154"/>
      <c r="L281" s="269"/>
    </row>
    <row r="282" spans="1:12" ht="24.95" customHeight="1">
      <c r="A282" s="460"/>
      <c r="E282" s="154"/>
      <c r="F282" s="460"/>
      <c r="K282" s="154"/>
      <c r="L282" s="269"/>
    </row>
    <row r="283" spans="1:12" ht="24.95" customHeight="1">
      <c r="A283" s="460"/>
      <c r="E283" s="154"/>
      <c r="F283" s="460"/>
      <c r="K283" s="154"/>
      <c r="L283" s="269"/>
    </row>
    <row r="284" spans="1:12" ht="24.95" customHeight="1">
      <c r="A284" s="460"/>
      <c r="E284" s="154"/>
      <c r="F284" s="460"/>
      <c r="K284" s="154"/>
      <c r="L284" s="269"/>
    </row>
    <row r="285" spans="1:12" ht="24.95" customHeight="1">
      <c r="A285" s="460"/>
      <c r="E285" s="154"/>
      <c r="F285" s="460"/>
      <c r="K285" s="154"/>
      <c r="L285" s="269"/>
    </row>
    <row r="286" spans="1:12" ht="24.95" customHeight="1">
      <c r="A286" s="460"/>
      <c r="E286" s="154"/>
      <c r="F286" s="460"/>
      <c r="K286" s="154"/>
      <c r="L286" s="269"/>
    </row>
    <row r="287" spans="1:12" ht="24.95" customHeight="1">
      <c r="A287" s="460"/>
      <c r="E287" s="154"/>
      <c r="F287" s="460"/>
      <c r="K287" s="154"/>
      <c r="L287" s="269"/>
    </row>
    <row r="288" spans="1:12" ht="24.95" customHeight="1">
      <c r="A288" s="460"/>
      <c r="E288" s="154"/>
      <c r="F288" s="460"/>
      <c r="K288" s="154"/>
      <c r="L288" s="269"/>
    </row>
    <row r="289" spans="1:12" ht="24.95" customHeight="1">
      <c r="A289" s="460"/>
      <c r="E289" s="154"/>
      <c r="F289" s="460"/>
      <c r="K289" s="154"/>
      <c r="L289" s="269"/>
    </row>
    <row r="290" spans="1:12" ht="24.95" customHeight="1">
      <c r="A290" s="460"/>
      <c r="E290" s="154"/>
      <c r="F290" s="460"/>
      <c r="K290" s="154"/>
      <c r="L290" s="269"/>
    </row>
    <row r="291" spans="1:12" ht="24.95" customHeight="1">
      <c r="A291" s="460"/>
      <c r="E291" s="154"/>
      <c r="F291" s="460"/>
      <c r="K291" s="154"/>
      <c r="L291" s="269"/>
    </row>
    <row r="292" spans="1:12" ht="24.95" customHeight="1">
      <c r="A292" s="460"/>
      <c r="E292" s="154"/>
      <c r="F292" s="460"/>
      <c r="K292" s="154"/>
      <c r="L292" s="269"/>
    </row>
    <row r="293" spans="1:12" ht="24.95" customHeight="1">
      <c r="A293" s="460"/>
      <c r="E293" s="154"/>
      <c r="F293" s="460"/>
      <c r="K293" s="154"/>
      <c r="L293" s="269"/>
    </row>
    <row r="294" spans="1:12" ht="24.95" customHeight="1">
      <c r="A294" s="460"/>
      <c r="E294" s="154"/>
      <c r="F294" s="460"/>
      <c r="K294" s="154"/>
      <c r="L294" s="269"/>
    </row>
    <row r="295" spans="1:12" ht="24.95" customHeight="1">
      <c r="A295" s="460"/>
      <c r="E295" s="154"/>
      <c r="F295" s="460"/>
      <c r="K295" s="154"/>
      <c r="L295" s="269"/>
    </row>
    <row r="296" spans="1:12" ht="24.95" customHeight="1">
      <c r="A296" s="460"/>
      <c r="E296" s="154"/>
      <c r="F296" s="460"/>
      <c r="K296" s="154"/>
      <c r="L296" s="269"/>
    </row>
    <row r="297" spans="1:12" ht="24.95" customHeight="1">
      <c r="A297" s="460"/>
      <c r="E297" s="154"/>
      <c r="F297" s="460"/>
      <c r="K297" s="154"/>
      <c r="L297" s="269"/>
    </row>
    <row r="298" spans="1:12" ht="24.95" customHeight="1">
      <c r="A298" s="460"/>
      <c r="E298" s="154"/>
      <c r="F298" s="460"/>
      <c r="K298" s="154"/>
      <c r="L298" s="269"/>
    </row>
    <row r="299" spans="1:12" ht="24.95" customHeight="1">
      <c r="A299" s="460"/>
      <c r="E299" s="154"/>
      <c r="F299" s="460"/>
      <c r="K299" s="154"/>
      <c r="L299" s="269"/>
    </row>
    <row r="300" spans="1:12" ht="24.95" customHeight="1">
      <c r="A300" s="460"/>
      <c r="E300" s="154"/>
      <c r="F300" s="460"/>
      <c r="K300" s="154"/>
      <c r="L300" s="269"/>
    </row>
    <row r="301" spans="1:12" ht="24.95" customHeight="1">
      <c r="A301" s="460"/>
      <c r="E301" s="154"/>
      <c r="F301" s="460"/>
      <c r="K301" s="154"/>
      <c r="L301" s="269"/>
    </row>
    <row r="302" spans="1:12" ht="24.95" customHeight="1">
      <c r="A302" s="460"/>
      <c r="E302" s="154"/>
      <c r="F302" s="460"/>
      <c r="K302" s="154"/>
      <c r="L302" s="269"/>
    </row>
    <row r="303" spans="1:12" ht="24.95" customHeight="1">
      <c r="A303" s="460"/>
      <c r="E303" s="154"/>
      <c r="F303" s="460"/>
      <c r="K303" s="154"/>
      <c r="L303" s="269"/>
    </row>
    <row r="304" spans="1:12" ht="24.95" customHeight="1">
      <c r="A304" s="460"/>
      <c r="E304" s="154"/>
      <c r="F304" s="460"/>
      <c r="K304" s="154"/>
      <c r="L304" s="269"/>
    </row>
    <row r="305" spans="1:12" ht="24.95" customHeight="1">
      <c r="A305" s="460"/>
      <c r="E305" s="154"/>
      <c r="F305" s="460"/>
      <c r="K305" s="154"/>
      <c r="L305" s="269"/>
    </row>
    <row r="306" spans="1:12" ht="24.95" customHeight="1">
      <c r="A306" s="460"/>
      <c r="E306" s="154"/>
      <c r="F306" s="460"/>
      <c r="K306" s="154"/>
      <c r="L306" s="269"/>
    </row>
    <row r="307" spans="1:12" ht="24.95" customHeight="1">
      <c r="A307" s="460"/>
      <c r="E307" s="154"/>
      <c r="F307" s="460"/>
      <c r="K307" s="154"/>
      <c r="L307" s="269"/>
    </row>
    <row r="308" spans="1:12" ht="24.95" customHeight="1">
      <c r="A308" s="460"/>
      <c r="E308" s="154"/>
      <c r="F308" s="460"/>
      <c r="K308" s="154"/>
      <c r="L308" s="269"/>
    </row>
    <row r="309" spans="1:12" ht="24.95" customHeight="1">
      <c r="A309" s="460"/>
      <c r="E309" s="154"/>
      <c r="F309" s="460"/>
      <c r="K309" s="154"/>
      <c r="L309" s="269"/>
    </row>
    <row r="310" spans="1:12" ht="24.95" customHeight="1">
      <c r="A310" s="460"/>
      <c r="E310" s="154"/>
      <c r="F310" s="460"/>
      <c r="K310" s="154"/>
      <c r="L310" s="269"/>
    </row>
    <row r="311" spans="1:12" ht="24.95" customHeight="1">
      <c r="A311" s="460"/>
      <c r="E311" s="154"/>
      <c r="F311" s="460"/>
      <c r="K311" s="154"/>
      <c r="L311" s="269"/>
    </row>
    <row r="312" spans="1:12" ht="24.95" customHeight="1">
      <c r="A312" s="460"/>
      <c r="E312" s="154"/>
      <c r="F312" s="460"/>
      <c r="K312" s="154"/>
      <c r="L312" s="269"/>
    </row>
    <row r="313" spans="1:12" ht="24.95" customHeight="1">
      <c r="A313" s="460"/>
      <c r="E313" s="154"/>
      <c r="F313" s="460"/>
      <c r="K313" s="154"/>
      <c r="L313" s="269"/>
    </row>
    <row r="314" spans="1:12" ht="24.95" customHeight="1">
      <c r="A314" s="460"/>
      <c r="E314" s="154"/>
      <c r="F314" s="460"/>
      <c r="K314" s="154"/>
      <c r="L314" s="269"/>
    </row>
    <row r="315" spans="1:12" ht="24.95" customHeight="1">
      <c r="A315" s="460"/>
      <c r="E315" s="154"/>
      <c r="F315" s="460"/>
      <c r="K315" s="154"/>
      <c r="L315" s="269"/>
    </row>
    <row r="316" spans="1:12" ht="24.95" customHeight="1">
      <c r="A316" s="460"/>
      <c r="E316" s="154"/>
      <c r="F316" s="460"/>
      <c r="K316" s="154"/>
      <c r="L316" s="269"/>
    </row>
    <row r="317" spans="1:12" ht="24.95" customHeight="1">
      <c r="A317" s="460"/>
      <c r="E317" s="154"/>
      <c r="F317" s="460"/>
      <c r="K317" s="154"/>
      <c r="L317" s="269"/>
    </row>
    <row r="318" spans="1:12" ht="24.95" customHeight="1">
      <c r="A318" s="460"/>
      <c r="E318" s="154"/>
      <c r="F318" s="460"/>
      <c r="K318" s="154"/>
      <c r="L318" s="269"/>
    </row>
    <row r="319" spans="1:12" ht="24.95" customHeight="1">
      <c r="A319" s="460"/>
      <c r="E319" s="154"/>
      <c r="F319" s="460"/>
      <c r="K319" s="154"/>
      <c r="L319" s="269"/>
    </row>
    <row r="320" spans="1:12" ht="24.95" customHeight="1">
      <c r="A320" s="460"/>
      <c r="E320" s="154"/>
      <c r="F320" s="460"/>
      <c r="K320" s="154"/>
      <c r="L320" s="269"/>
    </row>
    <row r="321" spans="1:12" ht="24.95" customHeight="1">
      <c r="A321" s="460"/>
      <c r="E321" s="154"/>
      <c r="F321" s="460"/>
      <c r="K321" s="154"/>
      <c r="L321" s="269"/>
    </row>
    <row r="322" spans="1:12" ht="24.95" customHeight="1">
      <c r="A322" s="460"/>
      <c r="E322" s="154"/>
      <c r="F322" s="460"/>
      <c r="K322" s="154"/>
      <c r="L322" s="269"/>
    </row>
    <row r="323" spans="1:12" ht="24.95" customHeight="1">
      <c r="A323" s="460"/>
      <c r="E323" s="154"/>
      <c r="F323" s="460"/>
      <c r="K323" s="154"/>
      <c r="L323" s="269"/>
    </row>
    <row r="324" spans="1:12" ht="24.95" customHeight="1">
      <c r="A324" s="460"/>
      <c r="E324" s="154"/>
      <c r="F324" s="460"/>
      <c r="K324" s="154"/>
      <c r="L324" s="269"/>
    </row>
    <row r="325" spans="1:12" ht="24.95" customHeight="1">
      <c r="A325" s="460"/>
      <c r="E325" s="154"/>
      <c r="F325" s="460"/>
      <c r="K325" s="154"/>
      <c r="L325" s="269"/>
    </row>
    <row r="326" spans="1:12" ht="24.95" customHeight="1">
      <c r="A326" s="460"/>
      <c r="E326" s="154"/>
      <c r="F326" s="460"/>
      <c r="K326" s="154"/>
      <c r="L326" s="269"/>
    </row>
    <row r="327" spans="1:12" ht="24.95" customHeight="1">
      <c r="A327" s="460"/>
      <c r="E327" s="154"/>
      <c r="F327" s="460"/>
      <c r="K327" s="154"/>
      <c r="L327" s="269"/>
    </row>
    <row r="328" spans="1:12" ht="24.95" customHeight="1">
      <c r="A328" s="460"/>
      <c r="E328" s="154"/>
      <c r="F328" s="460"/>
      <c r="K328" s="154"/>
      <c r="L328" s="269"/>
    </row>
    <row r="329" spans="1:12" ht="24.95" customHeight="1">
      <c r="A329" s="460"/>
      <c r="E329" s="154"/>
      <c r="F329" s="460"/>
      <c r="K329" s="154"/>
      <c r="L329" s="269"/>
    </row>
    <row r="330" spans="1:12" ht="24.95" customHeight="1">
      <c r="A330" s="460"/>
      <c r="E330" s="154"/>
      <c r="F330" s="460"/>
      <c r="K330" s="154"/>
      <c r="L330" s="269"/>
    </row>
    <row r="331" spans="1:12" ht="24.95" customHeight="1">
      <c r="A331" s="460"/>
      <c r="E331" s="154"/>
      <c r="F331" s="460"/>
      <c r="K331" s="154"/>
      <c r="L331" s="269"/>
    </row>
    <row r="332" spans="1:12" ht="24.95" customHeight="1">
      <c r="A332" s="460"/>
      <c r="E332" s="154"/>
      <c r="F332" s="460"/>
      <c r="K332" s="154"/>
      <c r="L332" s="269"/>
    </row>
    <row r="333" spans="1:12" ht="24.95" customHeight="1">
      <c r="A333" s="460"/>
      <c r="E333" s="154"/>
      <c r="F333" s="460"/>
      <c r="K333" s="154"/>
      <c r="L333" s="269"/>
    </row>
    <row r="334" spans="1:12" ht="24.95" customHeight="1">
      <c r="A334" s="460"/>
      <c r="E334" s="154"/>
      <c r="F334" s="460"/>
      <c r="K334" s="154"/>
      <c r="L334" s="269"/>
    </row>
    <row r="335" spans="1:12" ht="24.95" customHeight="1">
      <c r="A335" s="460"/>
      <c r="E335" s="154"/>
      <c r="F335" s="460"/>
      <c r="K335" s="154"/>
      <c r="L335" s="269"/>
    </row>
    <row r="336" spans="1:12" ht="24.95" customHeight="1">
      <c r="A336" s="460"/>
      <c r="E336" s="154"/>
      <c r="F336" s="460"/>
      <c r="K336" s="154"/>
      <c r="L336" s="269"/>
    </row>
    <row r="337" spans="1:12" ht="24.95" customHeight="1">
      <c r="A337" s="460"/>
      <c r="E337" s="154"/>
      <c r="F337" s="460"/>
      <c r="K337" s="154"/>
      <c r="L337" s="269"/>
    </row>
    <row r="338" spans="1:12" ht="24.95" customHeight="1">
      <c r="A338" s="460"/>
      <c r="E338" s="154"/>
      <c r="F338" s="460"/>
      <c r="K338" s="154"/>
      <c r="L338" s="269"/>
    </row>
    <row r="339" spans="1:12" ht="24.95" customHeight="1">
      <c r="A339" s="460"/>
      <c r="E339" s="154"/>
      <c r="F339" s="460"/>
      <c r="K339" s="154"/>
      <c r="L339" s="269"/>
    </row>
    <row r="340" spans="1:12" ht="24.95" customHeight="1">
      <c r="A340" s="460"/>
      <c r="E340" s="154"/>
      <c r="F340" s="460"/>
      <c r="K340" s="154"/>
      <c r="L340" s="269"/>
    </row>
    <row r="341" spans="1:12" ht="24.95" customHeight="1">
      <c r="A341" s="460"/>
      <c r="E341" s="154"/>
      <c r="F341" s="460"/>
      <c r="K341" s="154"/>
      <c r="L341" s="269"/>
    </row>
    <row r="342" spans="1:12" ht="24.95" customHeight="1">
      <c r="A342" s="460"/>
      <c r="E342" s="154"/>
      <c r="F342" s="460"/>
      <c r="K342" s="154"/>
      <c r="L342" s="269"/>
    </row>
    <row r="343" spans="1:12" ht="24.95" customHeight="1">
      <c r="A343" s="460"/>
      <c r="E343" s="154"/>
      <c r="F343" s="460"/>
      <c r="K343" s="154"/>
      <c r="L343" s="269"/>
    </row>
    <row r="344" spans="1:12" ht="24.95" customHeight="1">
      <c r="A344" s="460"/>
      <c r="E344" s="154"/>
      <c r="F344" s="460"/>
      <c r="K344" s="154"/>
      <c r="L344" s="269"/>
    </row>
    <row r="345" spans="1:12" ht="24.95" customHeight="1">
      <c r="A345" s="460"/>
      <c r="E345" s="154"/>
      <c r="F345" s="460"/>
      <c r="K345" s="154"/>
      <c r="L345" s="269"/>
    </row>
    <row r="346" spans="1:12" ht="24.95" customHeight="1">
      <c r="A346" s="460"/>
      <c r="E346" s="154"/>
      <c r="F346" s="460"/>
      <c r="K346" s="154"/>
      <c r="L346" s="269"/>
    </row>
    <row r="347" spans="1:12" ht="24.95" customHeight="1">
      <c r="A347" s="460"/>
      <c r="E347" s="154"/>
      <c r="F347" s="460"/>
      <c r="K347" s="154"/>
      <c r="L347" s="269"/>
    </row>
    <row r="348" spans="1:12" ht="24.95" customHeight="1">
      <c r="A348" s="460"/>
      <c r="E348" s="154"/>
      <c r="F348" s="460"/>
      <c r="K348" s="154"/>
      <c r="L348" s="269"/>
    </row>
    <row r="349" spans="1:12" ht="24.95" customHeight="1">
      <c r="A349" s="460"/>
      <c r="E349" s="154"/>
      <c r="F349" s="460"/>
      <c r="K349" s="154"/>
      <c r="L349" s="269"/>
    </row>
    <row r="350" spans="1:12" ht="24.95" customHeight="1">
      <c r="A350" s="460"/>
      <c r="E350" s="154"/>
      <c r="F350" s="460"/>
      <c r="K350" s="154"/>
      <c r="L350" s="269"/>
    </row>
    <row r="351" spans="1:12" ht="24.95" customHeight="1">
      <c r="A351" s="460"/>
      <c r="E351" s="154"/>
      <c r="F351" s="460"/>
      <c r="K351" s="154"/>
      <c r="L351" s="269"/>
    </row>
    <row r="352" spans="1:12" ht="24.95" customHeight="1">
      <c r="A352" s="460"/>
      <c r="E352" s="154"/>
      <c r="F352" s="460"/>
      <c r="K352" s="154"/>
      <c r="L352" s="269"/>
    </row>
    <row r="353" spans="1:12" ht="24.95" customHeight="1">
      <c r="A353" s="460"/>
      <c r="E353" s="154"/>
      <c r="F353" s="460"/>
      <c r="K353" s="154"/>
      <c r="L353" s="269"/>
    </row>
    <row r="354" spans="1:12" ht="24.95" customHeight="1">
      <c r="A354" s="460"/>
      <c r="E354" s="154"/>
      <c r="F354" s="460"/>
      <c r="K354" s="154"/>
      <c r="L354" s="269"/>
    </row>
    <row r="355" spans="1:12" ht="24.95" customHeight="1">
      <c r="A355" s="460"/>
      <c r="E355" s="154"/>
      <c r="F355" s="460"/>
      <c r="K355" s="154"/>
      <c r="L355" s="269"/>
    </row>
    <row r="356" spans="1:12" ht="24.95" customHeight="1">
      <c r="A356" s="460"/>
      <c r="E356" s="154"/>
      <c r="F356" s="460"/>
      <c r="K356" s="154"/>
      <c r="L356" s="269"/>
    </row>
    <row r="357" spans="1:12" ht="24.95" customHeight="1">
      <c r="A357" s="460"/>
      <c r="E357" s="154"/>
      <c r="F357" s="460"/>
      <c r="K357" s="154"/>
      <c r="L357" s="269"/>
    </row>
    <row r="358" spans="1:12" ht="24.95" customHeight="1">
      <c r="A358" s="460"/>
      <c r="E358" s="154"/>
      <c r="F358" s="460"/>
      <c r="K358" s="154"/>
      <c r="L358" s="269"/>
    </row>
    <row r="359" spans="1:12" ht="24.95" customHeight="1">
      <c r="A359" s="460"/>
      <c r="E359" s="154"/>
      <c r="F359" s="460"/>
      <c r="K359" s="154"/>
      <c r="L359" s="269"/>
    </row>
    <row r="360" spans="1:12" ht="24.95" customHeight="1">
      <c r="A360" s="460"/>
      <c r="E360" s="154"/>
      <c r="F360" s="460"/>
      <c r="K360" s="154"/>
      <c r="L360" s="269"/>
    </row>
    <row r="361" spans="1:12" ht="24.95" customHeight="1">
      <c r="A361" s="460"/>
      <c r="E361" s="154"/>
      <c r="F361" s="460"/>
      <c r="K361" s="154"/>
      <c r="L361" s="269"/>
    </row>
    <row r="362" spans="1:12" ht="24.95" customHeight="1">
      <c r="A362" s="460"/>
      <c r="E362" s="154"/>
      <c r="F362" s="460"/>
      <c r="K362" s="154"/>
      <c r="L362" s="269"/>
    </row>
    <row r="363" spans="1:12" ht="24.95" customHeight="1">
      <c r="A363" s="460"/>
      <c r="E363" s="154"/>
      <c r="F363" s="460"/>
      <c r="K363" s="154"/>
      <c r="L363" s="269"/>
    </row>
    <row r="364" spans="1:12" ht="24.95" customHeight="1">
      <c r="A364" s="460"/>
      <c r="E364" s="154"/>
      <c r="F364" s="460"/>
      <c r="K364" s="154"/>
      <c r="L364" s="269"/>
    </row>
    <row r="365" spans="1:12" ht="24.95" customHeight="1">
      <c r="A365" s="460"/>
      <c r="E365" s="154"/>
      <c r="F365" s="460"/>
      <c r="K365" s="154"/>
      <c r="L365" s="269"/>
    </row>
    <row r="366" spans="1:12" ht="24.95" customHeight="1">
      <c r="A366" s="460"/>
      <c r="E366" s="154"/>
      <c r="F366" s="460"/>
      <c r="K366" s="154"/>
      <c r="L366" s="269"/>
    </row>
    <row r="367" spans="1:12" ht="24.95" customHeight="1">
      <c r="A367" s="460"/>
      <c r="E367" s="154"/>
      <c r="F367" s="460"/>
      <c r="K367" s="154"/>
      <c r="L367" s="269"/>
    </row>
    <row r="368" spans="1:12" ht="24.95" customHeight="1">
      <c r="A368" s="460"/>
      <c r="E368" s="154"/>
      <c r="F368" s="460"/>
      <c r="K368" s="154"/>
      <c r="L368" s="269"/>
    </row>
    <row r="369" spans="1:12" ht="24.95" customHeight="1">
      <c r="A369" s="460"/>
      <c r="E369" s="154"/>
      <c r="F369" s="460"/>
      <c r="K369" s="154"/>
      <c r="L369" s="269"/>
    </row>
    <row r="370" spans="1:12" ht="24.95" customHeight="1">
      <c r="A370" s="460"/>
      <c r="E370" s="154"/>
      <c r="F370" s="460"/>
      <c r="K370" s="154"/>
      <c r="L370" s="269"/>
    </row>
    <row r="371" spans="1:12" ht="24.95" customHeight="1">
      <c r="A371" s="460"/>
      <c r="E371" s="154"/>
      <c r="F371" s="460"/>
      <c r="K371" s="154"/>
      <c r="L371" s="269"/>
    </row>
    <row r="372" spans="1:12" ht="24.95" customHeight="1">
      <c r="A372" s="460"/>
      <c r="E372" s="154"/>
      <c r="F372" s="460"/>
      <c r="K372" s="154"/>
      <c r="L372" s="269"/>
    </row>
    <row r="373" spans="1:12" ht="24.95" customHeight="1">
      <c r="A373" s="460"/>
      <c r="E373" s="154"/>
      <c r="F373" s="460"/>
      <c r="K373" s="154"/>
      <c r="L373" s="269"/>
    </row>
    <row r="374" spans="1:12" ht="24.95" customHeight="1">
      <c r="A374" s="460"/>
      <c r="E374" s="154"/>
      <c r="F374" s="460"/>
      <c r="K374" s="154"/>
      <c r="L374" s="269"/>
    </row>
    <row r="375" spans="1:12" ht="24.95" customHeight="1">
      <c r="A375" s="460"/>
      <c r="E375" s="154"/>
      <c r="F375" s="460"/>
      <c r="K375" s="154"/>
      <c r="L375" s="269"/>
    </row>
    <row r="376" spans="1:12" ht="24.95" customHeight="1">
      <c r="A376" s="460"/>
      <c r="E376" s="154"/>
      <c r="F376" s="460"/>
      <c r="K376" s="154"/>
      <c r="L376" s="269"/>
    </row>
    <row r="377" spans="1:12" ht="24.95" customHeight="1">
      <c r="A377" s="460"/>
      <c r="E377" s="154"/>
      <c r="F377" s="460"/>
      <c r="K377" s="154"/>
      <c r="L377" s="269"/>
    </row>
    <row r="378" spans="1:12" ht="24.95" customHeight="1">
      <c r="A378" s="460"/>
      <c r="E378" s="154"/>
      <c r="F378" s="460"/>
      <c r="K378" s="154"/>
      <c r="L378" s="269"/>
    </row>
    <row r="379" spans="1:12" ht="24.95" customHeight="1">
      <c r="A379" s="460"/>
      <c r="E379" s="154"/>
      <c r="F379" s="460"/>
      <c r="K379" s="154"/>
      <c r="L379" s="269"/>
    </row>
    <row r="380" spans="1:12" ht="24.95" customHeight="1">
      <c r="A380" s="460"/>
      <c r="E380" s="154"/>
      <c r="F380" s="460"/>
      <c r="K380" s="154"/>
      <c r="L380" s="269"/>
    </row>
    <row r="381" spans="1:12" ht="24.95" customHeight="1">
      <c r="A381" s="460"/>
      <c r="E381" s="154"/>
      <c r="F381" s="460"/>
      <c r="K381" s="154"/>
      <c r="L381" s="269"/>
    </row>
    <row r="382" spans="1:12" ht="24.95" customHeight="1">
      <c r="A382" s="460"/>
      <c r="E382" s="154"/>
      <c r="F382" s="460"/>
      <c r="K382" s="154"/>
      <c r="L382" s="269"/>
    </row>
    <row r="383" spans="1:12" ht="24.95" customHeight="1">
      <c r="A383" s="460"/>
      <c r="E383" s="154"/>
      <c r="F383" s="460"/>
      <c r="K383" s="154"/>
      <c r="L383" s="269"/>
    </row>
    <row r="384" spans="1:12" ht="24.95" customHeight="1">
      <c r="A384" s="460"/>
      <c r="E384" s="154"/>
      <c r="F384" s="460"/>
      <c r="K384" s="154"/>
      <c r="L384" s="269"/>
    </row>
    <row r="385" spans="1:12" ht="24.95" customHeight="1">
      <c r="A385" s="460"/>
      <c r="E385" s="154"/>
      <c r="F385" s="460"/>
      <c r="K385" s="154"/>
      <c r="L385" s="269"/>
    </row>
    <row r="386" spans="1:12" ht="24.95" customHeight="1">
      <c r="A386" s="460"/>
      <c r="E386" s="154"/>
      <c r="F386" s="460"/>
      <c r="K386" s="154"/>
      <c r="L386" s="269"/>
    </row>
    <row r="387" spans="1:12" ht="24.95" customHeight="1">
      <c r="A387" s="460"/>
      <c r="E387" s="154"/>
      <c r="F387" s="460"/>
      <c r="K387" s="154"/>
      <c r="L387" s="269"/>
    </row>
    <row r="388" spans="1:12" ht="24.95" customHeight="1">
      <c r="A388" s="460"/>
      <c r="E388" s="154"/>
      <c r="F388" s="460"/>
      <c r="K388" s="154"/>
      <c r="L388" s="269"/>
    </row>
    <row r="389" spans="1:12" ht="24.95" customHeight="1">
      <c r="A389" s="460"/>
      <c r="E389" s="154"/>
      <c r="F389" s="460"/>
      <c r="K389" s="154"/>
      <c r="L389" s="269"/>
    </row>
    <row r="390" spans="1:12" ht="24.95" customHeight="1">
      <c r="A390" s="460"/>
      <c r="E390" s="154"/>
      <c r="F390" s="460"/>
      <c r="K390" s="154"/>
      <c r="L390" s="269"/>
    </row>
    <row r="391" spans="1:12" ht="24.95" customHeight="1">
      <c r="A391" s="460"/>
      <c r="E391" s="154"/>
      <c r="F391" s="460"/>
      <c r="K391" s="154"/>
      <c r="L391" s="269"/>
    </row>
    <row r="392" spans="1:12" ht="24.95" customHeight="1">
      <c r="A392" s="460"/>
      <c r="E392" s="154"/>
      <c r="F392" s="460"/>
      <c r="K392" s="154"/>
      <c r="L392" s="269"/>
    </row>
    <row r="393" spans="1:12" ht="24.95" customHeight="1">
      <c r="A393" s="460"/>
      <c r="E393" s="154"/>
      <c r="F393" s="460"/>
      <c r="K393" s="154"/>
      <c r="L393" s="269"/>
    </row>
    <row r="394" spans="1:12" ht="24.95" customHeight="1">
      <c r="A394" s="460"/>
      <c r="E394" s="154"/>
      <c r="F394" s="460"/>
      <c r="K394" s="154"/>
      <c r="L394" s="269"/>
    </row>
    <row r="395" spans="1:12" ht="24.95" customHeight="1">
      <c r="A395" s="460"/>
      <c r="E395" s="154"/>
      <c r="F395" s="460"/>
      <c r="K395" s="154"/>
      <c r="L395" s="269"/>
    </row>
    <row r="396" spans="1:12" ht="24.95" customHeight="1">
      <c r="A396" s="460"/>
      <c r="E396" s="154"/>
      <c r="F396" s="460"/>
      <c r="K396" s="154"/>
      <c r="L396" s="269"/>
    </row>
    <row r="397" spans="1:12" ht="24.95" customHeight="1">
      <c r="A397" s="460"/>
      <c r="E397" s="154"/>
      <c r="F397" s="460"/>
      <c r="K397" s="154"/>
      <c r="L397" s="269"/>
    </row>
    <row r="398" spans="1:12" ht="24.95" customHeight="1">
      <c r="A398" s="460"/>
      <c r="E398" s="154"/>
      <c r="F398" s="460"/>
      <c r="K398" s="154"/>
      <c r="L398" s="269"/>
    </row>
    <row r="399" spans="1:12" ht="24.95" customHeight="1">
      <c r="A399" s="460"/>
      <c r="E399" s="154"/>
      <c r="F399" s="460"/>
      <c r="K399" s="154"/>
      <c r="L399" s="269"/>
    </row>
    <row r="400" spans="1:12" ht="24.95" customHeight="1">
      <c r="A400" s="460"/>
      <c r="E400" s="154"/>
      <c r="F400" s="460"/>
      <c r="K400" s="154"/>
      <c r="L400" s="269"/>
    </row>
    <row r="401" spans="1:12" ht="24.95" customHeight="1">
      <c r="A401" s="460"/>
      <c r="E401" s="154"/>
      <c r="F401" s="460"/>
      <c r="K401" s="154"/>
      <c r="L401" s="269"/>
    </row>
    <row r="402" spans="1:12" ht="24.95" customHeight="1">
      <c r="A402" s="460"/>
      <c r="E402" s="154"/>
      <c r="F402" s="460"/>
      <c r="K402" s="154"/>
      <c r="L402" s="269"/>
    </row>
    <row r="403" spans="1:12" ht="24.95" customHeight="1">
      <c r="A403" s="460"/>
      <c r="E403" s="154"/>
      <c r="F403" s="460"/>
      <c r="K403" s="154"/>
      <c r="L403" s="269"/>
    </row>
    <row r="404" spans="1:12" ht="24.95" customHeight="1">
      <c r="A404" s="460"/>
      <c r="E404" s="154"/>
      <c r="F404" s="460"/>
      <c r="K404" s="154"/>
      <c r="L404" s="269"/>
    </row>
    <row r="405" spans="1:12" ht="24.95" customHeight="1">
      <c r="A405" s="460"/>
      <c r="E405" s="154"/>
      <c r="F405" s="460"/>
      <c r="K405" s="154"/>
      <c r="L405" s="269"/>
    </row>
    <row r="406" spans="1:12" ht="24.95" customHeight="1">
      <c r="A406" s="460"/>
      <c r="E406" s="154"/>
      <c r="F406" s="460"/>
      <c r="K406" s="154"/>
      <c r="L406" s="269"/>
    </row>
    <row r="407" spans="1:12" ht="24.95" customHeight="1">
      <c r="A407" s="460"/>
      <c r="E407" s="154"/>
      <c r="F407" s="460"/>
      <c r="K407" s="154"/>
      <c r="L407" s="269"/>
    </row>
    <row r="408" spans="1:12" ht="24.95" customHeight="1">
      <c r="A408" s="460"/>
      <c r="E408" s="154"/>
      <c r="F408" s="460"/>
      <c r="K408" s="154"/>
      <c r="L408" s="269"/>
    </row>
    <row r="409" spans="1:12" ht="24.95" customHeight="1">
      <c r="A409" s="460"/>
      <c r="E409" s="154"/>
      <c r="F409" s="460"/>
      <c r="K409" s="154"/>
      <c r="L409" s="269"/>
    </row>
    <row r="410" spans="1:12" ht="24.95" customHeight="1">
      <c r="A410" s="460"/>
      <c r="E410" s="154"/>
      <c r="F410" s="460"/>
      <c r="K410" s="154"/>
      <c r="L410" s="269"/>
    </row>
    <row r="411" spans="1:12" ht="24.95" customHeight="1">
      <c r="A411" s="460"/>
      <c r="E411" s="154"/>
      <c r="F411" s="460"/>
      <c r="K411" s="154"/>
      <c r="L411" s="269"/>
    </row>
    <row r="412" spans="1:12" ht="24.95" customHeight="1">
      <c r="A412" s="460"/>
      <c r="E412" s="154"/>
      <c r="F412" s="460"/>
      <c r="K412" s="154"/>
      <c r="L412" s="269"/>
    </row>
    <row r="413" spans="1:12" ht="24.95" customHeight="1">
      <c r="A413" s="460"/>
      <c r="E413" s="154"/>
      <c r="F413" s="460"/>
      <c r="K413" s="154"/>
      <c r="L413" s="269"/>
    </row>
    <row r="414" spans="1:12" ht="24.95" customHeight="1">
      <c r="A414" s="460"/>
      <c r="E414" s="154"/>
      <c r="F414" s="460"/>
      <c r="K414" s="154"/>
      <c r="L414" s="269"/>
    </row>
    <row r="415" spans="1:12" ht="24.95" customHeight="1">
      <c r="A415" s="460"/>
      <c r="E415" s="154"/>
      <c r="F415" s="460"/>
      <c r="K415" s="154"/>
      <c r="L415" s="269"/>
    </row>
    <row r="416" spans="1:12" ht="24.95" customHeight="1">
      <c r="A416" s="460"/>
      <c r="E416" s="154"/>
      <c r="F416" s="460"/>
      <c r="K416" s="154"/>
      <c r="L416" s="269"/>
    </row>
    <row r="417" spans="1:12" ht="24.95" customHeight="1">
      <c r="A417" s="460"/>
      <c r="E417" s="154"/>
      <c r="F417" s="460"/>
      <c r="K417" s="154"/>
      <c r="L417" s="269"/>
    </row>
    <row r="418" spans="1:12" ht="24.95" customHeight="1">
      <c r="A418" s="460"/>
      <c r="E418" s="154"/>
      <c r="F418" s="460"/>
      <c r="K418" s="154"/>
      <c r="L418" s="269"/>
    </row>
    <row r="419" spans="1:12" ht="24.95" customHeight="1">
      <c r="A419" s="460"/>
      <c r="E419" s="154"/>
      <c r="F419" s="460"/>
      <c r="K419" s="154"/>
      <c r="L419" s="269"/>
    </row>
    <row r="420" spans="1:12" ht="24.95" customHeight="1">
      <c r="A420" s="460"/>
      <c r="E420" s="154"/>
      <c r="F420" s="460"/>
      <c r="K420" s="154"/>
      <c r="L420" s="269"/>
    </row>
    <row r="421" spans="1:12" ht="24.95" customHeight="1">
      <c r="A421" s="460"/>
      <c r="E421" s="154"/>
      <c r="F421" s="460"/>
      <c r="K421" s="154"/>
      <c r="L421" s="269"/>
    </row>
    <row r="422" spans="1:12" ht="24.95" customHeight="1">
      <c r="A422" s="460"/>
      <c r="E422" s="154"/>
      <c r="F422" s="460"/>
      <c r="K422" s="154"/>
      <c r="L422" s="269"/>
    </row>
    <row r="423" spans="1:12" ht="24.95" customHeight="1">
      <c r="A423" s="460"/>
      <c r="E423" s="154"/>
      <c r="F423" s="460"/>
      <c r="K423" s="154"/>
      <c r="L423" s="269"/>
    </row>
    <row r="424" spans="1:12" ht="24.95" customHeight="1">
      <c r="A424" s="460"/>
      <c r="E424" s="154"/>
      <c r="F424" s="460"/>
      <c r="K424" s="154"/>
      <c r="L424" s="269"/>
    </row>
    <row r="425" spans="1:12" ht="24.95" customHeight="1">
      <c r="A425" s="460"/>
      <c r="E425" s="154"/>
      <c r="F425" s="460"/>
      <c r="K425" s="154"/>
      <c r="L425" s="269"/>
    </row>
    <row r="426" spans="1:12" ht="24.95" customHeight="1">
      <c r="A426" s="460"/>
      <c r="E426" s="154"/>
      <c r="F426" s="460"/>
      <c r="K426" s="154"/>
      <c r="L426" s="269"/>
    </row>
    <row r="427" spans="1:12" ht="24.95" customHeight="1">
      <c r="A427" s="460"/>
      <c r="E427" s="154"/>
      <c r="F427" s="460"/>
      <c r="K427" s="154"/>
      <c r="L427" s="269"/>
    </row>
    <row r="428" spans="1:12" ht="24.95" customHeight="1">
      <c r="A428" s="460"/>
      <c r="E428" s="154"/>
      <c r="F428" s="460"/>
      <c r="K428" s="154"/>
      <c r="L428" s="269"/>
    </row>
    <row r="429" spans="1:12" ht="24.95" customHeight="1">
      <c r="A429" s="460"/>
      <c r="E429" s="154"/>
      <c r="F429" s="460"/>
      <c r="K429" s="154"/>
      <c r="L429" s="269"/>
    </row>
    <row r="430" spans="1:12" ht="24.95" customHeight="1">
      <c r="A430" s="460"/>
      <c r="E430" s="154"/>
      <c r="F430" s="460"/>
      <c r="K430" s="154"/>
      <c r="L430" s="269"/>
    </row>
    <row r="431" spans="1:12" ht="24.95" customHeight="1">
      <c r="A431" s="460"/>
      <c r="E431" s="154"/>
      <c r="F431" s="460"/>
      <c r="K431" s="154"/>
      <c r="L431" s="269"/>
    </row>
    <row r="432" spans="1:12" ht="24.95" customHeight="1">
      <c r="A432" s="460"/>
      <c r="E432" s="154"/>
      <c r="F432" s="460"/>
      <c r="K432" s="154"/>
      <c r="L432" s="269"/>
    </row>
    <row r="433" spans="1:12" ht="24.95" customHeight="1">
      <c r="A433" s="460"/>
      <c r="E433" s="154"/>
      <c r="F433" s="460"/>
      <c r="K433" s="154"/>
      <c r="L433" s="269"/>
    </row>
    <row r="434" spans="1:12" ht="24.95" customHeight="1">
      <c r="A434" s="460"/>
      <c r="E434" s="154"/>
      <c r="F434" s="460"/>
      <c r="K434" s="154"/>
      <c r="L434" s="269"/>
    </row>
    <row r="435" spans="1:12" ht="24.95" customHeight="1">
      <c r="A435" s="460"/>
      <c r="E435" s="154"/>
      <c r="F435" s="460"/>
      <c r="K435" s="154"/>
      <c r="L435" s="269"/>
    </row>
    <row r="436" spans="1:12" ht="24.95" customHeight="1">
      <c r="A436" s="460"/>
      <c r="E436" s="154"/>
      <c r="F436" s="460"/>
      <c r="K436" s="154"/>
      <c r="L436" s="269"/>
    </row>
    <row r="437" spans="1:12" ht="24.95" customHeight="1">
      <c r="A437" s="460"/>
      <c r="E437" s="154"/>
      <c r="F437" s="460"/>
      <c r="K437" s="154"/>
      <c r="L437" s="269"/>
    </row>
    <row r="438" spans="1:12" ht="24.95" customHeight="1">
      <c r="A438" s="460"/>
      <c r="E438" s="154"/>
      <c r="F438" s="460"/>
      <c r="K438" s="154"/>
      <c r="L438" s="269"/>
    </row>
    <row r="439" spans="1:12" ht="24.95" customHeight="1">
      <c r="A439" s="460"/>
      <c r="E439" s="154"/>
      <c r="F439" s="460"/>
      <c r="K439" s="154"/>
      <c r="L439" s="269"/>
    </row>
    <row r="440" spans="1:12" ht="24.95" customHeight="1">
      <c r="A440" s="460"/>
      <c r="E440" s="154"/>
      <c r="F440" s="460"/>
      <c r="K440" s="154"/>
      <c r="L440" s="269"/>
    </row>
    <row r="441" spans="1:12" ht="24.95" customHeight="1">
      <c r="A441" s="460"/>
      <c r="E441" s="154"/>
      <c r="F441" s="460"/>
      <c r="K441" s="154"/>
      <c r="L441" s="269"/>
    </row>
    <row r="442" spans="1:12" ht="24.95" customHeight="1">
      <c r="A442" s="460"/>
      <c r="E442" s="154"/>
      <c r="F442" s="460"/>
      <c r="K442" s="154"/>
      <c r="L442" s="269"/>
    </row>
    <row r="443" spans="1:12" ht="24.95" customHeight="1">
      <c r="A443" s="460"/>
      <c r="E443" s="154"/>
      <c r="F443" s="460"/>
      <c r="K443" s="154"/>
      <c r="L443" s="269"/>
    </row>
    <row r="444" spans="1:12" ht="24.95" customHeight="1">
      <c r="A444" s="460"/>
      <c r="E444" s="154"/>
      <c r="F444" s="460"/>
      <c r="K444" s="154"/>
      <c r="L444" s="269"/>
    </row>
    <row r="445" spans="1:12" ht="24.95" customHeight="1">
      <c r="A445" s="460"/>
      <c r="E445" s="154"/>
      <c r="F445" s="460"/>
      <c r="K445" s="154"/>
      <c r="L445" s="269"/>
    </row>
    <row r="446" spans="1:12" ht="24.95" customHeight="1">
      <c r="A446" s="460"/>
      <c r="E446" s="154"/>
      <c r="F446" s="460"/>
      <c r="K446" s="154"/>
      <c r="L446" s="269"/>
    </row>
    <row r="447" spans="1:12" ht="24.95" customHeight="1">
      <c r="A447" s="460"/>
      <c r="E447" s="154"/>
      <c r="F447" s="460"/>
      <c r="K447" s="154"/>
      <c r="L447" s="269"/>
    </row>
    <row r="448" spans="1:12" ht="24.95" customHeight="1">
      <c r="A448" s="460"/>
      <c r="E448" s="154"/>
      <c r="F448" s="460"/>
      <c r="K448" s="154"/>
      <c r="L448" s="269"/>
    </row>
    <row r="449" spans="1:12" ht="24.95" customHeight="1">
      <c r="A449" s="460"/>
      <c r="E449" s="154"/>
      <c r="F449" s="460"/>
      <c r="K449" s="154"/>
      <c r="L449" s="269"/>
    </row>
    <row r="450" spans="1:12" ht="24.95" customHeight="1">
      <c r="A450" s="460"/>
      <c r="E450" s="154"/>
      <c r="F450" s="460"/>
      <c r="K450" s="154"/>
      <c r="L450" s="269"/>
    </row>
    <row r="451" spans="1:12" ht="24.95" customHeight="1">
      <c r="A451" s="460"/>
      <c r="E451" s="154"/>
      <c r="F451" s="460"/>
      <c r="K451" s="154"/>
      <c r="L451" s="269"/>
    </row>
    <row r="452" spans="1:12" ht="24.95" customHeight="1">
      <c r="A452" s="460"/>
      <c r="E452" s="154"/>
      <c r="F452" s="460"/>
      <c r="K452" s="154"/>
      <c r="L452" s="269"/>
    </row>
    <row r="453" spans="1:12" ht="24.95" customHeight="1">
      <c r="A453" s="460"/>
      <c r="E453" s="154"/>
      <c r="F453" s="460"/>
      <c r="K453" s="154"/>
      <c r="L453" s="269"/>
    </row>
    <row r="454" spans="1:12" ht="24.95" customHeight="1">
      <c r="A454" s="460"/>
      <c r="E454" s="154"/>
      <c r="F454" s="460"/>
      <c r="K454" s="154"/>
      <c r="L454" s="269"/>
    </row>
    <row r="455" spans="1:12" ht="24.95" customHeight="1">
      <c r="A455" s="460"/>
      <c r="E455" s="154"/>
      <c r="F455" s="460"/>
      <c r="K455" s="154"/>
      <c r="L455" s="269"/>
    </row>
    <row r="456" spans="1:12" ht="24.95" customHeight="1">
      <c r="A456" s="460"/>
      <c r="E456" s="154"/>
      <c r="F456" s="460"/>
      <c r="K456" s="154"/>
      <c r="L456" s="269"/>
    </row>
    <row r="457" spans="1:12" ht="24.95" customHeight="1">
      <c r="A457" s="460"/>
      <c r="E457" s="154"/>
      <c r="F457" s="460"/>
      <c r="K457" s="154"/>
      <c r="L457" s="269"/>
    </row>
    <row r="458" spans="1:12" ht="24.95" customHeight="1">
      <c r="A458" s="460"/>
      <c r="E458" s="154"/>
      <c r="F458" s="460"/>
      <c r="K458" s="154"/>
      <c r="L458" s="269"/>
    </row>
    <row r="459" spans="1:12" ht="24.95" customHeight="1">
      <c r="A459" s="460"/>
      <c r="E459" s="154"/>
      <c r="F459" s="460"/>
      <c r="K459" s="154"/>
      <c r="L459" s="269"/>
    </row>
    <row r="460" spans="1:12" ht="24.95" customHeight="1">
      <c r="A460" s="460"/>
      <c r="E460" s="154"/>
      <c r="F460" s="460"/>
      <c r="K460" s="154"/>
      <c r="L460" s="269"/>
    </row>
    <row r="461" spans="1:12" ht="24.95" customHeight="1">
      <c r="A461" s="460"/>
      <c r="E461" s="154"/>
      <c r="F461" s="460"/>
      <c r="K461" s="154"/>
      <c r="L461" s="269"/>
    </row>
    <row r="462" spans="1:12" ht="24.95" customHeight="1">
      <c r="A462" s="460"/>
      <c r="E462" s="154"/>
      <c r="F462" s="460"/>
      <c r="K462" s="154"/>
      <c r="L462" s="269"/>
    </row>
    <row r="463" spans="1:12" ht="24.95" customHeight="1">
      <c r="A463" s="460"/>
      <c r="E463" s="154"/>
      <c r="F463" s="460"/>
      <c r="K463" s="154"/>
      <c r="L463" s="269"/>
    </row>
    <row r="464" spans="1:12" ht="24.95" customHeight="1">
      <c r="A464" s="460"/>
      <c r="E464" s="154"/>
      <c r="F464" s="460"/>
      <c r="K464" s="154"/>
      <c r="L464" s="269"/>
    </row>
    <row r="465" spans="1:12" ht="24.95" customHeight="1">
      <c r="A465" s="460"/>
      <c r="E465" s="154"/>
      <c r="F465" s="460"/>
      <c r="K465" s="154"/>
      <c r="L465" s="269"/>
    </row>
    <row r="466" spans="1:12" ht="24.95" customHeight="1">
      <c r="A466" s="460"/>
      <c r="E466" s="154"/>
      <c r="F466" s="460"/>
      <c r="K466" s="154"/>
      <c r="L466" s="269"/>
    </row>
    <row r="467" spans="1:12" ht="24.95" customHeight="1">
      <c r="A467" s="460"/>
      <c r="E467" s="154"/>
      <c r="F467" s="460"/>
      <c r="K467" s="154"/>
      <c r="L467" s="269"/>
    </row>
    <row r="468" spans="1:12" ht="24.95" customHeight="1">
      <c r="A468" s="460"/>
      <c r="E468" s="154"/>
      <c r="F468" s="460"/>
      <c r="K468" s="154"/>
      <c r="L468" s="269"/>
    </row>
    <row r="469" spans="1:12" ht="24.95" customHeight="1">
      <c r="A469" s="460"/>
      <c r="E469" s="154"/>
      <c r="F469" s="460"/>
      <c r="K469" s="154"/>
      <c r="L469" s="269"/>
    </row>
    <row r="470" spans="1:12" ht="24.95" customHeight="1">
      <c r="A470" s="460"/>
      <c r="E470" s="154"/>
      <c r="F470" s="460"/>
      <c r="K470" s="154"/>
      <c r="L470" s="269"/>
    </row>
    <row r="471" spans="1:12" ht="24.95" customHeight="1">
      <c r="A471" s="460"/>
      <c r="E471" s="154"/>
      <c r="F471" s="460"/>
      <c r="K471" s="154"/>
      <c r="L471" s="269"/>
    </row>
    <row r="472" spans="1:12" ht="24.95" customHeight="1">
      <c r="A472" s="460"/>
      <c r="E472" s="154"/>
      <c r="F472" s="460"/>
      <c r="K472" s="154"/>
      <c r="L472" s="269"/>
    </row>
    <row r="473" spans="1:12" ht="24.95" customHeight="1">
      <c r="A473" s="460"/>
      <c r="E473" s="154"/>
      <c r="F473" s="460"/>
      <c r="K473" s="154"/>
      <c r="L473" s="269"/>
    </row>
    <row r="474" spans="1:12" ht="24.95" customHeight="1">
      <c r="A474" s="460"/>
      <c r="E474" s="154"/>
      <c r="F474" s="460"/>
      <c r="K474" s="154"/>
      <c r="L474" s="269"/>
    </row>
    <row r="475" spans="1:12" ht="24.95" customHeight="1">
      <c r="A475" s="460"/>
      <c r="E475" s="154"/>
      <c r="F475" s="460"/>
      <c r="K475" s="154"/>
      <c r="L475" s="269"/>
    </row>
    <row r="476" spans="1:12" ht="24.95" customHeight="1">
      <c r="A476" s="460"/>
      <c r="E476" s="154"/>
      <c r="F476" s="460"/>
      <c r="K476" s="154"/>
      <c r="L476" s="269"/>
    </row>
    <row r="477" spans="1:12" ht="24.95" customHeight="1">
      <c r="A477" s="460"/>
      <c r="E477" s="154"/>
      <c r="F477" s="460"/>
      <c r="K477" s="154"/>
      <c r="L477" s="269"/>
    </row>
    <row r="478" spans="1:12" ht="24.95" customHeight="1">
      <c r="A478" s="460"/>
      <c r="E478" s="154"/>
      <c r="F478" s="460"/>
      <c r="K478" s="154"/>
      <c r="L478" s="269"/>
    </row>
    <row r="479" spans="1:12" ht="24.95" customHeight="1">
      <c r="A479" s="460"/>
      <c r="E479" s="154"/>
      <c r="F479" s="460"/>
      <c r="K479" s="154"/>
      <c r="L479" s="269"/>
    </row>
    <row r="480" spans="1:12" ht="24.95" customHeight="1">
      <c r="A480" s="460"/>
      <c r="E480" s="154"/>
      <c r="F480" s="460"/>
      <c r="K480" s="154"/>
      <c r="L480" s="269"/>
    </row>
    <row r="481" spans="1:12" ht="24.95" customHeight="1">
      <c r="A481" s="460"/>
      <c r="E481" s="154"/>
      <c r="F481" s="460"/>
      <c r="K481" s="154"/>
      <c r="L481" s="269"/>
    </row>
    <row r="482" spans="1:12" ht="24.95" customHeight="1">
      <c r="A482" s="460"/>
      <c r="E482" s="154"/>
      <c r="F482" s="460"/>
      <c r="K482" s="154"/>
      <c r="L482" s="269"/>
    </row>
    <row r="483" spans="1:12" ht="24.95" customHeight="1">
      <c r="A483" s="460"/>
      <c r="E483" s="154"/>
      <c r="F483" s="460"/>
      <c r="K483" s="154"/>
      <c r="L483" s="269"/>
    </row>
    <row r="484" spans="1:12" ht="24.95" customHeight="1">
      <c r="A484" s="460"/>
      <c r="E484" s="154"/>
      <c r="F484" s="460"/>
      <c r="K484" s="154"/>
      <c r="L484" s="269"/>
    </row>
    <row r="485" spans="1:12" ht="24.95" customHeight="1">
      <c r="A485" s="460"/>
      <c r="E485" s="154"/>
      <c r="F485" s="460"/>
      <c r="K485" s="154"/>
      <c r="L485" s="269"/>
    </row>
    <row r="486" spans="1:12" ht="24.95" customHeight="1">
      <c r="A486" s="460"/>
      <c r="E486" s="154"/>
      <c r="F486" s="460"/>
      <c r="K486" s="154"/>
      <c r="L486" s="269"/>
    </row>
    <row r="487" spans="1:12" ht="24.95" customHeight="1">
      <c r="A487" s="460"/>
      <c r="E487" s="154"/>
      <c r="F487" s="460"/>
      <c r="K487" s="154"/>
      <c r="L487" s="269"/>
    </row>
    <row r="488" spans="1:12" ht="24.95" customHeight="1">
      <c r="A488" s="460"/>
      <c r="E488" s="154"/>
      <c r="F488" s="460"/>
      <c r="K488" s="154"/>
      <c r="L488" s="269"/>
    </row>
    <row r="489" spans="1:12" ht="24.95" customHeight="1">
      <c r="A489" s="460"/>
      <c r="E489" s="154"/>
      <c r="F489" s="460"/>
      <c r="K489" s="154"/>
      <c r="L489" s="269"/>
    </row>
    <row r="490" spans="1:12" ht="24.95" customHeight="1">
      <c r="A490" s="460"/>
      <c r="E490" s="154"/>
      <c r="F490" s="460"/>
      <c r="K490" s="154"/>
      <c r="L490" s="269"/>
    </row>
    <row r="491" spans="1:12" ht="24.95" customHeight="1">
      <c r="A491" s="460"/>
      <c r="E491" s="154"/>
      <c r="F491" s="460"/>
      <c r="K491" s="154"/>
      <c r="L491" s="269"/>
    </row>
    <row r="492" spans="1:12" ht="24.95" customHeight="1">
      <c r="A492" s="460"/>
      <c r="E492" s="154"/>
      <c r="F492" s="460"/>
      <c r="K492" s="154"/>
      <c r="L492" s="269"/>
    </row>
    <row r="493" spans="1:12" ht="24.95" customHeight="1">
      <c r="A493" s="460"/>
      <c r="E493" s="154"/>
      <c r="F493" s="460"/>
      <c r="K493" s="154"/>
      <c r="L493" s="269"/>
    </row>
    <row r="494" spans="1:12" ht="24.95" customHeight="1">
      <c r="A494" s="460"/>
      <c r="E494" s="154"/>
      <c r="F494" s="460"/>
      <c r="K494" s="154"/>
      <c r="L494" s="269"/>
    </row>
    <row r="495" spans="1:12" ht="24.95" customHeight="1">
      <c r="A495" s="460"/>
      <c r="E495" s="154"/>
      <c r="F495" s="460"/>
      <c r="K495" s="154"/>
      <c r="L495" s="269"/>
    </row>
    <row r="496" spans="1:12" ht="24.95" customHeight="1">
      <c r="A496" s="460"/>
      <c r="E496" s="154"/>
      <c r="F496" s="460"/>
      <c r="K496" s="154"/>
      <c r="L496" s="269"/>
    </row>
    <row r="497" spans="1:12" ht="24.95" customHeight="1">
      <c r="A497" s="460"/>
      <c r="E497" s="154"/>
      <c r="F497" s="460"/>
      <c r="K497" s="154"/>
      <c r="L497" s="269"/>
    </row>
    <row r="498" spans="1:12" ht="24.95" customHeight="1">
      <c r="A498" s="460"/>
      <c r="E498" s="154"/>
      <c r="F498" s="460"/>
      <c r="K498" s="154"/>
      <c r="L498" s="269"/>
    </row>
    <row r="499" spans="1:12" ht="24.95" customHeight="1">
      <c r="A499" s="460"/>
      <c r="E499" s="154"/>
      <c r="F499" s="460"/>
      <c r="K499" s="154"/>
      <c r="L499" s="269"/>
    </row>
    <row r="500" spans="1:12" ht="24.95" customHeight="1">
      <c r="A500" s="460"/>
      <c r="E500" s="154"/>
      <c r="F500" s="460"/>
      <c r="K500" s="154"/>
      <c r="L500" s="269"/>
    </row>
    <row r="501" spans="1:12" ht="24.95" customHeight="1">
      <c r="A501" s="460"/>
      <c r="E501" s="154"/>
      <c r="F501" s="460"/>
      <c r="K501" s="154"/>
      <c r="L501" s="269"/>
    </row>
    <row r="502" spans="1:12" ht="24.95" customHeight="1">
      <c r="A502" s="460"/>
      <c r="E502" s="154"/>
      <c r="F502" s="460"/>
      <c r="K502" s="154"/>
      <c r="L502" s="269"/>
    </row>
    <row r="503" spans="1:12" ht="24.95" customHeight="1">
      <c r="A503" s="460"/>
      <c r="E503" s="154"/>
      <c r="F503" s="460"/>
      <c r="K503" s="154"/>
      <c r="L503" s="269"/>
    </row>
    <row r="504" spans="1:12" ht="24.95" customHeight="1">
      <c r="A504" s="460"/>
      <c r="E504" s="154"/>
      <c r="F504" s="460"/>
      <c r="K504" s="154"/>
      <c r="L504" s="269"/>
    </row>
    <row r="505" spans="1:12" ht="24.95" customHeight="1">
      <c r="A505" s="460"/>
      <c r="E505" s="154"/>
      <c r="F505" s="460"/>
      <c r="K505" s="154"/>
      <c r="L505" s="269"/>
    </row>
    <row r="506" spans="1:12" ht="24.95" customHeight="1">
      <c r="A506" s="460"/>
      <c r="E506" s="154"/>
      <c r="F506" s="460"/>
      <c r="K506" s="154"/>
      <c r="L506" s="269"/>
    </row>
    <row r="507" spans="1:12" ht="24.95" customHeight="1">
      <c r="A507" s="460"/>
      <c r="E507" s="154"/>
      <c r="F507" s="460"/>
      <c r="K507" s="154"/>
      <c r="L507" s="269"/>
    </row>
    <row r="508" spans="1:12" ht="24.95" customHeight="1">
      <c r="A508" s="460"/>
      <c r="E508" s="154"/>
      <c r="F508" s="460"/>
      <c r="K508" s="154"/>
      <c r="L508" s="269"/>
    </row>
    <row r="509" spans="1:12" ht="24.95" customHeight="1">
      <c r="A509" s="460"/>
      <c r="E509" s="154"/>
      <c r="F509" s="460"/>
      <c r="K509" s="154"/>
      <c r="L509" s="269"/>
    </row>
    <row r="510" spans="1:12" ht="24.95" customHeight="1">
      <c r="A510" s="460"/>
      <c r="E510" s="154"/>
      <c r="F510" s="460"/>
      <c r="K510" s="154"/>
      <c r="L510" s="269"/>
    </row>
    <row r="511" spans="1:12" ht="24.95" customHeight="1">
      <c r="A511" s="460"/>
      <c r="E511" s="154"/>
      <c r="F511" s="460"/>
      <c r="K511" s="154"/>
      <c r="L511" s="269"/>
    </row>
    <row r="512" spans="1:12" ht="24.95" customHeight="1">
      <c r="A512" s="460"/>
      <c r="E512" s="154"/>
      <c r="F512" s="460"/>
      <c r="K512" s="154"/>
      <c r="L512" s="269"/>
    </row>
    <row r="513" spans="1:12" ht="24.95" customHeight="1">
      <c r="A513" s="460"/>
      <c r="E513" s="154"/>
      <c r="F513" s="460"/>
      <c r="K513" s="154"/>
      <c r="L513" s="269"/>
    </row>
    <row r="514" spans="1:12" ht="24.95" customHeight="1">
      <c r="A514" s="460"/>
      <c r="E514" s="154"/>
      <c r="F514" s="460"/>
      <c r="K514" s="154"/>
      <c r="L514" s="269"/>
    </row>
    <row r="515" spans="1:12" ht="24.95" customHeight="1">
      <c r="A515" s="460"/>
      <c r="E515" s="154"/>
      <c r="F515" s="460"/>
      <c r="K515" s="154"/>
      <c r="L515" s="269"/>
    </row>
    <row r="516" spans="1:12" ht="24.95" customHeight="1">
      <c r="A516" s="460"/>
      <c r="E516" s="154"/>
      <c r="F516" s="460"/>
      <c r="K516" s="154"/>
      <c r="L516" s="269"/>
    </row>
    <row r="517" spans="1:12" ht="24.95" customHeight="1">
      <c r="A517" s="460"/>
      <c r="E517" s="154"/>
      <c r="F517" s="460"/>
      <c r="K517" s="154"/>
      <c r="L517" s="269"/>
    </row>
    <row r="518" spans="1:12" ht="24.95" customHeight="1">
      <c r="A518" s="460"/>
      <c r="E518" s="154"/>
      <c r="F518" s="460"/>
      <c r="K518" s="154"/>
      <c r="L518" s="269"/>
    </row>
    <row r="519" spans="1:12" ht="24.95" customHeight="1">
      <c r="A519" s="460"/>
      <c r="E519" s="154"/>
      <c r="F519" s="460"/>
      <c r="K519" s="154"/>
      <c r="L519" s="269"/>
    </row>
    <row r="520" spans="1:12" ht="24.95" customHeight="1">
      <c r="A520" s="460"/>
      <c r="E520" s="154"/>
      <c r="F520" s="460"/>
      <c r="K520" s="154"/>
      <c r="L520" s="269"/>
    </row>
    <row r="521" spans="1:12" ht="24.95" customHeight="1">
      <c r="A521" s="460"/>
      <c r="E521" s="154"/>
      <c r="F521" s="460"/>
      <c r="K521" s="154"/>
      <c r="L521" s="269"/>
    </row>
    <row r="522" spans="1:12" ht="24.95" customHeight="1">
      <c r="A522" s="460"/>
      <c r="E522" s="154"/>
      <c r="F522" s="460"/>
      <c r="K522" s="154"/>
      <c r="L522" s="269"/>
    </row>
    <row r="523" spans="1:12" ht="24.95" customHeight="1">
      <c r="A523" s="460"/>
      <c r="E523" s="154"/>
      <c r="F523" s="460"/>
      <c r="K523" s="154"/>
      <c r="L523" s="269"/>
    </row>
    <row r="524" spans="1:12" ht="24.95" customHeight="1">
      <c r="A524" s="460"/>
      <c r="E524" s="154"/>
      <c r="F524" s="460"/>
      <c r="K524" s="154"/>
      <c r="L524" s="269"/>
    </row>
    <row r="525" spans="1:12" ht="24.95" customHeight="1">
      <c r="A525" s="460"/>
      <c r="E525" s="154"/>
      <c r="F525" s="460"/>
      <c r="K525" s="154"/>
      <c r="L525" s="269"/>
    </row>
    <row r="526" spans="1:12" ht="24.95" customHeight="1">
      <c r="A526" s="460"/>
      <c r="E526" s="154"/>
      <c r="F526" s="460"/>
      <c r="K526" s="154"/>
      <c r="L526" s="269"/>
    </row>
    <row r="527" spans="1:12" ht="24.95" customHeight="1">
      <c r="A527" s="460"/>
      <c r="E527" s="154"/>
      <c r="F527" s="460"/>
      <c r="K527" s="154"/>
      <c r="L527" s="269"/>
    </row>
    <row r="528" spans="1:12" ht="24.95" customHeight="1">
      <c r="A528" s="460"/>
      <c r="E528" s="154"/>
      <c r="F528" s="460"/>
      <c r="K528" s="154"/>
      <c r="L528" s="269"/>
    </row>
    <row r="529" spans="1:12" ht="24.95" customHeight="1">
      <c r="A529" s="460"/>
      <c r="E529" s="154"/>
      <c r="F529" s="460"/>
      <c r="K529" s="154"/>
      <c r="L529" s="269"/>
    </row>
    <row r="530" spans="1:12" ht="24.95" customHeight="1">
      <c r="A530" s="460"/>
      <c r="E530" s="154"/>
      <c r="F530" s="460"/>
      <c r="K530" s="154"/>
      <c r="L530" s="269"/>
    </row>
    <row r="531" spans="1:12" ht="24.95" customHeight="1">
      <c r="A531" s="460"/>
      <c r="E531" s="154"/>
      <c r="F531" s="460"/>
      <c r="K531" s="154"/>
      <c r="L531" s="269"/>
    </row>
    <row r="532" spans="1:12" ht="24.95" customHeight="1">
      <c r="A532" s="460"/>
      <c r="E532" s="154"/>
      <c r="F532" s="460"/>
      <c r="K532" s="154"/>
      <c r="L532" s="269"/>
    </row>
    <row r="533" spans="1:12" ht="24.95" customHeight="1">
      <c r="A533" s="460"/>
      <c r="E533" s="154"/>
      <c r="F533" s="460"/>
      <c r="K533" s="154"/>
      <c r="L533" s="269"/>
    </row>
    <row r="534" spans="1:12" ht="24.95" customHeight="1">
      <c r="A534" s="460"/>
      <c r="E534" s="154"/>
      <c r="F534" s="460"/>
      <c r="K534" s="154"/>
      <c r="L534" s="269"/>
    </row>
    <row r="535" spans="1:12" ht="24.95" customHeight="1">
      <c r="A535" s="460"/>
      <c r="E535" s="154"/>
      <c r="F535" s="460"/>
      <c r="K535" s="154"/>
      <c r="L535" s="269"/>
    </row>
    <row r="536" spans="1:12" ht="24.95" customHeight="1">
      <c r="A536" s="460"/>
      <c r="E536" s="154"/>
      <c r="F536" s="460"/>
      <c r="K536" s="154"/>
      <c r="L536" s="269"/>
    </row>
    <row r="537" spans="1:12" ht="24.95" customHeight="1">
      <c r="A537" s="460"/>
      <c r="E537" s="154"/>
      <c r="F537" s="460"/>
      <c r="K537" s="154"/>
      <c r="L537" s="269"/>
    </row>
    <row r="538" spans="1:12" ht="24.95" customHeight="1">
      <c r="A538" s="460"/>
      <c r="E538" s="154"/>
      <c r="F538" s="460"/>
      <c r="K538" s="154"/>
      <c r="L538" s="269"/>
    </row>
    <row r="539" spans="1:12" ht="24.95" customHeight="1">
      <c r="A539" s="460"/>
      <c r="E539" s="154"/>
      <c r="F539" s="460"/>
      <c r="K539" s="154"/>
      <c r="L539" s="269"/>
    </row>
    <row r="540" spans="1:12" ht="24.95" customHeight="1">
      <c r="A540" s="460"/>
      <c r="E540" s="154"/>
      <c r="F540" s="460"/>
      <c r="K540" s="154"/>
      <c r="L540" s="269"/>
    </row>
    <row r="541" spans="1:12" ht="24.95" customHeight="1">
      <c r="A541" s="460"/>
      <c r="E541" s="154"/>
      <c r="F541" s="460"/>
      <c r="K541" s="154"/>
      <c r="L541" s="269"/>
    </row>
    <row r="542" spans="1:12" ht="24.95" customHeight="1">
      <c r="A542" s="460"/>
      <c r="E542" s="154"/>
      <c r="F542" s="460"/>
      <c r="K542" s="154"/>
      <c r="L542" s="269"/>
    </row>
    <row r="543" spans="1:12" ht="24.95" customHeight="1">
      <c r="A543" s="460"/>
      <c r="E543" s="154"/>
      <c r="F543" s="460"/>
      <c r="K543" s="154"/>
      <c r="L543" s="269"/>
    </row>
    <row r="544" spans="1:12" ht="24.95" customHeight="1">
      <c r="A544" s="460"/>
      <c r="E544" s="154"/>
      <c r="F544" s="460"/>
      <c r="K544" s="154"/>
      <c r="L544" s="269"/>
    </row>
    <row r="545" spans="1:12" ht="24.95" customHeight="1">
      <c r="A545" s="460"/>
      <c r="E545" s="154"/>
      <c r="F545" s="460"/>
      <c r="K545" s="154"/>
      <c r="L545" s="269"/>
    </row>
    <row r="546" spans="1:12" ht="24.95" customHeight="1">
      <c r="A546" s="460"/>
      <c r="E546" s="154"/>
      <c r="F546" s="460"/>
      <c r="K546" s="154"/>
      <c r="L546" s="269"/>
    </row>
    <row r="547" spans="1:12" ht="24.95" customHeight="1">
      <c r="A547" s="460"/>
      <c r="E547" s="154"/>
      <c r="F547" s="460"/>
      <c r="K547" s="154"/>
      <c r="L547" s="269"/>
    </row>
    <row r="548" spans="1:12" ht="24.95" customHeight="1">
      <c r="A548" s="460"/>
      <c r="E548" s="154"/>
      <c r="F548" s="460"/>
      <c r="K548" s="154"/>
      <c r="L548" s="269"/>
    </row>
    <row r="549" spans="1:12" ht="24.95" customHeight="1">
      <c r="A549" s="460"/>
      <c r="E549" s="154"/>
      <c r="F549" s="460"/>
      <c r="K549" s="154"/>
      <c r="L549" s="269"/>
    </row>
    <row r="550" spans="1:12" ht="24.95" customHeight="1">
      <c r="A550" s="460"/>
      <c r="E550" s="154"/>
      <c r="F550" s="460"/>
      <c r="K550" s="154"/>
      <c r="L550" s="269"/>
    </row>
    <row r="551" spans="1:12" ht="24.95" customHeight="1">
      <c r="A551" s="460"/>
      <c r="E551" s="154"/>
      <c r="F551" s="460"/>
      <c r="K551" s="154"/>
      <c r="L551" s="269"/>
    </row>
    <row r="552" spans="1:12" ht="24.95" customHeight="1">
      <c r="A552" s="460"/>
      <c r="E552" s="154"/>
      <c r="F552" s="460"/>
      <c r="K552" s="154"/>
      <c r="L552" s="269"/>
    </row>
    <row r="553" spans="1:12" ht="24.95" customHeight="1">
      <c r="A553" s="460"/>
      <c r="E553" s="154"/>
      <c r="F553" s="460"/>
      <c r="K553" s="154"/>
      <c r="L553" s="269"/>
    </row>
    <row r="554" spans="1:12" ht="24.95" customHeight="1">
      <c r="A554" s="460"/>
      <c r="E554" s="154"/>
      <c r="F554" s="460"/>
      <c r="K554" s="154"/>
      <c r="L554" s="269"/>
    </row>
    <row r="555" spans="1:12" ht="24.95" customHeight="1">
      <c r="A555" s="460"/>
      <c r="E555" s="154"/>
      <c r="F555" s="460"/>
      <c r="K555" s="154"/>
      <c r="L555" s="269"/>
    </row>
    <row r="556" spans="1:12" ht="24.95" customHeight="1">
      <c r="A556" s="460"/>
      <c r="E556" s="154"/>
      <c r="F556" s="460"/>
      <c r="K556" s="154"/>
      <c r="L556" s="269"/>
    </row>
    <row r="557" spans="1:12" ht="24.95" customHeight="1">
      <c r="A557" s="460"/>
      <c r="E557" s="154"/>
      <c r="F557" s="460"/>
      <c r="K557" s="154"/>
      <c r="L557" s="269"/>
    </row>
    <row r="558" spans="1:12" ht="24.95" customHeight="1">
      <c r="A558" s="460"/>
      <c r="E558" s="154"/>
      <c r="F558" s="460"/>
      <c r="K558" s="154"/>
      <c r="L558" s="269"/>
    </row>
    <row r="559" spans="1:12" ht="24.95" customHeight="1">
      <c r="A559" s="460"/>
      <c r="E559" s="154"/>
      <c r="F559" s="460"/>
      <c r="K559" s="154"/>
      <c r="L559" s="269"/>
    </row>
    <row r="560" spans="1:12" ht="24.95" customHeight="1">
      <c r="A560" s="460"/>
      <c r="E560" s="154"/>
      <c r="F560" s="460"/>
      <c r="K560" s="154"/>
      <c r="L560" s="269"/>
    </row>
    <row r="561" spans="1:12" ht="24.95" customHeight="1">
      <c r="A561" s="460"/>
      <c r="E561" s="154"/>
      <c r="F561" s="460"/>
      <c r="K561" s="154"/>
      <c r="L561" s="269"/>
    </row>
    <row r="562" spans="1:12" ht="24.95" customHeight="1">
      <c r="A562" s="460"/>
      <c r="E562" s="154"/>
      <c r="F562" s="460"/>
      <c r="K562" s="154"/>
      <c r="L562" s="269"/>
    </row>
    <row r="563" spans="1:12" ht="24.95" customHeight="1">
      <c r="A563" s="460"/>
      <c r="E563" s="154"/>
      <c r="F563" s="460"/>
      <c r="K563" s="154"/>
      <c r="L563" s="269"/>
    </row>
    <row r="564" spans="1:12" ht="24.95" customHeight="1">
      <c r="A564" s="460"/>
      <c r="E564" s="154"/>
      <c r="F564" s="460"/>
      <c r="K564" s="154"/>
      <c r="L564" s="269"/>
    </row>
    <row r="565" spans="1:12" ht="24.95" customHeight="1">
      <c r="A565" s="460"/>
      <c r="E565" s="154"/>
      <c r="F565" s="460"/>
      <c r="K565" s="154"/>
      <c r="L565" s="269"/>
    </row>
    <row r="566" spans="1:12" ht="24.95" customHeight="1">
      <c r="A566" s="460"/>
      <c r="E566" s="154"/>
      <c r="F566" s="460"/>
      <c r="K566" s="154"/>
      <c r="L566" s="269"/>
    </row>
    <row r="567" spans="1:12" ht="24.95" customHeight="1">
      <c r="A567" s="460"/>
      <c r="E567" s="154"/>
      <c r="F567" s="460"/>
      <c r="K567" s="154"/>
      <c r="L567" s="269"/>
    </row>
    <row r="568" spans="1:12" ht="24.95" customHeight="1">
      <c r="A568" s="460"/>
      <c r="E568" s="154"/>
      <c r="F568" s="460"/>
      <c r="K568" s="154"/>
      <c r="L568" s="269"/>
    </row>
    <row r="569" spans="1:12" ht="24.95" customHeight="1">
      <c r="A569" s="460"/>
      <c r="E569" s="154"/>
      <c r="F569" s="460"/>
      <c r="K569" s="154"/>
      <c r="L569" s="269"/>
    </row>
    <row r="570" spans="1:12" ht="24.95" customHeight="1">
      <c r="A570" s="460"/>
      <c r="E570" s="154"/>
      <c r="F570" s="460"/>
      <c r="K570" s="154"/>
      <c r="L570" s="269"/>
    </row>
    <row r="571" spans="1:12" ht="24.95" customHeight="1">
      <c r="A571" s="460"/>
      <c r="E571" s="154"/>
      <c r="F571" s="460"/>
      <c r="K571" s="154"/>
      <c r="L571" s="269"/>
    </row>
    <row r="572" spans="1:12" ht="24.95" customHeight="1">
      <c r="A572" s="460"/>
      <c r="E572" s="154"/>
      <c r="F572" s="460"/>
      <c r="K572" s="154"/>
      <c r="L572" s="269"/>
    </row>
    <row r="573" spans="1:12" ht="24.95" customHeight="1">
      <c r="A573" s="460"/>
      <c r="E573" s="154"/>
      <c r="F573" s="460"/>
      <c r="K573" s="154"/>
      <c r="L573" s="269"/>
    </row>
    <row r="574" spans="1:12" ht="24.95" customHeight="1">
      <c r="A574" s="460"/>
      <c r="E574" s="154"/>
      <c r="F574" s="460"/>
      <c r="K574" s="154"/>
      <c r="L574" s="269"/>
    </row>
    <row r="575" spans="1:12" ht="24.95" customHeight="1">
      <c r="A575" s="460"/>
      <c r="E575" s="154"/>
      <c r="F575" s="460"/>
      <c r="K575" s="154"/>
      <c r="L575" s="269"/>
    </row>
    <row r="576" spans="1:12" ht="24.95" customHeight="1">
      <c r="A576" s="460"/>
      <c r="E576" s="154"/>
      <c r="F576" s="460"/>
      <c r="K576" s="154"/>
      <c r="L576" s="269"/>
    </row>
    <row r="577" spans="1:12" ht="24.95" customHeight="1">
      <c r="A577" s="460"/>
      <c r="E577" s="154"/>
      <c r="F577" s="460"/>
      <c r="K577" s="154"/>
      <c r="L577" s="269"/>
    </row>
    <row r="578" spans="1:12" ht="24.95" customHeight="1">
      <c r="A578" s="460"/>
      <c r="E578" s="154"/>
      <c r="F578" s="460"/>
      <c r="K578" s="154"/>
      <c r="L578" s="269"/>
    </row>
    <row r="579" spans="1:12" ht="24.95" customHeight="1">
      <c r="A579" s="460"/>
      <c r="E579" s="154"/>
      <c r="F579" s="460"/>
      <c r="K579" s="154"/>
      <c r="L579" s="269"/>
    </row>
    <row r="580" spans="1:12" ht="24.95" customHeight="1">
      <c r="A580" s="460"/>
      <c r="E580" s="154"/>
      <c r="F580" s="460"/>
      <c r="K580" s="154"/>
      <c r="L580" s="269"/>
    </row>
    <row r="581" spans="1:12" ht="24.95" customHeight="1">
      <c r="A581" s="460"/>
      <c r="E581" s="154"/>
      <c r="F581" s="460"/>
      <c r="K581" s="154"/>
      <c r="L581" s="269"/>
    </row>
    <row r="582" spans="1:12" ht="24.95" customHeight="1">
      <c r="A582" s="460"/>
      <c r="E582" s="154"/>
      <c r="F582" s="460"/>
      <c r="K582" s="154"/>
      <c r="L582" s="269"/>
    </row>
    <row r="583" spans="1:12" ht="24.95" customHeight="1">
      <c r="A583" s="460"/>
      <c r="E583" s="154"/>
      <c r="F583" s="460"/>
      <c r="K583" s="154"/>
      <c r="L583" s="269"/>
    </row>
    <row r="584" spans="1:12" ht="24.95" customHeight="1">
      <c r="A584" s="460"/>
      <c r="E584" s="154"/>
      <c r="F584" s="460"/>
      <c r="K584" s="154"/>
      <c r="L584" s="269"/>
    </row>
    <row r="585" spans="1:12" ht="24.95" customHeight="1">
      <c r="A585" s="460"/>
      <c r="E585" s="154"/>
      <c r="F585" s="460"/>
      <c r="K585" s="154"/>
      <c r="L585" s="269"/>
    </row>
    <row r="586" spans="1:12" ht="24.95" customHeight="1">
      <c r="A586" s="460"/>
      <c r="E586" s="154"/>
      <c r="F586" s="460"/>
      <c r="K586" s="154"/>
      <c r="L586" s="269"/>
    </row>
    <row r="587" spans="1:12" ht="24.95" customHeight="1">
      <c r="A587" s="460"/>
      <c r="E587" s="154"/>
      <c r="F587" s="460"/>
      <c r="K587" s="154"/>
      <c r="L587" s="269"/>
    </row>
    <row r="588" spans="1:12" ht="24.95" customHeight="1">
      <c r="A588" s="460"/>
      <c r="E588" s="154"/>
      <c r="F588" s="460"/>
      <c r="K588" s="154"/>
      <c r="L588" s="269"/>
    </row>
    <row r="589" spans="1:12" ht="24.95" customHeight="1">
      <c r="A589" s="460"/>
      <c r="E589" s="154"/>
      <c r="F589" s="460"/>
      <c r="K589" s="154"/>
      <c r="L589" s="269"/>
    </row>
    <row r="590" spans="1:12" ht="24.95" customHeight="1">
      <c r="A590" s="460"/>
      <c r="E590" s="154"/>
      <c r="F590" s="460"/>
      <c r="K590" s="154"/>
      <c r="L590" s="269"/>
    </row>
    <row r="591" spans="1:12" ht="24.95" customHeight="1">
      <c r="A591" s="460"/>
      <c r="E591" s="154"/>
      <c r="F591" s="460"/>
      <c r="K591" s="154"/>
      <c r="L591" s="269"/>
    </row>
    <row r="592" spans="1:12" ht="24.95" customHeight="1">
      <c r="A592" s="460"/>
      <c r="E592" s="154"/>
      <c r="F592" s="460"/>
      <c r="K592" s="154"/>
      <c r="L592" s="269"/>
    </row>
    <row r="593" spans="1:12" ht="24.95" customHeight="1">
      <c r="A593" s="460"/>
      <c r="E593" s="154"/>
      <c r="F593" s="460"/>
      <c r="K593" s="154"/>
      <c r="L593" s="269"/>
    </row>
    <row r="594" spans="1:12" ht="24.95" customHeight="1">
      <c r="A594" s="460"/>
      <c r="E594" s="154"/>
      <c r="F594" s="460"/>
      <c r="K594" s="154"/>
      <c r="L594" s="269"/>
    </row>
    <row r="595" spans="1:12" ht="24.95" customHeight="1">
      <c r="A595" s="460"/>
      <c r="E595" s="154"/>
      <c r="F595" s="460"/>
      <c r="K595" s="154"/>
      <c r="L595" s="269"/>
    </row>
    <row r="596" spans="1:12" ht="24.95" customHeight="1">
      <c r="A596" s="460"/>
      <c r="E596" s="154"/>
      <c r="F596" s="460"/>
      <c r="K596" s="154"/>
      <c r="L596" s="269"/>
    </row>
    <row r="597" spans="1:12" ht="24.95" customHeight="1">
      <c r="A597" s="460"/>
      <c r="E597" s="154"/>
      <c r="F597" s="460"/>
      <c r="K597" s="154"/>
      <c r="L597" s="269"/>
    </row>
    <row r="598" spans="1:12" ht="24.95" customHeight="1">
      <c r="A598" s="460"/>
      <c r="E598" s="154"/>
      <c r="F598" s="460"/>
      <c r="K598" s="154"/>
      <c r="L598" s="269"/>
    </row>
    <row r="599" spans="1:12" ht="24.95" customHeight="1">
      <c r="A599" s="460"/>
      <c r="E599" s="154"/>
      <c r="F599" s="460"/>
      <c r="K599" s="154"/>
      <c r="L599" s="269"/>
    </row>
    <row r="600" spans="1:12" ht="24.95" customHeight="1">
      <c r="A600" s="460"/>
      <c r="E600" s="154"/>
      <c r="F600" s="460"/>
      <c r="K600" s="154"/>
      <c r="L600" s="269"/>
    </row>
    <row r="601" spans="1:12" ht="24.95" customHeight="1">
      <c r="A601" s="460"/>
      <c r="E601" s="154"/>
      <c r="F601" s="460"/>
      <c r="K601" s="154"/>
      <c r="L601" s="269"/>
    </row>
    <row r="602" spans="1:12" ht="24.95" customHeight="1">
      <c r="A602" s="460"/>
      <c r="E602" s="154"/>
      <c r="F602" s="460"/>
      <c r="K602" s="154"/>
      <c r="L602" s="269"/>
    </row>
    <row r="603" spans="1:12" ht="24.95" customHeight="1">
      <c r="A603" s="460"/>
      <c r="E603" s="154"/>
      <c r="F603" s="460"/>
      <c r="K603" s="154"/>
      <c r="L603" s="269"/>
    </row>
    <row r="604" spans="1:12" ht="24.95" customHeight="1">
      <c r="A604" s="460"/>
      <c r="E604" s="154"/>
      <c r="F604" s="460"/>
      <c r="K604" s="154"/>
      <c r="L604" s="269"/>
    </row>
    <row r="605" spans="1:12" ht="24.95" customHeight="1">
      <c r="A605" s="460"/>
      <c r="E605" s="154"/>
      <c r="F605" s="460"/>
      <c r="K605" s="154"/>
      <c r="L605" s="269"/>
    </row>
    <row r="606" spans="1:12" ht="24.95" customHeight="1">
      <c r="A606" s="460"/>
      <c r="E606" s="154"/>
      <c r="F606" s="460"/>
      <c r="K606" s="154"/>
      <c r="L606" s="269"/>
    </row>
    <row r="607" spans="1:12" ht="24.95" customHeight="1">
      <c r="A607" s="460"/>
      <c r="E607" s="154"/>
      <c r="F607" s="460"/>
      <c r="K607" s="154"/>
      <c r="L607" s="269"/>
    </row>
    <row r="608" spans="1:12" ht="24.95" customHeight="1">
      <c r="A608" s="460"/>
      <c r="E608" s="154"/>
      <c r="F608" s="460"/>
      <c r="K608" s="154"/>
      <c r="L608" s="269"/>
    </row>
    <row r="609" spans="1:12" ht="24.95" customHeight="1">
      <c r="A609" s="460"/>
      <c r="E609" s="154"/>
      <c r="F609" s="460"/>
      <c r="K609" s="154"/>
      <c r="L609" s="269"/>
    </row>
    <row r="610" spans="1:12" ht="24.95" customHeight="1">
      <c r="A610" s="460"/>
      <c r="E610" s="154"/>
      <c r="F610" s="460"/>
      <c r="K610" s="154"/>
      <c r="L610" s="269"/>
    </row>
    <row r="611" spans="1:12" ht="24.95" customHeight="1">
      <c r="A611" s="460"/>
      <c r="E611" s="154"/>
      <c r="F611" s="460"/>
      <c r="K611" s="154"/>
      <c r="L611" s="269"/>
    </row>
    <row r="612" spans="1:12" ht="24.95" customHeight="1">
      <c r="A612" s="460"/>
      <c r="E612" s="154"/>
      <c r="F612" s="460"/>
      <c r="K612" s="154"/>
      <c r="L612" s="269"/>
    </row>
    <row r="613" spans="1:12" ht="24.95" customHeight="1">
      <c r="A613" s="460"/>
      <c r="E613" s="154"/>
      <c r="F613" s="460"/>
      <c r="K613" s="154"/>
      <c r="L613" s="269"/>
    </row>
    <row r="614" spans="1:12" ht="24.95" customHeight="1">
      <c r="A614" s="460"/>
      <c r="E614" s="154"/>
      <c r="F614" s="460"/>
      <c r="K614" s="154"/>
      <c r="L614" s="269"/>
    </row>
    <row r="615" spans="1:12" ht="24.95" customHeight="1">
      <c r="A615" s="460"/>
      <c r="E615" s="154"/>
      <c r="F615" s="460"/>
      <c r="K615" s="154"/>
      <c r="L615" s="269"/>
    </row>
    <row r="616" spans="1:12" ht="24.95" customHeight="1">
      <c r="A616" s="460"/>
      <c r="E616" s="154"/>
      <c r="F616" s="460"/>
      <c r="K616" s="154"/>
      <c r="L616" s="269"/>
    </row>
    <row r="617" spans="1:12" ht="24.95" customHeight="1">
      <c r="A617" s="460"/>
      <c r="E617" s="154"/>
      <c r="F617" s="460"/>
      <c r="K617" s="154"/>
      <c r="L617" s="269"/>
    </row>
    <row r="618" spans="1:12" ht="24.95" customHeight="1">
      <c r="A618" s="460"/>
      <c r="E618" s="154"/>
      <c r="F618" s="460"/>
      <c r="K618" s="154"/>
      <c r="L618" s="269"/>
    </row>
    <row r="619" spans="1:12" ht="24.95" customHeight="1">
      <c r="A619" s="460"/>
      <c r="E619" s="154"/>
      <c r="F619" s="460"/>
      <c r="K619" s="154"/>
      <c r="L619" s="269"/>
    </row>
    <row r="620" spans="1:12" ht="24.95" customHeight="1">
      <c r="A620" s="460"/>
      <c r="E620" s="154"/>
      <c r="F620" s="460"/>
      <c r="K620" s="154"/>
      <c r="L620" s="269"/>
    </row>
    <row r="621" spans="1:12" ht="24.95" customHeight="1">
      <c r="A621" s="460"/>
      <c r="E621" s="154"/>
      <c r="F621" s="460"/>
      <c r="K621" s="154"/>
      <c r="L621" s="269"/>
    </row>
    <row r="622" spans="1:12" ht="24.95" customHeight="1">
      <c r="A622" s="460"/>
      <c r="E622" s="154"/>
      <c r="F622" s="460"/>
      <c r="K622" s="154"/>
      <c r="L622" s="269"/>
    </row>
    <row r="623" spans="1:12" ht="24.95" customHeight="1">
      <c r="A623" s="460"/>
      <c r="E623" s="154"/>
      <c r="F623" s="460"/>
      <c r="K623" s="154"/>
      <c r="L623" s="269"/>
    </row>
    <row r="624" spans="1:12" ht="24.95" customHeight="1">
      <c r="A624" s="460"/>
      <c r="E624" s="154"/>
      <c r="F624" s="460"/>
      <c r="K624" s="154"/>
      <c r="L624" s="269"/>
    </row>
    <row r="625" spans="1:12" ht="24.95" customHeight="1">
      <c r="A625" s="460"/>
      <c r="E625" s="154"/>
      <c r="F625" s="460"/>
      <c r="K625" s="154"/>
      <c r="L625" s="269"/>
    </row>
    <row r="626" spans="1:12" ht="24.95" customHeight="1">
      <c r="A626" s="460"/>
      <c r="E626" s="154"/>
      <c r="F626" s="460"/>
      <c r="K626" s="154"/>
      <c r="L626" s="269"/>
    </row>
    <row r="627" spans="1:12" ht="24.95" customHeight="1">
      <c r="A627" s="460"/>
      <c r="E627" s="154"/>
      <c r="F627" s="460"/>
      <c r="K627" s="154"/>
      <c r="L627" s="269"/>
    </row>
    <row r="628" spans="1:12" ht="24.95" customHeight="1">
      <c r="A628" s="460"/>
      <c r="E628" s="154"/>
      <c r="F628" s="460"/>
      <c r="K628" s="154"/>
      <c r="L628" s="269"/>
    </row>
    <row r="629" spans="1:12" ht="24.95" customHeight="1">
      <c r="A629" s="460"/>
      <c r="E629" s="154"/>
      <c r="F629" s="460"/>
      <c r="K629" s="154"/>
      <c r="L629" s="269"/>
    </row>
    <row r="630" spans="1:12" ht="24.95" customHeight="1">
      <c r="A630" s="460"/>
      <c r="E630" s="154"/>
      <c r="F630" s="460"/>
      <c r="K630" s="154"/>
      <c r="L630" s="269"/>
    </row>
    <row r="631" spans="1:12" ht="24.95" customHeight="1">
      <c r="A631" s="460"/>
      <c r="E631" s="154"/>
      <c r="F631" s="460"/>
      <c r="K631" s="154"/>
      <c r="L631" s="269"/>
    </row>
    <row r="632" spans="1:12" ht="24.95" customHeight="1">
      <c r="A632" s="460"/>
      <c r="E632" s="154"/>
      <c r="F632" s="460"/>
      <c r="K632" s="154"/>
      <c r="L632" s="269"/>
    </row>
    <row r="633" spans="1:12" ht="24.95" customHeight="1">
      <c r="A633" s="460"/>
      <c r="E633" s="154"/>
      <c r="F633" s="460"/>
      <c r="K633" s="154"/>
      <c r="L633" s="269"/>
    </row>
    <row r="634" spans="1:12" ht="24.95" customHeight="1">
      <c r="A634" s="460"/>
      <c r="E634" s="154"/>
      <c r="F634" s="460"/>
      <c r="K634" s="154"/>
      <c r="L634" s="269"/>
    </row>
    <row r="635" spans="1:12" ht="24.95" customHeight="1">
      <c r="A635" s="460"/>
      <c r="E635" s="154"/>
      <c r="F635" s="460"/>
      <c r="K635" s="154"/>
      <c r="L635" s="269"/>
    </row>
    <row r="636" spans="1:12" ht="24.95" customHeight="1">
      <c r="A636" s="460"/>
      <c r="E636" s="154"/>
      <c r="F636" s="460"/>
      <c r="K636" s="154"/>
      <c r="L636" s="269"/>
    </row>
    <row r="637" spans="1:12" ht="24.95" customHeight="1">
      <c r="A637" s="460"/>
      <c r="E637" s="154"/>
      <c r="F637" s="460"/>
      <c r="K637" s="154"/>
      <c r="L637" s="269"/>
    </row>
    <row r="638" spans="1:12" ht="24.95" customHeight="1">
      <c r="A638" s="460"/>
      <c r="E638" s="154"/>
      <c r="F638" s="460"/>
      <c r="K638" s="154"/>
      <c r="L638" s="269"/>
    </row>
    <row r="639" spans="1:12" ht="24.95" customHeight="1">
      <c r="A639" s="460"/>
      <c r="E639" s="154"/>
      <c r="F639" s="460"/>
      <c r="K639" s="154"/>
      <c r="L639" s="269"/>
    </row>
    <row r="640" spans="1:12" ht="24.95" customHeight="1">
      <c r="A640" s="460"/>
      <c r="E640" s="154"/>
      <c r="F640" s="460"/>
      <c r="K640" s="154"/>
      <c r="L640" s="269"/>
    </row>
    <row r="641" spans="1:12" ht="24.95" customHeight="1">
      <c r="A641" s="460"/>
      <c r="E641" s="154"/>
      <c r="F641" s="460"/>
      <c r="K641" s="154"/>
      <c r="L641" s="269"/>
    </row>
    <row r="642" spans="1:12" ht="24.95" customHeight="1">
      <c r="A642" s="460"/>
      <c r="E642" s="154"/>
      <c r="F642" s="460"/>
      <c r="K642" s="154"/>
      <c r="L642" s="269"/>
    </row>
    <row r="643" spans="1:12" ht="24.95" customHeight="1">
      <c r="A643" s="460"/>
      <c r="E643" s="154"/>
      <c r="F643" s="460"/>
      <c r="K643" s="154"/>
      <c r="L643" s="269"/>
    </row>
    <row r="644" spans="1:12" ht="24.95" customHeight="1">
      <c r="A644" s="460"/>
      <c r="E644" s="154"/>
      <c r="F644" s="460"/>
      <c r="K644" s="154"/>
      <c r="L644" s="269"/>
    </row>
    <row r="645" spans="1:12" ht="24.95" customHeight="1">
      <c r="A645" s="460"/>
      <c r="E645" s="154"/>
      <c r="F645" s="460"/>
      <c r="K645" s="154"/>
      <c r="L645" s="269"/>
    </row>
    <row r="646" spans="1:12" ht="24.95" customHeight="1">
      <c r="A646" s="460"/>
      <c r="E646" s="154"/>
      <c r="F646" s="460"/>
      <c r="K646" s="154"/>
      <c r="L646" s="269"/>
    </row>
    <row r="647" spans="1:12" ht="24.95" customHeight="1">
      <c r="A647" s="460"/>
      <c r="E647" s="154"/>
      <c r="F647" s="460"/>
      <c r="K647" s="154"/>
      <c r="L647" s="269"/>
    </row>
    <row r="648" spans="1:12" ht="24.95" customHeight="1">
      <c r="A648" s="460"/>
      <c r="E648" s="154"/>
      <c r="F648" s="460"/>
      <c r="K648" s="154"/>
      <c r="L648" s="269"/>
    </row>
    <row r="649" spans="1:12" ht="24.95" customHeight="1">
      <c r="A649" s="460"/>
      <c r="E649" s="154"/>
      <c r="F649" s="460"/>
      <c r="K649" s="154"/>
      <c r="L649" s="269"/>
    </row>
    <row r="650" spans="1:12" ht="24.95" customHeight="1">
      <c r="A650" s="460"/>
      <c r="E650" s="154"/>
      <c r="F650" s="460"/>
      <c r="K650" s="154"/>
      <c r="L650" s="269"/>
    </row>
    <row r="651" spans="1:12" ht="24.95" customHeight="1">
      <c r="A651" s="460"/>
      <c r="E651" s="154"/>
      <c r="F651" s="460"/>
      <c r="K651" s="154"/>
      <c r="L651" s="269"/>
    </row>
    <row r="652" spans="1:12" ht="24.95" customHeight="1">
      <c r="A652" s="460"/>
      <c r="E652" s="154"/>
      <c r="F652" s="460"/>
      <c r="K652" s="154"/>
      <c r="L652" s="269"/>
    </row>
    <row r="653" spans="1:12" ht="24.95" customHeight="1">
      <c r="A653" s="460"/>
      <c r="E653" s="154"/>
      <c r="F653" s="460"/>
      <c r="K653" s="154"/>
      <c r="L653" s="269"/>
    </row>
    <row r="654" spans="1:12" ht="24.95" customHeight="1">
      <c r="A654" s="460"/>
      <c r="E654" s="154"/>
      <c r="F654" s="460"/>
      <c r="K654" s="154"/>
      <c r="L654" s="269"/>
    </row>
    <row r="655" spans="1:12" ht="24.95" customHeight="1">
      <c r="A655" s="460"/>
      <c r="E655" s="154"/>
      <c r="F655" s="460"/>
      <c r="K655" s="154"/>
      <c r="L655" s="269"/>
    </row>
    <row r="656" spans="1:12" ht="24.95" customHeight="1">
      <c r="A656" s="460"/>
      <c r="E656" s="154"/>
      <c r="F656" s="460"/>
      <c r="K656" s="154"/>
      <c r="L656" s="269"/>
    </row>
    <row r="657" spans="1:12" ht="24.95" customHeight="1">
      <c r="A657" s="460"/>
      <c r="E657" s="154"/>
      <c r="F657" s="460"/>
      <c r="K657" s="154"/>
      <c r="L657" s="269"/>
    </row>
    <row r="658" spans="1:12" ht="24.95" customHeight="1">
      <c r="A658" s="460"/>
      <c r="E658" s="154"/>
      <c r="F658" s="460"/>
      <c r="K658" s="154"/>
      <c r="L658" s="269"/>
    </row>
    <row r="659" spans="1:12" ht="24.95" customHeight="1">
      <c r="A659" s="460"/>
      <c r="E659" s="154"/>
      <c r="F659" s="460"/>
      <c r="K659" s="154"/>
      <c r="L659" s="269"/>
    </row>
    <row r="660" spans="1:12" ht="24.95" customHeight="1">
      <c r="A660" s="460"/>
      <c r="E660" s="154"/>
      <c r="F660" s="460"/>
      <c r="K660" s="154"/>
      <c r="L660" s="269"/>
    </row>
    <row r="661" spans="1:12" ht="24.95" customHeight="1">
      <c r="A661" s="460"/>
      <c r="E661" s="154"/>
      <c r="F661" s="460"/>
      <c r="K661" s="154"/>
      <c r="L661" s="269"/>
    </row>
    <row r="662" spans="1:12" ht="24.95" customHeight="1">
      <c r="A662" s="460"/>
      <c r="E662" s="154"/>
      <c r="F662" s="460"/>
      <c r="K662" s="154"/>
      <c r="L662" s="269"/>
    </row>
    <row r="663" spans="1:12" ht="24.95" customHeight="1">
      <c r="A663" s="460"/>
      <c r="E663" s="154"/>
      <c r="F663" s="460"/>
      <c r="K663" s="154"/>
      <c r="L663" s="269"/>
    </row>
    <row r="664" spans="1:12" ht="24.95" customHeight="1">
      <c r="A664" s="460"/>
      <c r="E664" s="154"/>
      <c r="F664" s="460"/>
      <c r="K664" s="154"/>
      <c r="L664" s="269"/>
    </row>
    <row r="665" spans="1:12" ht="24.95" customHeight="1">
      <c r="A665" s="460"/>
      <c r="E665" s="154"/>
      <c r="F665" s="460"/>
      <c r="K665" s="154"/>
      <c r="L665" s="269"/>
    </row>
    <row r="666" spans="1:12" ht="24.95" customHeight="1">
      <c r="A666" s="460"/>
      <c r="E666" s="154"/>
      <c r="F666" s="460"/>
      <c r="K666" s="154"/>
      <c r="L666" s="269"/>
    </row>
    <row r="667" spans="1:12" ht="24.95" customHeight="1">
      <c r="A667" s="460"/>
      <c r="E667" s="154"/>
      <c r="F667" s="460"/>
      <c r="K667" s="154"/>
      <c r="L667" s="269"/>
    </row>
    <row r="668" spans="1:12" ht="24.95" customHeight="1">
      <c r="A668" s="460"/>
      <c r="E668" s="154"/>
      <c r="F668" s="460"/>
      <c r="K668" s="154"/>
      <c r="L668" s="269"/>
    </row>
    <row r="669" spans="1:12" ht="24.95" customHeight="1">
      <c r="A669" s="460"/>
      <c r="E669" s="154"/>
      <c r="F669" s="460"/>
      <c r="K669" s="154"/>
      <c r="L669" s="269"/>
    </row>
    <row r="670" spans="1:12" ht="24.95" customHeight="1">
      <c r="A670" s="460"/>
      <c r="E670" s="154"/>
      <c r="F670" s="460"/>
      <c r="K670" s="154"/>
      <c r="L670" s="269"/>
    </row>
    <row r="671" spans="1:12" ht="24.95" customHeight="1">
      <c r="A671" s="460"/>
      <c r="E671" s="154"/>
      <c r="F671" s="460"/>
      <c r="K671" s="154"/>
      <c r="L671" s="269"/>
    </row>
    <row r="672" spans="1:12" ht="24.95" customHeight="1">
      <c r="A672" s="460"/>
      <c r="E672" s="154"/>
      <c r="F672" s="460"/>
      <c r="K672" s="154"/>
      <c r="L672" s="269"/>
    </row>
    <row r="673" spans="1:12" ht="24.95" customHeight="1">
      <c r="A673" s="460"/>
      <c r="E673" s="154"/>
      <c r="F673" s="460"/>
      <c r="K673" s="154"/>
      <c r="L673" s="269"/>
    </row>
    <row r="674" spans="1:12" ht="24.95" customHeight="1">
      <c r="A674" s="460"/>
      <c r="E674" s="154"/>
      <c r="F674" s="460"/>
      <c r="K674" s="154"/>
      <c r="L674" s="269"/>
    </row>
    <row r="675" spans="1:12" ht="24.95" customHeight="1">
      <c r="A675" s="460"/>
      <c r="E675" s="154"/>
      <c r="F675" s="460"/>
      <c r="K675" s="154"/>
      <c r="L675" s="269"/>
    </row>
    <row r="676" spans="1:12" ht="24.95" customHeight="1">
      <c r="A676" s="460"/>
      <c r="E676" s="154"/>
      <c r="F676" s="460"/>
      <c r="K676" s="154"/>
      <c r="L676" s="269"/>
    </row>
    <row r="677" spans="1:12" ht="24.95" customHeight="1">
      <c r="A677" s="460"/>
      <c r="E677" s="154"/>
      <c r="F677" s="460"/>
      <c r="K677" s="154"/>
      <c r="L677" s="269"/>
    </row>
    <row r="678" spans="1:12" ht="24.95" customHeight="1">
      <c r="A678" s="460"/>
      <c r="E678" s="154"/>
      <c r="F678" s="460"/>
      <c r="K678" s="154"/>
      <c r="L678" s="269"/>
    </row>
    <row r="679" spans="1:12" ht="24.95" customHeight="1">
      <c r="A679" s="460"/>
      <c r="E679" s="154"/>
      <c r="F679" s="460"/>
      <c r="K679" s="154"/>
      <c r="L679" s="269"/>
    </row>
    <row r="680" spans="1:12" ht="24.95" customHeight="1">
      <c r="A680" s="460"/>
      <c r="E680" s="154"/>
      <c r="F680" s="460"/>
      <c r="K680" s="154"/>
      <c r="L680" s="269"/>
    </row>
    <row r="681" spans="1:12" ht="24.95" customHeight="1">
      <c r="A681" s="460"/>
      <c r="E681" s="154"/>
      <c r="F681" s="460"/>
      <c r="K681" s="154"/>
      <c r="L681" s="269"/>
    </row>
    <row r="682" spans="1:12" ht="24.95" customHeight="1">
      <c r="A682" s="460"/>
      <c r="E682" s="154"/>
      <c r="F682" s="460"/>
      <c r="K682" s="154"/>
      <c r="L682" s="269"/>
    </row>
    <row r="683" spans="1:12" ht="24.95" customHeight="1">
      <c r="A683" s="460"/>
      <c r="E683" s="154"/>
      <c r="F683" s="460"/>
      <c r="K683" s="154"/>
      <c r="L683" s="269"/>
    </row>
    <row r="684" spans="1:12" ht="24.95" customHeight="1">
      <c r="A684" s="460"/>
      <c r="E684" s="154"/>
      <c r="F684" s="460"/>
      <c r="K684" s="154"/>
      <c r="L684" s="269"/>
    </row>
    <row r="685" spans="1:12" ht="24.95" customHeight="1">
      <c r="A685" s="460"/>
      <c r="E685" s="154"/>
      <c r="F685" s="460"/>
      <c r="K685" s="154"/>
      <c r="L685" s="269"/>
    </row>
    <row r="686" spans="1:12" ht="24.95" customHeight="1">
      <c r="A686" s="460"/>
      <c r="E686" s="154"/>
      <c r="F686" s="460"/>
      <c r="K686" s="154"/>
      <c r="L686" s="269"/>
    </row>
    <row r="687" spans="1:12" ht="24.95" customHeight="1">
      <c r="A687" s="460"/>
      <c r="E687" s="154"/>
      <c r="F687" s="460"/>
      <c r="K687" s="154"/>
      <c r="L687" s="269"/>
    </row>
    <row r="688" spans="1:12" ht="24.95" customHeight="1">
      <c r="A688" s="460"/>
      <c r="E688" s="154"/>
      <c r="F688" s="460"/>
      <c r="K688" s="154"/>
      <c r="L688" s="269"/>
    </row>
    <row r="689" spans="1:12" ht="24.95" customHeight="1">
      <c r="A689" s="460"/>
      <c r="E689" s="154"/>
      <c r="F689" s="460"/>
      <c r="K689" s="154"/>
      <c r="L689" s="269"/>
    </row>
    <row r="690" spans="1:12" ht="24.95" customHeight="1">
      <c r="A690" s="460"/>
      <c r="E690" s="154"/>
      <c r="F690" s="460"/>
      <c r="K690" s="154"/>
      <c r="L690" s="269"/>
    </row>
    <row r="691" spans="1:12" ht="24.95" customHeight="1">
      <c r="A691" s="460"/>
      <c r="E691" s="154"/>
      <c r="F691" s="460"/>
      <c r="K691" s="154"/>
      <c r="L691" s="269"/>
    </row>
    <row r="692" spans="1:12" ht="24.95" customHeight="1">
      <c r="A692" s="460"/>
      <c r="E692" s="154"/>
      <c r="F692" s="460"/>
      <c r="K692" s="154"/>
      <c r="L692" s="269"/>
    </row>
    <row r="693" spans="1:12" ht="24.95" customHeight="1">
      <c r="A693" s="460"/>
      <c r="E693" s="154"/>
      <c r="F693" s="460"/>
      <c r="K693" s="154"/>
      <c r="L693" s="269"/>
    </row>
    <row r="694" spans="1:12" ht="24.95" customHeight="1">
      <c r="A694" s="460"/>
      <c r="E694" s="154"/>
      <c r="F694" s="460"/>
      <c r="K694" s="154"/>
      <c r="L694" s="269"/>
    </row>
    <row r="695" spans="1:12" ht="24.95" customHeight="1">
      <c r="A695" s="460"/>
      <c r="E695" s="154"/>
      <c r="F695" s="460"/>
      <c r="K695" s="154"/>
      <c r="L695" s="269"/>
    </row>
    <row r="696" spans="1:12" ht="24.95" customHeight="1">
      <c r="A696" s="460"/>
      <c r="E696" s="154"/>
      <c r="F696" s="460"/>
      <c r="K696" s="154"/>
      <c r="L696" s="269"/>
    </row>
    <row r="697" spans="1:12" ht="24.95" customHeight="1">
      <c r="A697" s="460"/>
      <c r="E697" s="154"/>
      <c r="F697" s="460"/>
      <c r="K697" s="154"/>
      <c r="L697" s="269"/>
    </row>
    <row r="698" spans="1:12" ht="24.95" customHeight="1">
      <c r="A698" s="460"/>
      <c r="E698" s="154"/>
      <c r="F698" s="460"/>
      <c r="K698" s="154"/>
      <c r="L698" s="269"/>
    </row>
    <row r="699" spans="1:12" ht="24.95" customHeight="1">
      <c r="A699" s="460"/>
      <c r="E699" s="154"/>
      <c r="F699" s="460"/>
      <c r="K699" s="154"/>
      <c r="L699" s="269"/>
    </row>
    <row r="700" spans="1:12" ht="24.95" customHeight="1">
      <c r="A700" s="460"/>
      <c r="E700" s="154"/>
      <c r="F700" s="460"/>
      <c r="K700" s="154"/>
      <c r="L700" s="269"/>
    </row>
    <row r="701" spans="1:12" ht="24.95" customHeight="1">
      <c r="A701" s="460"/>
      <c r="E701" s="154"/>
      <c r="F701" s="460"/>
      <c r="K701" s="154"/>
      <c r="L701" s="269"/>
    </row>
    <row r="702" spans="1:12" ht="24.95" customHeight="1">
      <c r="A702" s="460"/>
      <c r="E702" s="154"/>
      <c r="F702" s="460"/>
      <c r="K702" s="154"/>
      <c r="L702" s="269"/>
    </row>
    <row r="703" spans="1:12" ht="24.95" customHeight="1">
      <c r="A703" s="460"/>
      <c r="E703" s="154"/>
      <c r="F703" s="460"/>
      <c r="K703" s="154"/>
      <c r="L703" s="269"/>
    </row>
    <row r="704" spans="1:12" ht="24.95" customHeight="1">
      <c r="A704" s="460"/>
      <c r="E704" s="154"/>
      <c r="F704" s="460"/>
      <c r="K704" s="154"/>
      <c r="L704" s="269"/>
    </row>
    <row r="705" spans="1:12" ht="24.95" customHeight="1">
      <c r="A705" s="460"/>
      <c r="E705" s="154"/>
      <c r="F705" s="460"/>
      <c r="K705" s="154"/>
      <c r="L705" s="269"/>
    </row>
    <row r="706" spans="1:12" ht="24.95" customHeight="1">
      <c r="A706" s="460"/>
      <c r="E706" s="154"/>
      <c r="F706" s="460"/>
      <c r="K706" s="154"/>
      <c r="L706" s="269"/>
    </row>
    <row r="707" spans="1:12" ht="24.95" customHeight="1">
      <c r="A707" s="460"/>
      <c r="E707" s="154"/>
      <c r="F707" s="460"/>
      <c r="K707" s="154"/>
      <c r="L707" s="269"/>
    </row>
    <row r="708" spans="1:12" ht="24.95" customHeight="1">
      <c r="A708" s="460"/>
      <c r="E708" s="154"/>
      <c r="F708" s="460"/>
      <c r="K708" s="154"/>
      <c r="L708" s="269"/>
    </row>
    <row r="709" spans="1:12" ht="24.95" customHeight="1">
      <c r="A709" s="460"/>
      <c r="E709" s="154"/>
      <c r="F709" s="460"/>
      <c r="K709" s="154"/>
      <c r="L709" s="269"/>
    </row>
    <row r="710" spans="1:12" ht="24.95" customHeight="1">
      <c r="A710" s="460"/>
      <c r="E710" s="154"/>
      <c r="F710" s="460"/>
      <c r="K710" s="154"/>
      <c r="L710" s="269"/>
    </row>
    <row r="711" spans="1:12" ht="24.95" customHeight="1">
      <c r="A711" s="460"/>
      <c r="E711" s="154"/>
      <c r="F711" s="460"/>
      <c r="K711" s="154"/>
      <c r="L711" s="269"/>
    </row>
    <row r="712" spans="1:12" ht="24.95" customHeight="1">
      <c r="A712" s="460"/>
      <c r="E712" s="154"/>
      <c r="F712" s="460"/>
      <c r="K712" s="154"/>
      <c r="L712" s="269"/>
    </row>
    <row r="713" spans="1:12" ht="24.95" customHeight="1">
      <c r="A713" s="460"/>
      <c r="E713" s="154"/>
      <c r="F713" s="460"/>
      <c r="K713" s="154"/>
      <c r="L713" s="269"/>
    </row>
    <row r="714" spans="1:12" ht="24.95" customHeight="1">
      <c r="A714" s="460"/>
      <c r="E714" s="154"/>
      <c r="F714" s="460"/>
      <c r="K714" s="154"/>
      <c r="L714" s="269"/>
    </row>
    <row r="715" spans="1:12" ht="24.95" customHeight="1">
      <c r="A715" s="460"/>
      <c r="E715" s="154"/>
      <c r="F715" s="460"/>
      <c r="K715" s="154"/>
      <c r="L715" s="269"/>
    </row>
    <row r="716" spans="1:12" ht="24.95" customHeight="1">
      <c r="A716" s="460"/>
      <c r="E716" s="154"/>
      <c r="F716" s="460"/>
      <c r="K716" s="154"/>
      <c r="L716" s="269"/>
    </row>
    <row r="717" spans="1:12" ht="24.95" customHeight="1">
      <c r="A717" s="460"/>
      <c r="E717" s="154"/>
      <c r="F717" s="460"/>
      <c r="K717" s="154"/>
      <c r="L717" s="269"/>
    </row>
    <row r="718" spans="1:12" ht="24.95" customHeight="1">
      <c r="A718" s="460"/>
      <c r="E718" s="154"/>
      <c r="F718" s="460"/>
      <c r="K718" s="154"/>
      <c r="L718" s="269"/>
    </row>
    <row r="719" spans="1:12" ht="24.95" customHeight="1">
      <c r="A719" s="460"/>
      <c r="E719" s="154"/>
      <c r="F719" s="460"/>
      <c r="K719" s="154"/>
      <c r="L719" s="269"/>
    </row>
    <row r="720" spans="1:12" ht="24.95" customHeight="1">
      <c r="A720" s="460"/>
      <c r="E720" s="154"/>
      <c r="F720" s="460"/>
      <c r="K720" s="154"/>
      <c r="L720" s="269"/>
    </row>
    <row r="721" spans="1:12" ht="24.95" customHeight="1">
      <c r="A721" s="460"/>
      <c r="E721" s="154"/>
      <c r="F721" s="460"/>
      <c r="K721" s="154"/>
      <c r="L721" s="269"/>
    </row>
    <row r="722" spans="1:12" ht="24.95" customHeight="1">
      <c r="A722" s="460"/>
      <c r="E722" s="154"/>
      <c r="F722" s="460"/>
      <c r="K722" s="154"/>
      <c r="L722" s="269"/>
    </row>
    <row r="723" spans="1:12" ht="24.95" customHeight="1">
      <c r="A723" s="460"/>
      <c r="E723" s="154"/>
      <c r="F723" s="460"/>
      <c r="K723" s="154"/>
      <c r="L723" s="269"/>
    </row>
    <row r="724" spans="1:12" ht="24.95" customHeight="1">
      <c r="A724" s="460"/>
      <c r="E724" s="154"/>
      <c r="F724" s="460"/>
      <c r="K724" s="154"/>
      <c r="L724" s="269"/>
    </row>
    <row r="725" spans="1:12" ht="24.95" customHeight="1">
      <c r="A725" s="460"/>
      <c r="E725" s="154"/>
      <c r="F725" s="460"/>
      <c r="K725" s="154"/>
      <c r="L725" s="269"/>
    </row>
    <row r="726" spans="1:12" ht="24.95" customHeight="1">
      <c r="A726" s="460"/>
      <c r="E726" s="154"/>
      <c r="F726" s="460"/>
      <c r="K726" s="154"/>
      <c r="L726" s="269"/>
    </row>
    <row r="727" spans="1:12" ht="24.95" customHeight="1">
      <c r="A727" s="460"/>
      <c r="E727" s="154"/>
      <c r="F727" s="460"/>
      <c r="K727" s="154"/>
      <c r="L727" s="269"/>
    </row>
    <row r="728" spans="1:12" ht="24.95" customHeight="1">
      <c r="A728" s="460"/>
      <c r="E728" s="154"/>
      <c r="F728" s="460"/>
      <c r="K728" s="154"/>
      <c r="L728" s="269"/>
    </row>
    <row r="729" spans="1:12" ht="24.95" customHeight="1">
      <c r="A729" s="460"/>
      <c r="E729" s="154"/>
      <c r="F729" s="460"/>
      <c r="K729" s="154"/>
      <c r="L729" s="269"/>
    </row>
    <row r="730" spans="1:12" ht="24.95" customHeight="1">
      <c r="A730" s="460"/>
      <c r="E730" s="154"/>
      <c r="F730" s="460"/>
      <c r="K730" s="154"/>
      <c r="L730" s="269"/>
    </row>
    <row r="731" spans="1:12" ht="24.95" customHeight="1">
      <c r="A731" s="460"/>
      <c r="E731" s="154"/>
      <c r="F731" s="460"/>
      <c r="K731" s="154"/>
      <c r="L731" s="269"/>
    </row>
    <row r="732" spans="1:12" ht="24.95" customHeight="1">
      <c r="A732" s="460"/>
      <c r="E732" s="154"/>
      <c r="F732" s="460"/>
      <c r="K732" s="154"/>
      <c r="L732" s="269"/>
    </row>
    <row r="733" spans="1:12" ht="24.95" customHeight="1">
      <c r="A733" s="460"/>
      <c r="E733" s="154"/>
      <c r="F733" s="460"/>
      <c r="K733" s="154"/>
      <c r="L733" s="269"/>
    </row>
    <row r="734" spans="1:12" ht="24.95" customHeight="1">
      <c r="A734" s="460"/>
      <c r="E734" s="154"/>
      <c r="F734" s="460"/>
      <c r="K734" s="154"/>
      <c r="L734" s="269"/>
    </row>
    <row r="735" spans="1:12" ht="24.95" customHeight="1">
      <c r="A735" s="460"/>
      <c r="E735" s="154"/>
      <c r="F735" s="460"/>
      <c r="K735" s="154"/>
      <c r="L735" s="269"/>
    </row>
    <row r="736" spans="1:12" ht="24.95" customHeight="1">
      <c r="A736" s="460"/>
      <c r="E736" s="154"/>
      <c r="F736" s="460"/>
      <c r="K736" s="154"/>
      <c r="L736" s="269"/>
    </row>
    <row r="737" spans="1:12" ht="24.95" customHeight="1">
      <c r="A737" s="460"/>
      <c r="E737" s="154"/>
      <c r="F737" s="460"/>
      <c r="K737" s="154"/>
      <c r="L737" s="269"/>
    </row>
    <row r="738" spans="1:12" ht="24.95" customHeight="1">
      <c r="A738" s="460"/>
      <c r="E738" s="154"/>
      <c r="F738" s="460"/>
      <c r="K738" s="154"/>
      <c r="L738" s="269"/>
    </row>
    <row r="739" spans="1:12" ht="24.95" customHeight="1">
      <c r="A739" s="460"/>
      <c r="E739" s="154"/>
      <c r="F739" s="460"/>
      <c r="K739" s="154"/>
      <c r="L739" s="269"/>
    </row>
    <row r="740" spans="1:12" ht="24.95" customHeight="1">
      <c r="A740" s="460"/>
      <c r="E740" s="154"/>
      <c r="F740" s="460"/>
      <c r="K740" s="154"/>
      <c r="L740" s="269"/>
    </row>
    <row r="741" spans="1:12" ht="24.95" customHeight="1">
      <c r="A741" s="460"/>
      <c r="E741" s="154"/>
      <c r="F741" s="460"/>
      <c r="K741" s="154"/>
      <c r="L741" s="269"/>
    </row>
    <row r="742" spans="1:12" ht="24.95" customHeight="1">
      <c r="A742" s="460"/>
      <c r="E742" s="154"/>
      <c r="F742" s="460"/>
      <c r="K742" s="154"/>
      <c r="L742" s="269"/>
    </row>
    <row r="743" spans="1:12" ht="24.95" customHeight="1">
      <c r="A743" s="460"/>
      <c r="E743" s="154"/>
      <c r="F743" s="460"/>
      <c r="K743" s="154"/>
      <c r="L743" s="269"/>
    </row>
    <row r="744" spans="1:12" ht="24.95" customHeight="1">
      <c r="A744" s="460"/>
      <c r="E744" s="154"/>
      <c r="F744" s="460"/>
      <c r="K744" s="154"/>
      <c r="L744" s="269"/>
    </row>
    <row r="745" spans="1:12" ht="24.95" customHeight="1">
      <c r="A745" s="460"/>
      <c r="E745" s="154"/>
      <c r="F745" s="460"/>
      <c r="K745" s="154"/>
      <c r="L745" s="269"/>
    </row>
    <row r="746" spans="1:12" ht="24.95" customHeight="1">
      <c r="A746" s="460"/>
      <c r="E746" s="154"/>
      <c r="F746" s="460"/>
      <c r="K746" s="154"/>
      <c r="L746" s="269"/>
    </row>
    <row r="747" spans="1:12" ht="24.95" customHeight="1">
      <c r="A747" s="460"/>
      <c r="E747" s="154"/>
      <c r="F747" s="460"/>
      <c r="K747" s="154"/>
      <c r="L747" s="269"/>
    </row>
    <row r="748" spans="1:12" ht="24.95" customHeight="1">
      <c r="A748" s="460"/>
      <c r="E748" s="154"/>
      <c r="F748" s="460"/>
      <c r="K748" s="154"/>
      <c r="L748" s="269"/>
    </row>
    <row r="749" spans="1:12" ht="24.95" customHeight="1">
      <c r="A749" s="460"/>
      <c r="E749" s="154"/>
      <c r="F749" s="460"/>
      <c r="K749" s="154"/>
      <c r="L749" s="269"/>
    </row>
    <row r="750" spans="1:12" ht="24.95" customHeight="1">
      <c r="A750" s="460"/>
      <c r="E750" s="154"/>
      <c r="F750" s="460"/>
      <c r="K750" s="154"/>
      <c r="L750" s="269"/>
    </row>
    <row r="751" spans="1:12" ht="24.95" customHeight="1">
      <c r="A751" s="460"/>
      <c r="E751" s="154"/>
      <c r="F751" s="460"/>
      <c r="K751" s="154"/>
      <c r="L751" s="269"/>
    </row>
    <row r="752" spans="1:12" ht="24.95" customHeight="1">
      <c r="A752" s="460"/>
      <c r="E752" s="154"/>
      <c r="F752" s="460"/>
      <c r="K752" s="154"/>
      <c r="L752" s="269"/>
    </row>
    <row r="753" spans="1:12" ht="24.95" customHeight="1">
      <c r="A753" s="460"/>
      <c r="E753" s="154"/>
      <c r="F753" s="460"/>
      <c r="K753" s="154"/>
      <c r="L753" s="269"/>
    </row>
    <row r="754" spans="1:12" ht="24.95" customHeight="1">
      <c r="A754" s="460"/>
      <c r="E754" s="154"/>
      <c r="F754" s="460"/>
      <c r="K754" s="154"/>
      <c r="L754" s="269"/>
    </row>
    <row r="755" spans="1:12" ht="24.95" customHeight="1">
      <c r="A755" s="460"/>
      <c r="E755" s="154"/>
      <c r="F755" s="460"/>
      <c r="K755" s="154"/>
      <c r="L755" s="269"/>
    </row>
    <row r="756" spans="1:12" ht="24.95" customHeight="1">
      <c r="A756" s="460"/>
      <c r="E756" s="154"/>
      <c r="F756" s="460"/>
      <c r="K756" s="154"/>
      <c r="L756" s="269"/>
    </row>
    <row r="757" spans="1:12" ht="24.95" customHeight="1">
      <c r="A757" s="460"/>
      <c r="E757" s="154"/>
      <c r="F757" s="460"/>
      <c r="K757" s="154"/>
      <c r="L757" s="269"/>
    </row>
    <row r="758" spans="1:12" ht="24.95" customHeight="1">
      <c r="A758" s="460"/>
      <c r="E758" s="154"/>
      <c r="F758" s="460"/>
      <c r="K758" s="154"/>
      <c r="L758" s="269"/>
    </row>
    <row r="759" spans="1:12" ht="24.95" customHeight="1">
      <c r="A759" s="460"/>
      <c r="E759" s="154"/>
      <c r="F759" s="460"/>
      <c r="K759" s="154"/>
      <c r="L759" s="269"/>
    </row>
    <row r="760" spans="1:12" ht="24.95" customHeight="1">
      <c r="A760" s="460"/>
      <c r="E760" s="154"/>
      <c r="F760" s="460"/>
      <c r="K760" s="154"/>
      <c r="L760" s="269"/>
    </row>
    <row r="761" spans="1:12" ht="24.95" customHeight="1">
      <c r="A761" s="460"/>
      <c r="E761" s="154"/>
      <c r="F761" s="460"/>
      <c r="K761" s="154"/>
      <c r="L761" s="269"/>
    </row>
    <row r="762" spans="1:12" ht="24.95" customHeight="1">
      <c r="A762" s="460"/>
      <c r="E762" s="154"/>
      <c r="F762" s="460"/>
      <c r="K762" s="154"/>
      <c r="L762" s="269"/>
    </row>
    <row r="763" spans="1:12" ht="24.95" customHeight="1">
      <c r="A763" s="460"/>
      <c r="E763" s="154"/>
      <c r="F763" s="460"/>
      <c r="K763" s="154"/>
      <c r="L763" s="269"/>
    </row>
    <row r="764" spans="1:12" ht="24.95" customHeight="1">
      <c r="A764" s="460"/>
      <c r="E764" s="154"/>
      <c r="F764" s="460"/>
      <c r="K764" s="154"/>
      <c r="L764" s="269"/>
    </row>
    <row r="765" spans="1:12" ht="24.95" customHeight="1">
      <c r="A765" s="460"/>
      <c r="E765" s="154"/>
      <c r="F765" s="460"/>
      <c r="K765" s="154"/>
      <c r="L765" s="269"/>
    </row>
    <row r="766" spans="1:12" ht="24.95" customHeight="1">
      <c r="A766" s="460"/>
      <c r="E766" s="154"/>
      <c r="F766" s="460"/>
      <c r="K766" s="154"/>
      <c r="L766" s="269"/>
    </row>
    <row r="767" spans="1:12" ht="24.95" customHeight="1">
      <c r="A767" s="460"/>
      <c r="E767" s="154"/>
      <c r="F767" s="460"/>
      <c r="K767" s="154"/>
      <c r="L767" s="269"/>
    </row>
    <row r="768" spans="1:12" ht="24.95" customHeight="1">
      <c r="A768" s="460"/>
      <c r="E768" s="154"/>
      <c r="F768" s="460"/>
      <c r="K768" s="154"/>
      <c r="L768" s="269"/>
    </row>
    <row r="769" spans="1:12" ht="24.95" customHeight="1">
      <c r="A769" s="460"/>
      <c r="E769" s="154"/>
      <c r="F769" s="460"/>
      <c r="K769" s="154"/>
      <c r="L769" s="269"/>
    </row>
    <row r="770" spans="1:12" ht="24.95" customHeight="1">
      <c r="A770" s="460"/>
      <c r="E770" s="154"/>
      <c r="F770" s="460"/>
      <c r="K770" s="154"/>
      <c r="L770" s="269"/>
    </row>
    <row r="771" spans="1:12" ht="24.95" customHeight="1">
      <c r="A771" s="460"/>
      <c r="E771" s="154"/>
      <c r="F771" s="460"/>
      <c r="K771" s="154"/>
      <c r="L771" s="269"/>
    </row>
    <row r="772" spans="1:12" ht="24.95" customHeight="1">
      <c r="A772" s="460"/>
      <c r="E772" s="154"/>
      <c r="F772" s="460"/>
      <c r="K772" s="154"/>
      <c r="L772" s="269"/>
    </row>
    <row r="773" spans="1:12" ht="24.95" customHeight="1">
      <c r="A773" s="460"/>
      <c r="E773" s="154"/>
      <c r="F773" s="460"/>
      <c r="K773" s="154"/>
      <c r="L773" s="269"/>
    </row>
    <row r="774" spans="1:12" ht="24.95" customHeight="1">
      <c r="A774" s="460"/>
      <c r="E774" s="154"/>
      <c r="F774" s="460"/>
      <c r="K774" s="154"/>
      <c r="L774" s="269"/>
    </row>
    <row r="775" spans="1:12" ht="24.95" customHeight="1">
      <c r="A775" s="460"/>
      <c r="E775" s="154"/>
      <c r="F775" s="460"/>
      <c r="K775" s="154"/>
      <c r="L775" s="269"/>
    </row>
    <row r="776" spans="1:12" ht="24.95" customHeight="1">
      <c r="A776" s="460"/>
      <c r="E776" s="154"/>
      <c r="F776" s="460"/>
      <c r="K776" s="154"/>
      <c r="L776" s="269"/>
    </row>
    <row r="777" spans="1:12" ht="24.95" customHeight="1">
      <c r="A777" s="460"/>
      <c r="E777" s="154"/>
      <c r="F777" s="460"/>
      <c r="K777" s="154"/>
      <c r="L777" s="269"/>
    </row>
    <row r="778" spans="1:12" ht="24.95" customHeight="1">
      <c r="A778" s="460"/>
      <c r="E778" s="154"/>
      <c r="F778" s="460"/>
      <c r="K778" s="154"/>
      <c r="L778" s="269"/>
    </row>
    <row r="779" spans="1:12" ht="24.95" customHeight="1">
      <c r="A779" s="460"/>
      <c r="E779" s="154"/>
      <c r="F779" s="460"/>
      <c r="K779" s="154"/>
      <c r="L779" s="269"/>
    </row>
    <row r="780" spans="1:12" ht="24.95" customHeight="1">
      <c r="A780" s="460"/>
      <c r="E780" s="154"/>
      <c r="F780" s="460"/>
      <c r="K780" s="154"/>
      <c r="L780" s="269"/>
    </row>
    <row r="781" spans="1:12" ht="24.95" customHeight="1">
      <c r="A781" s="460"/>
      <c r="E781" s="154"/>
      <c r="F781" s="460"/>
      <c r="K781" s="154"/>
      <c r="L781" s="269"/>
    </row>
    <row r="782" spans="1:12" ht="24.95" customHeight="1">
      <c r="A782" s="460"/>
      <c r="E782" s="154"/>
      <c r="F782" s="460"/>
      <c r="K782" s="154"/>
      <c r="L782" s="269"/>
    </row>
    <row r="783" spans="1:12" ht="24.95" customHeight="1">
      <c r="A783" s="460"/>
      <c r="E783" s="154"/>
      <c r="F783" s="460"/>
      <c r="K783" s="154"/>
      <c r="L783" s="269"/>
    </row>
    <row r="784" spans="1:12" ht="24.95" customHeight="1">
      <c r="A784" s="460"/>
      <c r="E784" s="154"/>
      <c r="F784" s="460"/>
      <c r="K784" s="154"/>
      <c r="L784" s="269"/>
    </row>
    <row r="785" spans="1:12" ht="24.95" customHeight="1">
      <c r="A785" s="460"/>
      <c r="E785" s="154"/>
      <c r="F785" s="460"/>
      <c r="K785" s="154"/>
      <c r="L785" s="269"/>
    </row>
    <row r="786" spans="1:12" ht="24.95" customHeight="1">
      <c r="A786" s="460"/>
      <c r="E786" s="154"/>
      <c r="F786" s="460"/>
      <c r="K786" s="154"/>
      <c r="L786" s="269"/>
    </row>
    <row r="787" spans="1:12" ht="24.95" customHeight="1">
      <c r="A787" s="460"/>
      <c r="E787" s="154"/>
      <c r="F787" s="460"/>
      <c r="K787" s="154"/>
      <c r="L787" s="269"/>
    </row>
    <row r="788" spans="1:12" ht="24.95" customHeight="1">
      <c r="A788" s="460"/>
      <c r="E788" s="154"/>
      <c r="F788" s="460"/>
      <c r="K788" s="154"/>
      <c r="L788" s="269"/>
    </row>
    <row r="789" spans="1:12" ht="24.95" customHeight="1">
      <c r="A789" s="460"/>
      <c r="E789" s="154"/>
      <c r="F789" s="460"/>
      <c r="K789" s="154"/>
      <c r="L789" s="269"/>
    </row>
    <row r="790" spans="1:12" ht="24.95" customHeight="1">
      <c r="A790" s="460"/>
      <c r="E790" s="154"/>
      <c r="F790" s="460"/>
      <c r="K790" s="154"/>
      <c r="L790" s="269"/>
    </row>
    <row r="791" spans="1:12" ht="24.95" customHeight="1">
      <c r="A791" s="460"/>
      <c r="E791" s="154"/>
      <c r="F791" s="460"/>
      <c r="K791" s="154"/>
      <c r="L791" s="269"/>
    </row>
    <row r="792" spans="1:12" ht="24.95" customHeight="1">
      <c r="A792" s="460"/>
      <c r="E792" s="154"/>
      <c r="F792" s="460"/>
      <c r="K792" s="154"/>
      <c r="L792" s="269"/>
    </row>
    <row r="793" spans="1:12" ht="24.95" customHeight="1">
      <c r="A793" s="460"/>
      <c r="E793" s="154"/>
      <c r="F793" s="460"/>
      <c r="K793" s="154"/>
      <c r="L793" s="269"/>
    </row>
    <row r="794" spans="1:12" ht="24.95" customHeight="1">
      <c r="A794" s="460"/>
      <c r="E794" s="154"/>
      <c r="F794" s="460"/>
      <c r="K794" s="154"/>
      <c r="L794" s="269"/>
    </row>
    <row r="795" spans="1:12" ht="24.95" customHeight="1">
      <c r="A795" s="460"/>
      <c r="E795" s="154"/>
      <c r="F795" s="460"/>
      <c r="K795" s="154"/>
      <c r="L795" s="269"/>
    </row>
    <row r="796" spans="1:12" ht="24.95" customHeight="1">
      <c r="A796" s="460"/>
      <c r="E796" s="154"/>
      <c r="F796" s="460"/>
      <c r="K796" s="154"/>
      <c r="L796" s="269"/>
    </row>
    <row r="797" spans="1:12" ht="24.95" customHeight="1">
      <c r="A797" s="460"/>
      <c r="E797" s="154"/>
      <c r="F797" s="460"/>
      <c r="K797" s="154"/>
      <c r="L797" s="269"/>
    </row>
    <row r="798" spans="1:12" ht="24.95" customHeight="1">
      <c r="A798" s="460"/>
      <c r="E798" s="154"/>
      <c r="F798" s="460"/>
      <c r="K798" s="154"/>
      <c r="L798" s="269"/>
    </row>
    <row r="799" spans="1:12" ht="24.95" customHeight="1">
      <c r="A799" s="460"/>
      <c r="E799" s="154"/>
      <c r="F799" s="460"/>
      <c r="K799" s="154"/>
      <c r="L799" s="269"/>
    </row>
    <row r="800" spans="1:12" ht="24.95" customHeight="1">
      <c r="A800" s="460"/>
      <c r="E800" s="154"/>
      <c r="F800" s="460"/>
      <c r="K800" s="154"/>
      <c r="L800" s="269"/>
    </row>
    <row r="801" spans="1:12" ht="24.95" customHeight="1">
      <c r="A801" s="460"/>
      <c r="E801" s="154"/>
      <c r="F801" s="460"/>
      <c r="K801" s="154"/>
      <c r="L801" s="269"/>
    </row>
    <row r="802" spans="1:12" ht="24.95" customHeight="1">
      <c r="A802" s="460"/>
      <c r="E802" s="154"/>
      <c r="F802" s="460"/>
      <c r="K802" s="154"/>
      <c r="L802" s="269"/>
    </row>
    <row r="803" spans="1:12" ht="24.95" customHeight="1">
      <c r="A803" s="460"/>
      <c r="E803" s="154"/>
      <c r="F803" s="460"/>
      <c r="K803" s="154"/>
      <c r="L803" s="269"/>
    </row>
    <row r="804" spans="1:12" ht="24.95" customHeight="1">
      <c r="A804" s="460"/>
      <c r="E804" s="154"/>
      <c r="F804" s="460"/>
      <c r="K804" s="154"/>
      <c r="L804" s="269"/>
    </row>
    <row r="805" spans="1:12" ht="24.95" customHeight="1">
      <c r="A805" s="460"/>
      <c r="E805" s="154"/>
      <c r="F805" s="460"/>
      <c r="K805" s="154"/>
      <c r="L805" s="269"/>
    </row>
    <row r="806" spans="1:12" ht="24.95" customHeight="1">
      <c r="A806" s="460"/>
      <c r="E806" s="154"/>
      <c r="F806" s="460"/>
      <c r="K806" s="154"/>
      <c r="L806" s="269"/>
    </row>
    <row r="807" spans="1:12" ht="24.95" customHeight="1">
      <c r="A807" s="460"/>
      <c r="E807" s="154"/>
      <c r="F807" s="460"/>
      <c r="K807" s="154"/>
      <c r="L807" s="269"/>
    </row>
    <row r="808" spans="1:12" ht="24.95" customHeight="1">
      <c r="A808" s="460"/>
      <c r="E808" s="154"/>
      <c r="F808" s="460"/>
      <c r="K808" s="154"/>
      <c r="L808" s="269"/>
    </row>
    <row r="809" spans="1:12" ht="24.95" customHeight="1">
      <c r="A809" s="460"/>
      <c r="E809" s="154"/>
      <c r="F809" s="460"/>
      <c r="K809" s="154"/>
      <c r="L809" s="269"/>
    </row>
    <row r="810" spans="1:12" ht="24.95" customHeight="1">
      <c r="A810" s="460"/>
      <c r="E810" s="154"/>
      <c r="F810" s="460"/>
      <c r="K810" s="154"/>
      <c r="L810" s="269"/>
    </row>
    <row r="811" spans="1:12" ht="24.95" customHeight="1">
      <c r="A811" s="460"/>
      <c r="E811" s="154"/>
      <c r="F811" s="460"/>
      <c r="K811" s="154"/>
      <c r="L811" s="269"/>
    </row>
    <row r="812" spans="1:12" ht="24.95" customHeight="1">
      <c r="A812" s="460"/>
      <c r="E812" s="154"/>
      <c r="F812" s="460"/>
      <c r="K812" s="154"/>
      <c r="L812" s="269"/>
    </row>
    <row r="813" spans="1:12" ht="24.95" customHeight="1">
      <c r="A813" s="460"/>
      <c r="E813" s="154"/>
      <c r="F813" s="460"/>
      <c r="K813" s="154"/>
      <c r="L813" s="269"/>
    </row>
    <row r="814" spans="1:12" ht="24.95" customHeight="1">
      <c r="A814" s="460"/>
      <c r="E814" s="154"/>
      <c r="F814" s="460"/>
      <c r="K814" s="154"/>
      <c r="L814" s="269"/>
    </row>
    <row r="815" spans="1:12" ht="24.95" customHeight="1">
      <c r="A815" s="460"/>
      <c r="E815" s="154"/>
      <c r="F815" s="460"/>
      <c r="K815" s="154"/>
      <c r="L815" s="269"/>
    </row>
    <row r="816" spans="1:12" ht="24.95" customHeight="1">
      <c r="A816" s="460"/>
      <c r="E816" s="154"/>
      <c r="F816" s="460"/>
      <c r="K816" s="154"/>
      <c r="L816" s="269"/>
    </row>
    <row r="817" spans="1:12" ht="24.95" customHeight="1">
      <c r="A817" s="460"/>
      <c r="E817" s="154"/>
      <c r="F817" s="460"/>
      <c r="K817" s="154"/>
      <c r="L817" s="269"/>
    </row>
    <row r="818" spans="1:12" ht="24.95" customHeight="1">
      <c r="A818" s="460"/>
      <c r="E818" s="154"/>
      <c r="F818" s="460"/>
      <c r="K818" s="154"/>
      <c r="L818" s="269"/>
    </row>
    <row r="819" spans="1:12" ht="24.95" customHeight="1">
      <c r="A819" s="460"/>
      <c r="E819" s="154"/>
      <c r="F819" s="460"/>
      <c r="K819" s="154"/>
      <c r="L819" s="269"/>
    </row>
    <row r="820" spans="1:12" ht="24.95" customHeight="1">
      <c r="A820" s="460"/>
      <c r="E820" s="154"/>
      <c r="F820" s="460"/>
      <c r="K820" s="154"/>
      <c r="L820" s="269"/>
    </row>
    <row r="821" spans="1:12" ht="24.95" customHeight="1">
      <c r="A821" s="460"/>
      <c r="E821" s="154"/>
      <c r="F821" s="460"/>
      <c r="K821" s="154"/>
      <c r="L821" s="269"/>
    </row>
    <row r="822" spans="1:12" ht="24.95" customHeight="1">
      <c r="A822" s="460"/>
      <c r="E822" s="154"/>
      <c r="F822" s="460"/>
      <c r="K822" s="154"/>
      <c r="L822" s="269"/>
    </row>
    <row r="823" spans="1:12" ht="24.95" customHeight="1">
      <c r="A823" s="460"/>
      <c r="E823" s="154"/>
      <c r="F823" s="460"/>
      <c r="K823" s="154"/>
      <c r="L823" s="269"/>
    </row>
    <row r="824" spans="1:12" ht="24.95" customHeight="1">
      <c r="A824" s="460"/>
      <c r="E824" s="154"/>
      <c r="F824" s="460"/>
      <c r="K824" s="154"/>
      <c r="L824" s="269"/>
    </row>
    <row r="825" spans="1:12" ht="24.95" customHeight="1">
      <c r="A825" s="460"/>
      <c r="E825" s="154"/>
      <c r="F825" s="460"/>
      <c r="K825" s="154"/>
      <c r="L825" s="269"/>
    </row>
    <row r="826" spans="1:12" ht="24.95" customHeight="1">
      <c r="A826" s="460"/>
      <c r="E826" s="154"/>
      <c r="F826" s="460"/>
      <c r="K826" s="154"/>
      <c r="L826" s="269"/>
    </row>
    <row r="827" spans="1:12" ht="24.95" customHeight="1">
      <c r="A827" s="460"/>
      <c r="E827" s="154"/>
      <c r="F827" s="460"/>
      <c r="K827" s="154"/>
      <c r="L827" s="269"/>
    </row>
    <row r="828" spans="1:12" ht="24.95" customHeight="1">
      <c r="A828" s="460"/>
      <c r="E828" s="154"/>
      <c r="F828" s="460"/>
      <c r="K828" s="154"/>
      <c r="L828" s="269"/>
    </row>
    <row r="829" spans="1:12" ht="24.95" customHeight="1">
      <c r="A829" s="460"/>
      <c r="E829" s="154"/>
      <c r="F829" s="460"/>
      <c r="K829" s="154"/>
      <c r="L829" s="269"/>
    </row>
    <row r="830" spans="1:12" ht="24.95" customHeight="1">
      <c r="A830" s="460"/>
      <c r="E830" s="154"/>
      <c r="F830" s="460"/>
      <c r="K830" s="154"/>
      <c r="L830" s="269"/>
    </row>
    <row r="831" spans="1:12" ht="24.95" customHeight="1">
      <c r="A831" s="460"/>
      <c r="E831" s="154"/>
      <c r="F831" s="460"/>
      <c r="K831" s="154"/>
      <c r="L831" s="269"/>
    </row>
    <row r="832" spans="1:12" ht="24.95" customHeight="1">
      <c r="A832" s="460"/>
      <c r="E832" s="154"/>
      <c r="F832" s="460"/>
      <c r="K832" s="154"/>
      <c r="L832" s="269"/>
    </row>
    <row r="833" spans="1:12" ht="24.95" customHeight="1">
      <c r="A833" s="460"/>
      <c r="E833" s="154"/>
      <c r="F833" s="460"/>
      <c r="K833" s="154"/>
      <c r="L833" s="269"/>
    </row>
    <row r="834" spans="1:12" ht="24.95" customHeight="1">
      <c r="A834" s="460"/>
      <c r="E834" s="154"/>
      <c r="F834" s="460"/>
      <c r="K834" s="154"/>
      <c r="L834" s="269"/>
    </row>
    <row r="835" spans="1:12" ht="24.95" customHeight="1">
      <c r="A835" s="460"/>
      <c r="E835" s="154"/>
      <c r="F835" s="460"/>
      <c r="K835" s="154"/>
      <c r="L835" s="269"/>
    </row>
    <row r="836" spans="1:12" ht="24.95" customHeight="1">
      <c r="A836" s="460"/>
      <c r="E836" s="154"/>
      <c r="F836" s="460"/>
      <c r="K836" s="154"/>
      <c r="L836" s="269"/>
    </row>
    <row r="837" spans="1:12" ht="24.95" customHeight="1">
      <c r="A837" s="460"/>
      <c r="E837" s="154"/>
      <c r="F837" s="460"/>
      <c r="K837" s="154"/>
      <c r="L837" s="269"/>
    </row>
    <row r="838" spans="1:12" ht="24.95" customHeight="1">
      <c r="A838" s="460"/>
      <c r="E838" s="154"/>
      <c r="F838" s="460"/>
      <c r="K838" s="154"/>
      <c r="L838" s="269"/>
    </row>
    <row r="839" spans="1:12" ht="24.95" customHeight="1">
      <c r="A839" s="460"/>
      <c r="E839" s="154"/>
      <c r="F839" s="460"/>
      <c r="K839" s="154"/>
      <c r="L839" s="269"/>
    </row>
    <row r="840" spans="1:12" ht="24.95" customHeight="1">
      <c r="A840" s="460"/>
      <c r="E840" s="154"/>
      <c r="F840" s="460"/>
      <c r="K840" s="154"/>
      <c r="L840" s="269"/>
    </row>
    <row r="841" spans="1:12" ht="24.95" customHeight="1">
      <c r="A841" s="460"/>
      <c r="E841" s="154"/>
      <c r="F841" s="460"/>
      <c r="K841" s="154"/>
      <c r="L841" s="269"/>
    </row>
    <row r="842" spans="1:12" ht="24.95" customHeight="1">
      <c r="A842" s="460"/>
      <c r="E842" s="154"/>
      <c r="F842" s="460"/>
      <c r="K842" s="154"/>
      <c r="L842" s="269"/>
    </row>
    <row r="843" spans="1:12" ht="24.95" customHeight="1">
      <c r="A843" s="460"/>
      <c r="E843" s="154"/>
      <c r="F843" s="460"/>
      <c r="K843" s="154"/>
      <c r="L843" s="269"/>
    </row>
    <row r="844" spans="1:12" ht="24.95" customHeight="1">
      <c r="A844" s="460"/>
      <c r="E844" s="154"/>
      <c r="F844" s="460"/>
      <c r="K844" s="154"/>
      <c r="L844" s="269"/>
    </row>
    <row r="845" spans="1:12" ht="24.95" customHeight="1">
      <c r="A845" s="460"/>
      <c r="E845" s="154"/>
      <c r="F845" s="460"/>
      <c r="K845" s="154"/>
      <c r="L845" s="269"/>
    </row>
    <row r="846" spans="1:12" ht="24.95" customHeight="1">
      <c r="A846" s="460"/>
      <c r="E846" s="154"/>
      <c r="F846" s="460"/>
      <c r="K846" s="154"/>
      <c r="L846" s="269"/>
    </row>
    <row r="847" spans="1:12" ht="24.95" customHeight="1">
      <c r="A847" s="460"/>
      <c r="E847" s="154"/>
      <c r="F847" s="460"/>
      <c r="K847" s="154"/>
      <c r="L847" s="269"/>
    </row>
    <row r="848" spans="1:12" ht="24.95" customHeight="1">
      <c r="A848" s="460"/>
      <c r="E848" s="154"/>
      <c r="F848" s="460"/>
      <c r="K848" s="154"/>
      <c r="L848" s="269"/>
    </row>
    <row r="849" spans="1:12" ht="24.95" customHeight="1">
      <c r="A849" s="460"/>
      <c r="E849" s="154"/>
      <c r="F849" s="460"/>
      <c r="K849" s="154"/>
      <c r="L849" s="269"/>
    </row>
    <row r="850" spans="1:12" ht="24.95" customHeight="1">
      <c r="A850" s="460"/>
      <c r="E850" s="154"/>
      <c r="F850" s="460"/>
      <c r="K850" s="154"/>
      <c r="L850" s="269"/>
    </row>
    <row r="851" spans="1:12" ht="24.95" customHeight="1">
      <c r="A851" s="460"/>
      <c r="E851" s="154"/>
      <c r="F851" s="460"/>
      <c r="K851" s="154"/>
      <c r="L851" s="269"/>
    </row>
    <row r="852" spans="1:12" ht="24.95" customHeight="1">
      <c r="A852" s="460"/>
      <c r="E852" s="154"/>
      <c r="F852" s="460"/>
      <c r="K852" s="154"/>
      <c r="L852" s="269"/>
    </row>
    <row r="853" spans="1:12" ht="24.95" customHeight="1">
      <c r="A853" s="460"/>
      <c r="E853" s="154"/>
      <c r="F853" s="460"/>
      <c r="K853" s="154"/>
      <c r="L853" s="269"/>
    </row>
    <row r="854" spans="1:12" ht="24.95" customHeight="1">
      <c r="A854" s="460"/>
      <c r="E854" s="154"/>
      <c r="F854" s="460"/>
      <c r="K854" s="154"/>
      <c r="L854" s="269"/>
    </row>
    <row r="855" spans="1:12" ht="24.95" customHeight="1">
      <c r="A855" s="460"/>
      <c r="E855" s="154"/>
      <c r="F855" s="460"/>
      <c r="K855" s="154"/>
      <c r="L855" s="269"/>
    </row>
    <row r="856" spans="1:12" ht="24.95" customHeight="1">
      <c r="A856" s="460"/>
      <c r="E856" s="154"/>
      <c r="F856" s="460"/>
      <c r="K856" s="154"/>
      <c r="L856" s="269"/>
    </row>
    <row r="857" spans="1:12" ht="24.95" customHeight="1">
      <c r="A857" s="460"/>
      <c r="E857" s="154"/>
      <c r="F857" s="460"/>
      <c r="K857" s="154"/>
      <c r="L857" s="269"/>
    </row>
    <row r="858" spans="1:12" ht="24.95" customHeight="1">
      <c r="A858" s="460"/>
      <c r="E858" s="154"/>
      <c r="F858" s="460"/>
      <c r="K858" s="154"/>
      <c r="L858" s="269"/>
    </row>
    <row r="859" spans="1:12" ht="24.95" customHeight="1">
      <c r="A859" s="460"/>
      <c r="E859" s="154"/>
      <c r="F859" s="460"/>
      <c r="K859" s="154"/>
      <c r="L859" s="269"/>
    </row>
    <row r="860" spans="1:12" ht="24.95" customHeight="1">
      <c r="A860" s="460"/>
      <c r="E860" s="154"/>
      <c r="F860" s="460"/>
      <c r="K860" s="154"/>
      <c r="L860" s="269"/>
    </row>
    <row r="861" spans="1:12" ht="24.95" customHeight="1">
      <c r="A861" s="460"/>
      <c r="E861" s="154"/>
      <c r="F861" s="460"/>
      <c r="K861" s="154"/>
      <c r="L861" s="269"/>
    </row>
    <row r="862" spans="1:12" ht="24.95" customHeight="1">
      <c r="A862" s="460"/>
      <c r="E862" s="154"/>
      <c r="F862" s="460"/>
      <c r="K862" s="154"/>
      <c r="L862" s="269"/>
    </row>
    <row r="863" spans="1:12" ht="24.95" customHeight="1">
      <c r="A863" s="460"/>
      <c r="E863" s="154"/>
      <c r="F863" s="460"/>
      <c r="K863" s="154"/>
      <c r="L863" s="269"/>
    </row>
    <row r="864" spans="1:12" ht="24.95" customHeight="1">
      <c r="A864" s="460"/>
      <c r="E864" s="154"/>
      <c r="F864" s="460"/>
      <c r="K864" s="154"/>
      <c r="L864" s="269"/>
    </row>
    <row r="865" spans="1:12" ht="24.95" customHeight="1">
      <c r="A865" s="460"/>
      <c r="E865" s="154"/>
      <c r="F865" s="460"/>
      <c r="K865" s="154"/>
      <c r="L865" s="269"/>
    </row>
    <row r="866" spans="1:12" ht="24.95" customHeight="1">
      <c r="A866" s="460"/>
      <c r="E866" s="154"/>
      <c r="F866" s="460"/>
      <c r="K866" s="154"/>
      <c r="L866" s="269"/>
    </row>
    <row r="867" spans="1:12" ht="24.95" customHeight="1">
      <c r="A867" s="460"/>
      <c r="E867" s="154"/>
      <c r="F867" s="460"/>
      <c r="K867" s="154"/>
      <c r="L867" s="269"/>
    </row>
    <row r="868" spans="1:12" ht="24.95" customHeight="1">
      <c r="A868" s="460"/>
      <c r="E868" s="154"/>
      <c r="F868" s="460"/>
      <c r="K868" s="154"/>
      <c r="L868" s="269"/>
    </row>
    <row r="869" spans="1:12" ht="24.95" customHeight="1">
      <c r="A869" s="460"/>
      <c r="E869" s="154"/>
      <c r="F869" s="460"/>
      <c r="K869" s="154"/>
      <c r="L869" s="269"/>
    </row>
    <row r="870" spans="1:12" ht="24.95" customHeight="1">
      <c r="A870" s="460"/>
      <c r="E870" s="154"/>
      <c r="F870" s="460"/>
      <c r="K870" s="154"/>
      <c r="L870" s="269"/>
    </row>
    <row r="871" spans="1:12" ht="24.95" customHeight="1">
      <c r="A871" s="460"/>
      <c r="E871" s="154"/>
      <c r="F871" s="460"/>
      <c r="K871" s="154"/>
      <c r="L871" s="269"/>
    </row>
    <row r="872" spans="1:12" ht="24.95" customHeight="1">
      <c r="A872" s="460"/>
      <c r="E872" s="154"/>
      <c r="F872" s="460"/>
      <c r="K872" s="154"/>
      <c r="L872" s="269"/>
    </row>
    <row r="873" spans="1:12" ht="24.95" customHeight="1">
      <c r="A873" s="460"/>
      <c r="E873" s="154"/>
      <c r="F873" s="460"/>
      <c r="K873" s="154"/>
      <c r="L873" s="269"/>
    </row>
    <row r="874" spans="1:12" ht="24.95" customHeight="1">
      <c r="A874" s="460"/>
      <c r="E874" s="154"/>
      <c r="F874" s="460"/>
      <c r="K874" s="154"/>
      <c r="L874" s="269"/>
    </row>
    <row r="875" spans="1:12" ht="24.95" customHeight="1">
      <c r="A875" s="460"/>
      <c r="E875" s="154"/>
      <c r="F875" s="460"/>
      <c r="K875" s="154"/>
      <c r="L875" s="269"/>
    </row>
    <row r="876" spans="1:12" ht="24.95" customHeight="1">
      <c r="A876" s="460"/>
      <c r="E876" s="154"/>
      <c r="F876" s="460"/>
      <c r="K876" s="154"/>
      <c r="L876" s="269"/>
    </row>
    <row r="877" spans="1:12" ht="24.95" customHeight="1">
      <c r="A877" s="460"/>
      <c r="E877" s="154"/>
      <c r="F877" s="460"/>
      <c r="K877" s="154"/>
      <c r="L877" s="269"/>
    </row>
    <row r="878" spans="1:12" ht="24.95" customHeight="1">
      <c r="A878" s="460"/>
      <c r="E878" s="154"/>
      <c r="F878" s="460"/>
      <c r="K878" s="154"/>
      <c r="L878" s="269"/>
    </row>
    <row r="879" spans="1:12" ht="24.95" customHeight="1">
      <c r="A879" s="460"/>
      <c r="E879" s="154"/>
      <c r="F879" s="460"/>
      <c r="K879" s="154"/>
      <c r="L879" s="269"/>
    </row>
    <row r="880" spans="1:12" ht="24.95" customHeight="1">
      <c r="A880" s="460"/>
      <c r="E880" s="154"/>
      <c r="F880" s="460"/>
      <c r="K880" s="154"/>
      <c r="L880" s="269"/>
    </row>
    <row r="881" spans="1:12" ht="24.95" customHeight="1">
      <c r="A881" s="460"/>
      <c r="E881" s="154"/>
      <c r="F881" s="460"/>
      <c r="K881" s="154"/>
      <c r="L881" s="269"/>
    </row>
    <row r="882" spans="1:12" ht="24.95" customHeight="1">
      <c r="A882" s="460"/>
      <c r="E882" s="154"/>
      <c r="F882" s="460"/>
      <c r="K882" s="154"/>
      <c r="L882" s="269"/>
    </row>
    <row r="883" spans="1:12" ht="24.95" customHeight="1">
      <c r="A883" s="460"/>
      <c r="E883" s="154"/>
      <c r="F883" s="460"/>
      <c r="K883" s="154"/>
      <c r="L883" s="269"/>
    </row>
    <row r="884" spans="1:12" ht="24.95" customHeight="1">
      <c r="A884" s="460"/>
      <c r="E884" s="154"/>
      <c r="F884" s="460"/>
      <c r="K884" s="154"/>
      <c r="L884" s="269"/>
    </row>
    <row r="885" spans="1:12" ht="24.95" customHeight="1">
      <c r="A885" s="460"/>
      <c r="E885" s="154"/>
      <c r="F885" s="460"/>
      <c r="K885" s="154"/>
      <c r="L885" s="269"/>
    </row>
    <row r="886" spans="1:12" ht="24.95" customHeight="1">
      <c r="A886" s="460"/>
      <c r="E886" s="154"/>
      <c r="F886" s="460"/>
      <c r="K886" s="154"/>
      <c r="L886" s="269"/>
    </row>
    <row r="887" spans="1:12" ht="24.95" customHeight="1">
      <c r="A887" s="460"/>
      <c r="E887" s="154"/>
      <c r="F887" s="460"/>
      <c r="K887" s="154"/>
      <c r="L887" s="269"/>
    </row>
    <row r="888" spans="1:12" ht="24.95" customHeight="1">
      <c r="A888" s="460"/>
      <c r="E888" s="154"/>
      <c r="F888" s="460"/>
      <c r="K888" s="154"/>
      <c r="L888" s="269"/>
    </row>
    <row r="889" spans="1:12" ht="24.95" customHeight="1">
      <c r="A889" s="460"/>
      <c r="E889" s="154"/>
      <c r="F889" s="460"/>
      <c r="K889" s="154"/>
      <c r="L889" s="269"/>
    </row>
    <row r="890" spans="1:12" ht="24.95" customHeight="1">
      <c r="A890" s="460"/>
      <c r="E890" s="154"/>
      <c r="F890" s="460"/>
      <c r="K890" s="154"/>
      <c r="L890" s="269"/>
    </row>
    <row r="891" spans="1:12" ht="24.95" customHeight="1">
      <c r="A891" s="460"/>
      <c r="E891" s="154"/>
      <c r="F891" s="460"/>
      <c r="K891" s="154"/>
      <c r="L891" s="269"/>
    </row>
    <row r="892" spans="1:12" ht="24.95" customHeight="1">
      <c r="A892" s="460"/>
      <c r="E892" s="154"/>
      <c r="F892" s="460"/>
      <c r="K892" s="154"/>
      <c r="L892" s="269"/>
    </row>
    <row r="893" spans="1:12" ht="24.95" customHeight="1">
      <c r="A893" s="460"/>
      <c r="E893" s="154"/>
      <c r="F893" s="460"/>
      <c r="K893" s="154"/>
      <c r="L893" s="269"/>
    </row>
    <row r="894" spans="1:12" ht="24.95" customHeight="1">
      <c r="A894" s="460"/>
      <c r="E894" s="154"/>
      <c r="F894" s="460"/>
      <c r="K894" s="154"/>
      <c r="L894" s="269"/>
    </row>
    <row r="895" spans="1:12" ht="24.95" customHeight="1">
      <c r="A895" s="460"/>
      <c r="E895" s="154"/>
      <c r="F895" s="460"/>
      <c r="K895" s="154"/>
      <c r="L895" s="269"/>
    </row>
    <row r="896" spans="1:12" ht="24.95" customHeight="1">
      <c r="A896" s="460"/>
      <c r="E896" s="154"/>
      <c r="F896" s="460"/>
      <c r="K896" s="154"/>
      <c r="L896" s="269"/>
    </row>
    <row r="897" spans="1:12" ht="24.95" customHeight="1">
      <c r="A897" s="460"/>
      <c r="E897" s="154"/>
      <c r="F897" s="460"/>
      <c r="K897" s="154"/>
      <c r="L897" s="269"/>
    </row>
    <row r="898" spans="1:12" ht="24.95" customHeight="1">
      <c r="A898" s="460"/>
      <c r="E898" s="154"/>
      <c r="F898" s="460"/>
      <c r="K898" s="154"/>
      <c r="L898" s="269"/>
    </row>
    <row r="899" spans="1:12" ht="24.95" customHeight="1">
      <c r="A899" s="460"/>
      <c r="E899" s="154"/>
      <c r="F899" s="460"/>
      <c r="K899" s="154"/>
      <c r="L899" s="269"/>
    </row>
    <row r="900" spans="1:12" ht="24.95" customHeight="1">
      <c r="A900" s="460"/>
      <c r="E900" s="154"/>
      <c r="F900" s="460"/>
      <c r="K900" s="154"/>
      <c r="L900" s="269"/>
    </row>
    <row r="901" spans="1:12" ht="24.95" customHeight="1">
      <c r="A901" s="460"/>
      <c r="E901" s="154"/>
      <c r="F901" s="460"/>
      <c r="K901" s="154"/>
      <c r="L901" s="269"/>
    </row>
    <row r="902" spans="1:12" ht="24.95" customHeight="1">
      <c r="A902" s="460"/>
      <c r="E902" s="154"/>
      <c r="F902" s="460"/>
      <c r="K902" s="154"/>
      <c r="L902" s="269"/>
    </row>
    <row r="903" spans="1:12" ht="24.95" customHeight="1">
      <c r="A903" s="460"/>
      <c r="E903" s="154"/>
      <c r="F903" s="460"/>
      <c r="K903" s="154"/>
      <c r="L903" s="269"/>
    </row>
    <row r="904" spans="1:12" ht="24.95" customHeight="1">
      <c r="A904" s="460"/>
      <c r="E904" s="154"/>
      <c r="F904" s="460"/>
      <c r="K904" s="154"/>
      <c r="L904" s="269"/>
    </row>
    <row r="905" spans="1:12" ht="24.95" customHeight="1">
      <c r="A905" s="460"/>
      <c r="E905" s="154"/>
      <c r="F905" s="460"/>
      <c r="K905" s="154"/>
      <c r="L905" s="269"/>
    </row>
    <row r="906" spans="1:12" ht="24.95" customHeight="1">
      <c r="A906" s="460"/>
      <c r="E906" s="154"/>
      <c r="F906" s="460"/>
      <c r="K906" s="154"/>
      <c r="L906" s="269"/>
    </row>
    <row r="907" spans="1:12" ht="24.95" customHeight="1">
      <c r="A907" s="460"/>
      <c r="E907" s="154"/>
      <c r="F907" s="460"/>
      <c r="K907" s="154"/>
      <c r="L907" s="269"/>
    </row>
    <row r="908" spans="1:12" ht="24.95" customHeight="1">
      <c r="A908" s="460"/>
      <c r="E908" s="154"/>
      <c r="F908" s="460"/>
      <c r="K908" s="154"/>
      <c r="L908" s="269"/>
    </row>
    <row r="909" spans="1:12" ht="24.95" customHeight="1">
      <c r="A909" s="460"/>
      <c r="E909" s="154"/>
      <c r="F909" s="460"/>
      <c r="K909" s="154"/>
      <c r="L909" s="269"/>
    </row>
    <row r="910" spans="1:12" ht="24.95" customHeight="1">
      <c r="A910" s="460"/>
      <c r="E910" s="154"/>
      <c r="F910" s="460"/>
      <c r="K910" s="154"/>
      <c r="L910" s="269"/>
    </row>
    <row r="911" spans="1:12" ht="24.95" customHeight="1">
      <c r="A911" s="460"/>
      <c r="E911" s="154"/>
      <c r="F911" s="460"/>
      <c r="K911" s="154"/>
      <c r="L911" s="269"/>
    </row>
    <row r="912" spans="1:12" ht="24.95" customHeight="1">
      <c r="A912" s="460"/>
      <c r="E912" s="154"/>
      <c r="F912" s="460"/>
      <c r="K912" s="154"/>
      <c r="L912" s="269"/>
    </row>
    <row r="913" spans="1:12" ht="24.95" customHeight="1">
      <c r="A913" s="460"/>
      <c r="E913" s="154"/>
      <c r="F913" s="460"/>
      <c r="K913" s="154"/>
      <c r="L913" s="269"/>
    </row>
    <row r="914" spans="1:12" ht="24.95" customHeight="1">
      <c r="A914" s="460"/>
      <c r="E914" s="154"/>
      <c r="F914" s="460"/>
      <c r="K914" s="154"/>
      <c r="L914" s="269"/>
    </row>
    <row r="915" spans="1:12" ht="24.95" customHeight="1">
      <c r="A915" s="460"/>
      <c r="E915" s="154"/>
      <c r="F915" s="460"/>
      <c r="K915" s="154"/>
      <c r="L915" s="269"/>
    </row>
    <row r="916" spans="1:12" ht="24.95" customHeight="1">
      <c r="A916" s="460"/>
      <c r="E916" s="154"/>
      <c r="F916" s="460"/>
      <c r="K916" s="154"/>
      <c r="L916" s="269"/>
    </row>
    <row r="917" spans="1:12" ht="24.95" customHeight="1">
      <c r="A917" s="460"/>
      <c r="E917" s="154"/>
      <c r="F917" s="460"/>
      <c r="K917" s="154"/>
      <c r="L917" s="269"/>
    </row>
    <row r="918" spans="1:12" ht="24.95" customHeight="1">
      <c r="A918" s="460"/>
      <c r="E918" s="154"/>
      <c r="F918" s="460"/>
      <c r="K918" s="154"/>
      <c r="L918" s="269"/>
    </row>
    <row r="919" spans="1:12" ht="24.95" customHeight="1">
      <c r="A919" s="460"/>
      <c r="E919" s="154"/>
      <c r="F919" s="460"/>
      <c r="K919" s="154"/>
      <c r="L919" s="269"/>
    </row>
    <row r="920" spans="1:12" ht="24.95" customHeight="1">
      <c r="A920" s="460"/>
      <c r="E920" s="154"/>
      <c r="F920" s="460"/>
      <c r="K920" s="154"/>
      <c r="L920" s="269"/>
    </row>
    <row r="921" spans="1:12" ht="24.95" customHeight="1">
      <c r="A921" s="460"/>
      <c r="E921" s="154"/>
      <c r="F921" s="460"/>
      <c r="K921" s="154"/>
      <c r="L921" s="269"/>
    </row>
    <row r="922" spans="1:12" ht="24.95" customHeight="1">
      <c r="A922" s="460"/>
      <c r="E922" s="154"/>
      <c r="F922" s="460"/>
      <c r="K922" s="154"/>
      <c r="L922" s="269"/>
    </row>
    <row r="923" spans="1:12" ht="24.95" customHeight="1">
      <c r="A923" s="460"/>
      <c r="E923" s="154"/>
      <c r="F923" s="460"/>
      <c r="K923" s="154"/>
      <c r="L923" s="269"/>
    </row>
    <row r="924" spans="1:12" ht="24.95" customHeight="1">
      <c r="A924" s="460"/>
      <c r="E924" s="154"/>
      <c r="F924" s="460"/>
      <c r="K924" s="154"/>
      <c r="L924" s="269"/>
    </row>
    <row r="925" spans="1:12" ht="24.95" customHeight="1">
      <c r="A925" s="460"/>
      <c r="E925" s="154"/>
      <c r="F925" s="460"/>
      <c r="K925" s="154"/>
      <c r="L925" s="269"/>
    </row>
    <row r="926" spans="1:12" ht="24.95" customHeight="1">
      <c r="A926" s="460"/>
      <c r="E926" s="154"/>
      <c r="F926" s="460"/>
      <c r="K926" s="154"/>
      <c r="L926" s="269"/>
    </row>
    <row r="927" spans="1:12" ht="24.95" customHeight="1">
      <c r="A927" s="460"/>
      <c r="E927" s="154"/>
      <c r="F927" s="460"/>
      <c r="K927" s="154"/>
      <c r="L927" s="269"/>
    </row>
    <row r="928" spans="1:12" ht="24.95" customHeight="1">
      <c r="A928" s="460"/>
      <c r="E928" s="154"/>
      <c r="F928" s="460"/>
      <c r="K928" s="154"/>
      <c r="L928" s="269"/>
    </row>
    <row r="929" spans="1:12" ht="24.95" customHeight="1">
      <c r="A929" s="460"/>
      <c r="E929" s="154"/>
      <c r="F929" s="460"/>
      <c r="K929" s="154"/>
      <c r="L929" s="269"/>
    </row>
    <row r="930" spans="1:12" ht="24.95" customHeight="1">
      <c r="A930" s="460"/>
      <c r="E930" s="154"/>
      <c r="F930" s="460"/>
      <c r="K930" s="154"/>
      <c r="L930" s="269"/>
    </row>
    <row r="931" spans="1:12" ht="24.95" customHeight="1">
      <c r="A931" s="460"/>
      <c r="E931" s="154"/>
      <c r="F931" s="460"/>
      <c r="K931" s="154"/>
      <c r="L931" s="269"/>
    </row>
    <row r="932" spans="1:12" ht="24.95" customHeight="1">
      <c r="A932" s="460"/>
      <c r="E932" s="154"/>
      <c r="F932" s="460"/>
      <c r="K932" s="154"/>
      <c r="L932" s="269"/>
    </row>
    <row r="933" spans="1:12" ht="24.95" customHeight="1">
      <c r="A933" s="460"/>
      <c r="E933" s="154"/>
      <c r="F933" s="460"/>
      <c r="K933" s="154"/>
      <c r="L933" s="269"/>
    </row>
    <row r="934" spans="1:12" ht="24.95" customHeight="1">
      <c r="A934" s="460"/>
      <c r="E934" s="154"/>
      <c r="F934" s="460"/>
      <c r="K934" s="154"/>
      <c r="L934" s="269"/>
    </row>
    <row r="935" spans="1:12" ht="24.95" customHeight="1">
      <c r="A935" s="460"/>
      <c r="E935" s="154"/>
      <c r="F935" s="460"/>
      <c r="K935" s="154"/>
      <c r="L935" s="269"/>
    </row>
    <row r="936" spans="1:12" ht="24.95" customHeight="1">
      <c r="A936" s="460"/>
      <c r="E936" s="154"/>
      <c r="F936" s="460"/>
      <c r="K936" s="154"/>
      <c r="L936" s="269"/>
    </row>
    <row r="937" spans="1:12" ht="24.95" customHeight="1">
      <c r="A937" s="460"/>
      <c r="E937" s="154"/>
      <c r="F937" s="460"/>
      <c r="K937" s="154"/>
      <c r="L937" s="269"/>
    </row>
    <row r="938" spans="1:12" ht="24.95" customHeight="1">
      <c r="A938" s="460"/>
      <c r="E938" s="154"/>
      <c r="F938" s="460"/>
      <c r="K938" s="154"/>
      <c r="L938" s="269"/>
    </row>
    <row r="939" spans="1:12" ht="24.95" customHeight="1">
      <c r="A939" s="460"/>
      <c r="E939" s="154"/>
      <c r="F939" s="460"/>
      <c r="K939" s="154"/>
      <c r="L939" s="269"/>
    </row>
    <row r="940" spans="1:12" ht="24.95" customHeight="1">
      <c r="A940" s="460"/>
      <c r="E940" s="154"/>
      <c r="F940" s="460"/>
      <c r="K940" s="154"/>
      <c r="L940" s="269"/>
    </row>
    <row r="941" spans="1:12" ht="24.95" customHeight="1">
      <c r="A941" s="460"/>
      <c r="E941" s="154"/>
      <c r="F941" s="460"/>
      <c r="K941" s="154"/>
      <c r="L941" s="269"/>
    </row>
    <row r="942" spans="1:12" ht="24.95" customHeight="1">
      <c r="A942" s="460"/>
      <c r="E942" s="154"/>
      <c r="F942" s="460"/>
      <c r="K942" s="154"/>
      <c r="L942" s="269"/>
    </row>
    <row r="943" spans="1:12" ht="24.95" customHeight="1">
      <c r="A943" s="460"/>
      <c r="E943" s="154"/>
      <c r="F943" s="460"/>
      <c r="K943" s="154"/>
      <c r="L943" s="269"/>
    </row>
    <row r="944" spans="1:12" ht="24.95" customHeight="1">
      <c r="A944" s="460"/>
      <c r="E944" s="154"/>
      <c r="F944" s="460"/>
      <c r="K944" s="154"/>
      <c r="L944" s="269"/>
    </row>
    <row r="945" spans="1:12" ht="24.95" customHeight="1">
      <c r="A945" s="460"/>
      <c r="E945" s="154"/>
      <c r="F945" s="460"/>
      <c r="K945" s="154"/>
      <c r="L945" s="269"/>
    </row>
    <row r="946" spans="1:12" ht="24.95" customHeight="1">
      <c r="A946" s="460"/>
      <c r="E946" s="154"/>
      <c r="F946" s="460"/>
      <c r="K946" s="154"/>
      <c r="L946" s="269"/>
    </row>
    <row r="947" spans="1:12" ht="24.95" customHeight="1">
      <c r="A947" s="460"/>
      <c r="E947" s="154"/>
      <c r="F947" s="460"/>
      <c r="K947" s="154"/>
      <c r="L947" s="269"/>
    </row>
    <row r="948" spans="1:12" ht="24.95" customHeight="1">
      <c r="A948" s="460"/>
      <c r="E948" s="154"/>
      <c r="F948" s="460"/>
      <c r="K948" s="154"/>
      <c r="L948" s="269"/>
    </row>
    <row r="949" spans="1:12" ht="24.95" customHeight="1">
      <c r="A949" s="460"/>
      <c r="E949" s="154"/>
      <c r="F949" s="460"/>
      <c r="K949" s="154"/>
      <c r="L949" s="269"/>
    </row>
    <row r="950" spans="1:12" ht="24.95" customHeight="1">
      <c r="A950" s="460"/>
      <c r="E950" s="154"/>
      <c r="F950" s="460"/>
      <c r="K950" s="154"/>
      <c r="L950" s="269"/>
    </row>
    <row r="951" spans="1:12" ht="24.95" customHeight="1">
      <c r="A951" s="460"/>
      <c r="E951" s="154"/>
      <c r="F951" s="460"/>
      <c r="K951" s="154"/>
      <c r="L951" s="269"/>
    </row>
    <row r="952" spans="1:12" ht="24.95" customHeight="1">
      <c r="A952" s="460"/>
      <c r="E952" s="154"/>
      <c r="F952" s="460"/>
      <c r="K952" s="154"/>
      <c r="L952" s="269"/>
    </row>
    <row r="953" spans="1:12" ht="24.95" customHeight="1">
      <c r="A953" s="460"/>
      <c r="E953" s="154"/>
      <c r="F953" s="460"/>
      <c r="K953" s="154"/>
      <c r="L953" s="269"/>
    </row>
    <row r="954" spans="1:12" ht="24.95" customHeight="1">
      <c r="A954" s="460"/>
      <c r="E954" s="154"/>
      <c r="F954" s="460"/>
      <c r="K954" s="154"/>
      <c r="L954" s="269"/>
    </row>
    <row r="955" spans="1:12" ht="24.95" customHeight="1">
      <c r="A955" s="460"/>
      <c r="E955" s="154"/>
      <c r="F955" s="460"/>
      <c r="K955" s="154"/>
      <c r="L955" s="269"/>
    </row>
    <row r="956" spans="1:12" ht="24.95" customHeight="1">
      <c r="A956" s="460"/>
      <c r="E956" s="154"/>
      <c r="F956" s="460"/>
      <c r="K956" s="154"/>
      <c r="L956" s="269"/>
    </row>
    <row r="957" spans="1:12" ht="24.95" customHeight="1">
      <c r="A957" s="460"/>
      <c r="E957" s="154"/>
      <c r="F957" s="460"/>
      <c r="K957" s="154"/>
      <c r="L957" s="269"/>
    </row>
    <row r="958" spans="1:12" ht="24.95" customHeight="1">
      <c r="A958" s="460"/>
      <c r="E958" s="154"/>
      <c r="F958" s="460"/>
      <c r="K958" s="154"/>
      <c r="L958" s="269"/>
    </row>
    <row r="959" spans="1:12" ht="24.95" customHeight="1">
      <c r="A959" s="460"/>
      <c r="E959" s="154"/>
      <c r="F959" s="460"/>
      <c r="K959" s="154"/>
      <c r="L959" s="269"/>
    </row>
    <row r="960" spans="1:12" ht="24.95" customHeight="1">
      <c r="A960" s="460"/>
      <c r="E960" s="154"/>
      <c r="F960" s="460"/>
      <c r="K960" s="154"/>
      <c r="L960" s="269"/>
    </row>
    <row r="961" spans="1:12" ht="24.95" customHeight="1">
      <c r="A961" s="460"/>
      <c r="E961" s="154"/>
      <c r="F961" s="460"/>
      <c r="K961" s="154"/>
      <c r="L961" s="269"/>
    </row>
    <row r="962" spans="1:12" ht="24.95" customHeight="1">
      <c r="A962" s="460"/>
      <c r="E962" s="154"/>
      <c r="F962" s="460"/>
      <c r="K962" s="154"/>
      <c r="L962" s="269"/>
    </row>
    <row r="963" spans="1:12" ht="24.95" customHeight="1">
      <c r="A963" s="460"/>
      <c r="E963" s="154"/>
      <c r="F963" s="460"/>
      <c r="K963" s="154"/>
      <c r="L963" s="269"/>
    </row>
    <row r="964" spans="1:12" ht="24.95" customHeight="1">
      <c r="A964" s="460"/>
      <c r="E964" s="154"/>
      <c r="F964" s="460"/>
      <c r="K964" s="154"/>
      <c r="L964" s="269"/>
    </row>
    <row r="965" spans="1:12" ht="24.95" customHeight="1">
      <c r="A965" s="460"/>
      <c r="E965" s="154"/>
      <c r="F965" s="460"/>
      <c r="K965" s="154"/>
      <c r="L965" s="269"/>
    </row>
    <row r="966" spans="1:12" ht="24.95" customHeight="1">
      <c r="A966" s="460"/>
      <c r="E966" s="154"/>
      <c r="F966" s="460"/>
      <c r="K966" s="154"/>
      <c r="L966" s="269"/>
    </row>
    <row r="967" spans="1:12" ht="24.95" customHeight="1">
      <c r="A967" s="460"/>
      <c r="E967" s="154"/>
      <c r="F967" s="460"/>
      <c r="K967" s="154"/>
      <c r="L967" s="269"/>
    </row>
    <row r="968" spans="1:12" ht="24.95" customHeight="1">
      <c r="A968" s="460"/>
      <c r="E968" s="154"/>
      <c r="F968" s="460"/>
      <c r="K968" s="154"/>
      <c r="L968" s="269"/>
    </row>
    <row r="969" spans="1:12" ht="24.95" customHeight="1">
      <c r="A969" s="460"/>
      <c r="E969" s="154"/>
      <c r="F969" s="460"/>
      <c r="K969" s="154"/>
      <c r="L969" s="269"/>
    </row>
    <row r="970" spans="1:12" ht="24.95" customHeight="1">
      <c r="A970" s="460"/>
      <c r="E970" s="154"/>
      <c r="F970" s="460"/>
      <c r="K970" s="154"/>
      <c r="L970" s="269"/>
    </row>
    <row r="971" spans="1:12" ht="24.95" customHeight="1">
      <c r="A971" s="460"/>
      <c r="E971" s="154"/>
      <c r="F971" s="460"/>
      <c r="K971" s="154"/>
      <c r="L971" s="269"/>
    </row>
    <row r="972" spans="1:12" ht="24.95" customHeight="1">
      <c r="A972" s="460"/>
      <c r="E972" s="154"/>
      <c r="F972" s="460"/>
      <c r="K972" s="154"/>
      <c r="L972" s="269"/>
    </row>
    <row r="973" spans="1:12" ht="24.95" customHeight="1">
      <c r="A973" s="460"/>
      <c r="E973" s="154"/>
      <c r="F973" s="460"/>
      <c r="K973" s="154"/>
      <c r="L973" s="269"/>
    </row>
    <row r="974" spans="1:12" ht="24.95" customHeight="1">
      <c r="A974" s="460"/>
      <c r="E974" s="154"/>
      <c r="F974" s="460"/>
      <c r="K974" s="154"/>
      <c r="L974" s="269"/>
    </row>
    <row r="975" spans="1:12" ht="24.95" customHeight="1">
      <c r="A975" s="460"/>
      <c r="E975" s="154"/>
      <c r="F975" s="460"/>
      <c r="K975" s="154"/>
      <c r="L975" s="269"/>
    </row>
    <row r="976" spans="1:12" ht="24.95" customHeight="1">
      <c r="A976" s="460"/>
      <c r="E976" s="154"/>
      <c r="F976" s="460"/>
      <c r="K976" s="154"/>
      <c r="L976" s="269"/>
    </row>
    <row r="977" spans="1:12" ht="24.95" customHeight="1">
      <c r="A977" s="460"/>
      <c r="E977" s="154"/>
      <c r="F977" s="460"/>
      <c r="K977" s="154"/>
      <c r="L977" s="269"/>
    </row>
    <row r="978" spans="1:12" ht="24.95" customHeight="1">
      <c r="A978" s="460"/>
      <c r="E978" s="154"/>
      <c r="F978" s="460"/>
      <c r="K978" s="154"/>
      <c r="L978" s="269"/>
    </row>
    <row r="979" spans="1:12" ht="24.95" customHeight="1">
      <c r="A979" s="460"/>
      <c r="E979" s="154"/>
      <c r="F979" s="460"/>
      <c r="K979" s="154"/>
      <c r="L979" s="269"/>
    </row>
    <row r="980" spans="1:12" ht="24.95" customHeight="1">
      <c r="A980" s="460"/>
      <c r="E980" s="154"/>
      <c r="F980" s="460"/>
      <c r="K980" s="154"/>
      <c r="L980" s="269"/>
    </row>
    <row r="981" spans="1:12" ht="24.95" customHeight="1">
      <c r="A981" s="460"/>
      <c r="E981" s="154"/>
      <c r="F981" s="460"/>
      <c r="K981" s="154"/>
      <c r="L981" s="269"/>
    </row>
    <row r="982" spans="1:12" ht="24.95" customHeight="1">
      <c r="A982" s="460"/>
      <c r="E982" s="154"/>
      <c r="F982" s="460"/>
      <c r="K982" s="154"/>
      <c r="L982" s="269"/>
    </row>
    <row r="983" spans="1:12" ht="24.95" customHeight="1">
      <c r="A983" s="460"/>
      <c r="E983" s="154"/>
      <c r="F983" s="460"/>
      <c r="K983" s="154"/>
      <c r="L983" s="269"/>
    </row>
    <row r="984" spans="1:12" ht="24.95" customHeight="1">
      <c r="A984" s="460"/>
      <c r="E984" s="154"/>
      <c r="F984" s="460"/>
      <c r="K984" s="154"/>
      <c r="L984" s="269"/>
    </row>
    <row r="985" spans="1:12" ht="24.95" customHeight="1">
      <c r="A985" s="460"/>
      <c r="E985" s="154"/>
      <c r="F985" s="460"/>
      <c r="K985" s="154"/>
      <c r="L985" s="269"/>
    </row>
    <row r="986" spans="1:12" ht="24.95" customHeight="1">
      <c r="A986" s="460"/>
      <c r="E986" s="154"/>
      <c r="F986" s="460"/>
      <c r="K986" s="154"/>
      <c r="L986" s="269"/>
    </row>
    <row r="987" spans="1:12" ht="24.95" customHeight="1">
      <c r="A987" s="460"/>
      <c r="E987" s="154"/>
      <c r="F987" s="460"/>
      <c r="K987" s="154"/>
      <c r="L987" s="269"/>
    </row>
    <row r="988" spans="1:12" ht="24.95" customHeight="1">
      <c r="A988" s="460"/>
      <c r="E988" s="154"/>
      <c r="F988" s="460"/>
      <c r="K988" s="154"/>
      <c r="L988" s="269"/>
    </row>
    <row r="989" spans="1:12" ht="24.95" customHeight="1">
      <c r="A989" s="460"/>
      <c r="E989" s="154"/>
      <c r="F989" s="460"/>
      <c r="K989" s="154"/>
      <c r="L989" s="269"/>
    </row>
    <row r="990" spans="1:12" ht="24.95" customHeight="1">
      <c r="A990" s="460"/>
      <c r="E990" s="154"/>
      <c r="F990" s="460"/>
      <c r="K990" s="154"/>
      <c r="L990" s="269"/>
    </row>
    <row r="991" spans="1:12" ht="24.95" customHeight="1">
      <c r="A991" s="460"/>
      <c r="E991" s="154"/>
      <c r="F991" s="460"/>
      <c r="K991" s="154"/>
      <c r="L991" s="269"/>
    </row>
    <row r="992" spans="1:12" ht="24.95" customHeight="1">
      <c r="A992" s="460"/>
      <c r="E992" s="154"/>
      <c r="F992" s="460"/>
      <c r="K992" s="154"/>
      <c r="L992" s="269"/>
    </row>
    <row r="993" spans="1:12" ht="24.95" customHeight="1">
      <c r="A993" s="460"/>
      <c r="E993" s="154"/>
      <c r="F993" s="460"/>
      <c r="K993" s="154"/>
      <c r="L993" s="269"/>
    </row>
    <row r="994" spans="1:12" ht="24.95" customHeight="1">
      <c r="A994" s="460"/>
      <c r="E994" s="154"/>
      <c r="F994" s="460"/>
      <c r="K994" s="154"/>
      <c r="L994" s="269"/>
    </row>
    <row r="995" spans="1:12" ht="24.95" customHeight="1">
      <c r="A995" s="460"/>
      <c r="E995" s="154"/>
      <c r="F995" s="460"/>
      <c r="K995" s="154"/>
      <c r="L995" s="269"/>
    </row>
    <row r="996" spans="1:12" ht="24.95" customHeight="1">
      <c r="A996" s="460"/>
      <c r="E996" s="154"/>
      <c r="F996" s="460"/>
      <c r="K996" s="154"/>
      <c r="L996" s="269"/>
    </row>
    <row r="997" spans="1:12" ht="24.95" customHeight="1">
      <c r="A997" s="460"/>
      <c r="E997" s="154"/>
      <c r="F997" s="460"/>
      <c r="K997" s="154"/>
      <c r="L997" s="269"/>
    </row>
    <row r="998" spans="1:12" ht="24.95" customHeight="1">
      <c r="A998" s="460"/>
      <c r="E998" s="154"/>
      <c r="F998" s="460"/>
      <c r="K998" s="154"/>
      <c r="L998" s="269"/>
    </row>
    <row r="999" spans="1:12" ht="24.95" customHeight="1">
      <c r="A999" s="460"/>
      <c r="E999" s="154"/>
      <c r="F999" s="460"/>
      <c r="K999" s="154"/>
      <c r="L999" s="269"/>
    </row>
    <row r="1000" spans="1:12" ht="24.95" customHeight="1">
      <c r="A1000" s="460"/>
      <c r="E1000" s="154"/>
      <c r="F1000" s="460"/>
      <c r="K1000" s="154"/>
      <c r="L1000" s="269"/>
    </row>
    <row r="1001" spans="1:12" ht="24.95" customHeight="1">
      <c r="A1001" s="460"/>
      <c r="E1001" s="154"/>
      <c r="F1001" s="460"/>
      <c r="K1001" s="154"/>
      <c r="L1001" s="269"/>
    </row>
    <row r="1002" spans="1:12" ht="24.95" customHeight="1">
      <c r="A1002" s="460"/>
      <c r="E1002" s="154"/>
      <c r="F1002" s="460"/>
      <c r="K1002" s="154"/>
      <c r="L1002" s="269"/>
    </row>
    <row r="1003" spans="1:12" ht="24.95" customHeight="1">
      <c r="A1003" s="460"/>
      <c r="E1003" s="154"/>
      <c r="F1003" s="460"/>
      <c r="K1003" s="154"/>
      <c r="L1003" s="269"/>
    </row>
    <row r="1004" spans="1:12" ht="24.95" customHeight="1">
      <c r="A1004" s="460"/>
      <c r="E1004" s="154"/>
      <c r="F1004" s="460"/>
      <c r="K1004" s="154"/>
      <c r="L1004" s="269"/>
    </row>
    <row r="1005" spans="1:12" ht="24.95" customHeight="1">
      <c r="A1005" s="460"/>
      <c r="E1005" s="154"/>
      <c r="F1005" s="460"/>
      <c r="K1005" s="154"/>
      <c r="L1005" s="269"/>
    </row>
    <row r="1006" spans="1:12" ht="24.95" customHeight="1">
      <c r="A1006" s="460"/>
      <c r="E1006" s="154"/>
      <c r="F1006" s="460"/>
      <c r="K1006" s="154"/>
      <c r="L1006" s="269"/>
    </row>
    <row r="1007" spans="1:12" ht="24.95" customHeight="1">
      <c r="A1007" s="460"/>
      <c r="E1007" s="154"/>
      <c r="F1007" s="460"/>
      <c r="K1007" s="154"/>
      <c r="L1007" s="269"/>
    </row>
    <row r="1008" spans="1:12" ht="24.95" customHeight="1">
      <c r="A1008" s="460"/>
      <c r="E1008" s="154"/>
      <c r="F1008" s="460"/>
      <c r="K1008" s="154"/>
      <c r="L1008" s="269"/>
    </row>
    <row r="1009" spans="1:12" ht="24.95" customHeight="1">
      <c r="A1009" s="460"/>
      <c r="E1009" s="154"/>
      <c r="F1009" s="460"/>
      <c r="K1009" s="154"/>
      <c r="L1009" s="269"/>
    </row>
    <row r="1010" spans="1:12" ht="24.95" customHeight="1">
      <c r="A1010" s="460"/>
      <c r="E1010" s="154"/>
      <c r="F1010" s="460"/>
      <c r="K1010" s="154"/>
      <c r="L1010" s="269"/>
    </row>
    <row r="1011" spans="1:12" ht="24.95" customHeight="1">
      <c r="A1011" s="460"/>
      <c r="E1011" s="154"/>
      <c r="F1011" s="460"/>
      <c r="K1011" s="154"/>
      <c r="L1011" s="269"/>
    </row>
    <row r="1012" spans="1:12" ht="24.95" customHeight="1">
      <c r="A1012" s="460"/>
      <c r="E1012" s="154"/>
      <c r="F1012" s="460"/>
      <c r="K1012" s="154"/>
      <c r="L1012" s="269"/>
    </row>
    <row r="1013" spans="1:12" ht="24.95" customHeight="1">
      <c r="A1013" s="460"/>
      <c r="E1013" s="154"/>
      <c r="F1013" s="460"/>
      <c r="K1013" s="154"/>
      <c r="L1013" s="269"/>
    </row>
    <row r="1014" spans="1:12" ht="24.95" customHeight="1">
      <c r="A1014" s="460"/>
      <c r="E1014" s="154"/>
      <c r="F1014" s="460"/>
      <c r="K1014" s="154"/>
      <c r="L1014" s="269"/>
    </row>
    <row r="1015" spans="1:12" ht="24.95" customHeight="1">
      <c r="A1015" s="460"/>
      <c r="E1015" s="154"/>
      <c r="F1015" s="460"/>
      <c r="K1015" s="154"/>
      <c r="L1015" s="269"/>
    </row>
    <row r="1016" spans="1:12" ht="24.95" customHeight="1">
      <c r="A1016" s="460"/>
      <c r="E1016" s="154"/>
      <c r="F1016" s="460"/>
      <c r="K1016" s="154"/>
      <c r="L1016" s="269"/>
    </row>
    <row r="1017" spans="1:12" ht="24.95" customHeight="1">
      <c r="A1017" s="460"/>
      <c r="E1017" s="154"/>
      <c r="F1017" s="460"/>
      <c r="K1017" s="154"/>
      <c r="L1017" s="269"/>
    </row>
    <row r="1018" spans="1:12" ht="24.95" customHeight="1">
      <c r="A1018" s="460"/>
      <c r="E1018" s="154"/>
      <c r="F1018" s="460"/>
      <c r="K1018" s="154"/>
      <c r="L1018" s="269"/>
    </row>
    <row r="1019" spans="1:12" ht="24.95" customHeight="1">
      <c r="A1019" s="460"/>
      <c r="E1019" s="154"/>
      <c r="F1019" s="460"/>
      <c r="K1019" s="154"/>
      <c r="L1019" s="269"/>
    </row>
    <row r="1020" spans="1:12" ht="24.95" customHeight="1">
      <c r="A1020" s="460"/>
      <c r="E1020" s="154"/>
      <c r="F1020" s="460"/>
      <c r="K1020" s="154"/>
      <c r="L1020" s="269"/>
    </row>
    <row r="1021" spans="1:12" ht="24.95" customHeight="1">
      <c r="A1021" s="460"/>
      <c r="E1021" s="154"/>
      <c r="F1021" s="460"/>
      <c r="K1021" s="154"/>
      <c r="L1021" s="269"/>
    </row>
    <row r="1022" spans="1:12" ht="24.95" customHeight="1">
      <c r="A1022" s="460"/>
      <c r="E1022" s="154"/>
      <c r="F1022" s="460"/>
      <c r="K1022" s="154"/>
      <c r="L1022" s="269"/>
    </row>
    <row r="1023" spans="1:12" ht="24.95" customHeight="1">
      <c r="A1023" s="460"/>
      <c r="E1023" s="154"/>
      <c r="F1023" s="460"/>
      <c r="K1023" s="154"/>
      <c r="L1023" s="269"/>
    </row>
    <row r="1024" spans="1:12" ht="24.95" customHeight="1">
      <c r="A1024" s="460"/>
      <c r="E1024" s="154"/>
      <c r="F1024" s="460"/>
      <c r="K1024" s="154"/>
      <c r="L1024" s="269"/>
    </row>
    <row r="1025" spans="1:12" ht="24.95" customHeight="1">
      <c r="A1025" s="460"/>
      <c r="E1025" s="154"/>
      <c r="F1025" s="460"/>
      <c r="K1025" s="154"/>
      <c r="L1025" s="269"/>
    </row>
    <row r="1026" spans="1:12" ht="24.95" customHeight="1">
      <c r="A1026" s="460"/>
      <c r="E1026" s="154"/>
      <c r="F1026" s="460"/>
      <c r="K1026" s="154"/>
      <c r="L1026" s="269"/>
    </row>
    <row r="1027" spans="1:12" ht="24.95" customHeight="1">
      <c r="A1027" s="460"/>
      <c r="E1027" s="154"/>
      <c r="F1027" s="460"/>
      <c r="K1027" s="154"/>
      <c r="L1027" s="269"/>
    </row>
    <row r="1028" spans="1:12" ht="24.95" customHeight="1">
      <c r="A1028" s="460"/>
      <c r="E1028" s="154"/>
      <c r="F1028" s="460"/>
      <c r="K1028" s="154"/>
      <c r="L1028" s="269"/>
    </row>
    <row r="1029" spans="1:12" ht="24.95" customHeight="1">
      <c r="A1029" s="460"/>
      <c r="E1029" s="154"/>
      <c r="F1029" s="460"/>
      <c r="K1029" s="154"/>
      <c r="L1029" s="269"/>
    </row>
    <row r="1030" spans="1:12" ht="24.95" customHeight="1">
      <c r="A1030" s="460"/>
      <c r="E1030" s="154"/>
      <c r="F1030" s="460"/>
      <c r="K1030" s="154"/>
      <c r="L1030" s="269"/>
    </row>
    <row r="1031" spans="1:12" ht="24.95" customHeight="1">
      <c r="A1031" s="460"/>
      <c r="E1031" s="154"/>
      <c r="F1031" s="460"/>
      <c r="K1031" s="154"/>
      <c r="L1031" s="269"/>
    </row>
    <row r="1032" spans="1:12" ht="24.95" customHeight="1">
      <c r="A1032" s="460"/>
      <c r="E1032" s="154"/>
      <c r="F1032" s="460"/>
      <c r="K1032" s="154"/>
      <c r="L1032" s="269"/>
    </row>
    <row r="1033" spans="1:12" ht="24.95" customHeight="1">
      <c r="A1033" s="460"/>
      <c r="E1033" s="154"/>
      <c r="F1033" s="460"/>
      <c r="K1033" s="154"/>
      <c r="L1033" s="269"/>
    </row>
    <row r="1034" spans="1:12" ht="24.95" customHeight="1">
      <c r="A1034" s="460"/>
      <c r="E1034" s="154"/>
      <c r="F1034" s="460"/>
      <c r="K1034" s="154"/>
      <c r="L1034" s="269"/>
    </row>
    <row r="1035" spans="1:12" ht="24.95" customHeight="1">
      <c r="A1035" s="460"/>
      <c r="E1035" s="154"/>
      <c r="F1035" s="460"/>
      <c r="K1035" s="154"/>
      <c r="L1035" s="269"/>
    </row>
    <row r="1036" spans="1:12" ht="24.95" customHeight="1">
      <c r="A1036" s="460"/>
      <c r="E1036" s="154"/>
      <c r="F1036" s="460"/>
      <c r="K1036" s="154"/>
      <c r="L1036" s="269"/>
    </row>
    <row r="1037" spans="1:12" ht="24.95" customHeight="1">
      <c r="A1037" s="460"/>
      <c r="E1037" s="154"/>
      <c r="F1037" s="460"/>
      <c r="K1037" s="154"/>
      <c r="L1037" s="269"/>
    </row>
    <row r="1038" spans="1:12" ht="24.95" customHeight="1">
      <c r="A1038" s="460"/>
      <c r="E1038" s="154"/>
      <c r="F1038" s="460"/>
      <c r="K1038" s="154"/>
      <c r="L1038" s="269"/>
    </row>
    <row r="1039" spans="1:12" ht="24.95" customHeight="1">
      <c r="A1039" s="460"/>
      <c r="E1039" s="154"/>
      <c r="F1039" s="460"/>
      <c r="K1039" s="154"/>
      <c r="L1039" s="269"/>
    </row>
    <row r="1040" spans="1:12" ht="24.95" customHeight="1">
      <c r="A1040" s="460"/>
      <c r="E1040" s="154"/>
      <c r="F1040" s="460"/>
      <c r="K1040" s="154"/>
      <c r="L1040" s="269"/>
    </row>
    <row r="1041" spans="1:12" ht="24.95" customHeight="1">
      <c r="A1041" s="460"/>
      <c r="E1041" s="154"/>
      <c r="F1041" s="460"/>
      <c r="K1041" s="154"/>
      <c r="L1041" s="269"/>
    </row>
    <row r="1042" spans="1:12" ht="24.95" customHeight="1">
      <c r="A1042" s="460"/>
      <c r="E1042" s="154"/>
      <c r="F1042" s="460"/>
      <c r="K1042" s="154"/>
      <c r="L1042" s="269"/>
    </row>
    <row r="1043" spans="1:12" ht="24.95" customHeight="1">
      <c r="A1043" s="460"/>
      <c r="E1043" s="154"/>
      <c r="F1043" s="460"/>
      <c r="K1043" s="154"/>
      <c r="L1043" s="269"/>
    </row>
    <row r="1044" spans="1:12" ht="24.95" customHeight="1">
      <c r="A1044" s="460"/>
      <c r="E1044" s="154"/>
      <c r="F1044" s="460"/>
      <c r="K1044" s="154"/>
      <c r="L1044" s="269"/>
    </row>
    <row r="1045" spans="1:12" ht="24.95" customHeight="1">
      <c r="A1045" s="460"/>
      <c r="E1045" s="154"/>
      <c r="F1045" s="460"/>
      <c r="K1045" s="154"/>
      <c r="L1045" s="269"/>
    </row>
    <row r="1046" spans="1:12" ht="24.95" customHeight="1">
      <c r="A1046" s="460"/>
      <c r="E1046" s="154"/>
      <c r="F1046" s="460"/>
      <c r="K1046" s="154"/>
      <c r="L1046" s="269"/>
    </row>
    <row r="1047" spans="1:12" ht="24.95" customHeight="1">
      <c r="A1047" s="460"/>
      <c r="E1047" s="154"/>
      <c r="F1047" s="460"/>
      <c r="K1047" s="154"/>
      <c r="L1047" s="269"/>
    </row>
    <row r="1048" spans="1:12" ht="24.95" customHeight="1">
      <c r="A1048" s="460"/>
      <c r="E1048" s="154"/>
      <c r="F1048" s="460"/>
      <c r="K1048" s="154"/>
      <c r="L1048" s="269"/>
    </row>
    <row r="1049" spans="1:12" ht="24.95" customHeight="1">
      <c r="A1049" s="460"/>
      <c r="E1049" s="154"/>
      <c r="F1049" s="460"/>
      <c r="K1049" s="154"/>
      <c r="L1049" s="269"/>
    </row>
    <row r="1050" spans="1:12" ht="24.95" customHeight="1">
      <c r="A1050" s="460"/>
      <c r="E1050" s="154"/>
      <c r="F1050" s="460"/>
      <c r="K1050" s="154"/>
      <c r="L1050" s="269"/>
    </row>
    <row r="1051" spans="1:12" ht="24.95" customHeight="1">
      <c r="A1051" s="460"/>
      <c r="E1051" s="154"/>
      <c r="F1051" s="460"/>
      <c r="K1051" s="154"/>
      <c r="L1051" s="269"/>
    </row>
    <row r="1052" spans="1:12" ht="24.95" customHeight="1">
      <c r="A1052" s="460"/>
      <c r="E1052" s="154"/>
      <c r="F1052" s="460"/>
      <c r="K1052" s="154"/>
      <c r="L1052" s="269"/>
    </row>
    <row r="1053" spans="1:12" ht="24.95" customHeight="1">
      <c r="A1053" s="460"/>
      <c r="E1053" s="154"/>
      <c r="F1053" s="460"/>
      <c r="K1053" s="154"/>
      <c r="L1053" s="269"/>
    </row>
    <row r="1054" spans="1:12" ht="24.95" customHeight="1">
      <c r="A1054" s="460"/>
      <c r="E1054" s="154"/>
      <c r="F1054" s="460"/>
      <c r="K1054" s="154"/>
      <c r="L1054" s="269"/>
    </row>
    <row r="1055" spans="1:12" ht="24.95" customHeight="1">
      <c r="A1055" s="460"/>
      <c r="E1055" s="154"/>
      <c r="F1055" s="460"/>
      <c r="K1055" s="154"/>
      <c r="L1055" s="269"/>
    </row>
    <row r="1056" spans="1:12" ht="24.95" customHeight="1">
      <c r="A1056" s="460"/>
      <c r="E1056" s="154"/>
      <c r="F1056" s="460"/>
      <c r="K1056" s="154"/>
      <c r="L1056" s="269"/>
    </row>
    <row r="1057" spans="1:12" ht="24.95" customHeight="1">
      <c r="A1057" s="460"/>
      <c r="E1057" s="154"/>
      <c r="F1057" s="460"/>
      <c r="K1057" s="154"/>
      <c r="L1057" s="269"/>
    </row>
    <row r="1058" spans="1:12" ht="24.95" customHeight="1">
      <c r="A1058" s="460"/>
      <c r="E1058" s="154"/>
      <c r="F1058" s="460"/>
      <c r="K1058" s="154"/>
      <c r="L1058" s="269"/>
    </row>
    <row r="1059" spans="1:12" ht="24.95" customHeight="1">
      <c r="A1059" s="460"/>
      <c r="E1059" s="154"/>
      <c r="F1059" s="460"/>
      <c r="K1059" s="154"/>
      <c r="L1059" s="269"/>
    </row>
    <row r="1060" spans="1:12" ht="24.95" customHeight="1">
      <c r="A1060" s="460"/>
      <c r="E1060" s="154"/>
      <c r="F1060" s="460"/>
      <c r="K1060" s="154"/>
      <c r="L1060" s="269"/>
    </row>
    <row r="1061" spans="1:12" ht="24.95" customHeight="1">
      <c r="A1061" s="460"/>
      <c r="E1061" s="154"/>
      <c r="F1061" s="460"/>
      <c r="K1061" s="154"/>
      <c r="L1061" s="269"/>
    </row>
    <row r="1062" spans="1:12" ht="24.95" customHeight="1">
      <c r="A1062" s="460"/>
      <c r="E1062" s="154"/>
      <c r="F1062" s="460"/>
      <c r="K1062" s="154"/>
      <c r="L1062" s="269"/>
    </row>
    <row r="1063" spans="1:12" ht="24.95" customHeight="1">
      <c r="A1063" s="460"/>
      <c r="E1063" s="154"/>
      <c r="F1063" s="460"/>
      <c r="K1063" s="154"/>
      <c r="L1063" s="269"/>
    </row>
    <row r="1064" spans="1:12" ht="24.95" customHeight="1">
      <c r="A1064" s="460"/>
      <c r="E1064" s="154"/>
      <c r="F1064" s="460"/>
      <c r="K1064" s="154"/>
      <c r="L1064" s="269"/>
    </row>
    <row r="1065" spans="1:12" ht="24.95" customHeight="1">
      <c r="A1065" s="460"/>
      <c r="E1065" s="154"/>
      <c r="F1065" s="460"/>
      <c r="K1065" s="154"/>
      <c r="L1065" s="269"/>
    </row>
    <row r="1066" spans="1:12" ht="24.95" customHeight="1">
      <c r="A1066" s="460"/>
      <c r="E1066" s="154"/>
      <c r="F1066" s="460"/>
      <c r="K1066" s="154"/>
      <c r="L1066" s="269"/>
    </row>
    <row r="1067" spans="1:12" ht="24.95" customHeight="1">
      <c r="A1067" s="460"/>
      <c r="E1067" s="154"/>
      <c r="F1067" s="460"/>
      <c r="K1067" s="154"/>
      <c r="L1067" s="269"/>
    </row>
    <row r="1068" spans="1:12" ht="24.95" customHeight="1">
      <c r="A1068" s="460"/>
      <c r="E1068" s="154"/>
      <c r="F1068" s="460"/>
      <c r="K1068" s="154"/>
      <c r="L1068" s="269"/>
    </row>
    <row r="1069" spans="1:12" ht="24.95" customHeight="1">
      <c r="A1069" s="460"/>
      <c r="E1069" s="154"/>
      <c r="F1069" s="460"/>
      <c r="K1069" s="154"/>
      <c r="L1069" s="269"/>
    </row>
    <row r="1070" spans="1:12" ht="24.95" customHeight="1">
      <c r="A1070" s="460"/>
      <c r="E1070" s="154"/>
      <c r="F1070" s="460"/>
      <c r="K1070" s="154"/>
      <c r="L1070" s="269"/>
    </row>
    <row r="1071" spans="1:12" ht="24.95" customHeight="1">
      <c r="A1071" s="460"/>
      <c r="E1071" s="154"/>
      <c r="F1071" s="460"/>
      <c r="K1071" s="154"/>
      <c r="L1071" s="269"/>
    </row>
    <row r="1072" spans="1:12" ht="24.95" customHeight="1">
      <c r="A1072" s="460"/>
      <c r="E1072" s="154"/>
      <c r="F1072" s="460"/>
      <c r="K1072" s="154"/>
      <c r="L1072" s="269"/>
    </row>
    <row r="1073" spans="1:12" ht="24.95" customHeight="1">
      <c r="A1073" s="460"/>
      <c r="E1073" s="154"/>
      <c r="F1073" s="460"/>
      <c r="K1073" s="154"/>
      <c r="L1073" s="269"/>
    </row>
    <row r="1074" spans="1:12" ht="24.95" customHeight="1">
      <c r="A1074" s="460"/>
      <c r="E1074" s="154"/>
      <c r="F1074" s="460"/>
      <c r="K1074" s="154"/>
      <c r="L1074" s="269"/>
    </row>
    <row r="1075" spans="1:12" ht="24.95" customHeight="1">
      <c r="A1075" s="460"/>
      <c r="E1075" s="154"/>
      <c r="F1075" s="460"/>
      <c r="K1075" s="154"/>
      <c r="L1075" s="269"/>
    </row>
    <row r="1076" spans="1:12" ht="24.95" customHeight="1">
      <c r="A1076" s="460"/>
      <c r="E1076" s="154"/>
      <c r="F1076" s="460"/>
      <c r="K1076" s="154"/>
      <c r="L1076" s="269"/>
    </row>
    <row r="1077" spans="1:12" ht="24.95" customHeight="1">
      <c r="A1077" s="460"/>
      <c r="E1077" s="154"/>
      <c r="F1077" s="460"/>
      <c r="K1077" s="154"/>
      <c r="L1077" s="269"/>
    </row>
    <row r="1078" spans="1:12" ht="24.95" customHeight="1">
      <c r="A1078" s="460"/>
      <c r="E1078" s="154"/>
      <c r="F1078" s="460"/>
      <c r="K1078" s="154"/>
      <c r="L1078" s="269"/>
    </row>
    <row r="1079" spans="1:12" ht="24.95" customHeight="1">
      <c r="A1079" s="460"/>
      <c r="E1079" s="154"/>
      <c r="F1079" s="460"/>
      <c r="K1079" s="154"/>
      <c r="L1079" s="269"/>
    </row>
    <row r="1080" spans="1:12" ht="24.95" customHeight="1">
      <c r="A1080" s="460"/>
      <c r="E1080" s="154"/>
      <c r="F1080" s="460"/>
      <c r="K1080" s="154"/>
      <c r="L1080" s="269"/>
    </row>
    <row r="1081" spans="1:12" ht="24.95" customHeight="1">
      <c r="A1081" s="460"/>
      <c r="E1081" s="154"/>
      <c r="F1081" s="460"/>
      <c r="K1081" s="154"/>
      <c r="L1081" s="269"/>
    </row>
    <row r="1082" spans="1:12" ht="24.95" customHeight="1">
      <c r="A1082" s="460"/>
      <c r="E1082" s="154"/>
      <c r="F1082" s="460"/>
      <c r="K1082" s="154"/>
      <c r="L1082" s="269"/>
    </row>
    <row r="1083" spans="1:12" ht="24.95" customHeight="1">
      <c r="A1083" s="460"/>
      <c r="E1083" s="154"/>
      <c r="F1083" s="460"/>
      <c r="K1083" s="154"/>
      <c r="L1083" s="269"/>
    </row>
    <row r="1084" spans="1:12" ht="24.95" customHeight="1">
      <c r="A1084" s="460"/>
      <c r="E1084" s="154"/>
      <c r="F1084" s="460"/>
      <c r="K1084" s="154"/>
      <c r="L1084" s="269"/>
    </row>
    <row r="1085" spans="1:12" ht="24.95" customHeight="1">
      <c r="A1085" s="460"/>
      <c r="E1085" s="154"/>
      <c r="F1085" s="460"/>
      <c r="K1085" s="154"/>
      <c r="L1085" s="269"/>
    </row>
    <row r="1086" spans="1:12" ht="24.95" customHeight="1">
      <c r="A1086" s="460"/>
      <c r="E1086" s="154"/>
      <c r="F1086" s="460"/>
      <c r="K1086" s="154"/>
      <c r="L1086" s="269"/>
    </row>
    <row r="1087" spans="1:12" ht="24.95" customHeight="1">
      <c r="A1087" s="460"/>
      <c r="E1087" s="154"/>
      <c r="F1087" s="460"/>
      <c r="K1087" s="154"/>
      <c r="L1087" s="269"/>
    </row>
    <row r="1088" spans="1:12" ht="24.95" customHeight="1">
      <c r="A1088" s="460"/>
      <c r="E1088" s="154"/>
      <c r="F1088" s="460"/>
      <c r="K1088" s="154"/>
      <c r="L1088" s="269"/>
    </row>
    <row r="1089" spans="1:12" ht="24.95" customHeight="1">
      <c r="A1089" s="460"/>
      <c r="E1089" s="154"/>
      <c r="F1089" s="460"/>
      <c r="K1089" s="154"/>
      <c r="L1089" s="269"/>
    </row>
    <row r="1090" spans="1:12" ht="24.95" customHeight="1">
      <c r="A1090" s="460"/>
      <c r="E1090" s="154"/>
      <c r="F1090" s="460"/>
      <c r="K1090" s="154"/>
      <c r="L1090" s="269"/>
    </row>
    <row r="1091" spans="1:12" ht="24.95" customHeight="1">
      <c r="A1091" s="460"/>
      <c r="E1091" s="154"/>
      <c r="F1091" s="460"/>
      <c r="K1091" s="154"/>
      <c r="L1091" s="269"/>
    </row>
    <row r="1092" spans="1:12" ht="24.95" customHeight="1">
      <c r="A1092" s="460"/>
      <c r="E1092" s="154"/>
      <c r="F1092" s="460"/>
      <c r="K1092" s="154"/>
      <c r="L1092" s="269"/>
    </row>
    <row r="1093" spans="1:12" ht="24.95" customHeight="1">
      <c r="A1093" s="460"/>
      <c r="E1093" s="154"/>
      <c r="F1093" s="460"/>
      <c r="K1093" s="154"/>
      <c r="L1093" s="269"/>
    </row>
    <row r="1094" spans="1:12" ht="24.95" customHeight="1">
      <c r="A1094" s="460"/>
      <c r="E1094" s="154"/>
      <c r="F1094" s="460"/>
      <c r="K1094" s="154"/>
      <c r="L1094" s="269"/>
    </row>
    <row r="1095" spans="1:12" ht="24.95" customHeight="1">
      <c r="A1095" s="460"/>
      <c r="E1095" s="154"/>
      <c r="F1095" s="460"/>
      <c r="K1095" s="154"/>
      <c r="L1095" s="269"/>
    </row>
    <row r="1096" spans="1:12" ht="24.95" customHeight="1">
      <c r="A1096" s="460"/>
      <c r="E1096" s="154"/>
      <c r="F1096" s="460"/>
      <c r="K1096" s="154"/>
      <c r="L1096" s="269"/>
    </row>
    <row r="1097" spans="1:12" ht="24.95" customHeight="1">
      <c r="A1097" s="460"/>
      <c r="E1097" s="154"/>
      <c r="F1097" s="460"/>
      <c r="K1097" s="154"/>
      <c r="L1097" s="269"/>
    </row>
    <row r="1098" spans="1:12" ht="24.95" customHeight="1">
      <c r="A1098" s="460"/>
      <c r="E1098" s="154"/>
      <c r="F1098" s="460"/>
      <c r="K1098" s="154"/>
      <c r="L1098" s="269"/>
    </row>
    <row r="1099" spans="1:12" ht="24.95" customHeight="1">
      <c r="A1099" s="460"/>
      <c r="E1099" s="154"/>
      <c r="F1099" s="460"/>
      <c r="K1099" s="154"/>
      <c r="L1099" s="269"/>
    </row>
    <row r="1100" spans="1:12" ht="24.95" customHeight="1">
      <c r="A1100" s="460"/>
      <c r="E1100" s="154"/>
      <c r="F1100" s="460"/>
      <c r="K1100" s="154"/>
      <c r="L1100" s="269"/>
    </row>
    <row r="1101" spans="1:12" ht="24.95" customHeight="1">
      <c r="A1101" s="460"/>
      <c r="E1101" s="154"/>
      <c r="F1101" s="460"/>
      <c r="K1101" s="154"/>
      <c r="L1101" s="269"/>
    </row>
    <row r="1102" spans="1:12" ht="24.95" customHeight="1">
      <c r="A1102" s="460"/>
      <c r="E1102" s="154"/>
      <c r="F1102" s="460"/>
      <c r="K1102" s="154"/>
      <c r="L1102" s="269"/>
    </row>
    <row r="1103" spans="1:12" ht="24.95" customHeight="1">
      <c r="A1103" s="460"/>
      <c r="E1103" s="154"/>
      <c r="F1103" s="460"/>
      <c r="K1103" s="154"/>
      <c r="L1103" s="269"/>
    </row>
    <row r="1104" spans="1:12" ht="24.95" customHeight="1">
      <c r="A1104" s="460"/>
      <c r="E1104" s="154"/>
      <c r="F1104" s="460"/>
      <c r="K1104" s="154"/>
      <c r="L1104" s="269"/>
    </row>
    <row r="1105" spans="1:12" ht="24.95" customHeight="1">
      <c r="A1105" s="460"/>
      <c r="E1105" s="154"/>
      <c r="F1105" s="460"/>
      <c r="K1105" s="154"/>
      <c r="L1105" s="269"/>
    </row>
    <row r="1106" spans="1:12" ht="24.95" customHeight="1">
      <c r="A1106" s="460"/>
      <c r="E1106" s="154"/>
      <c r="F1106" s="460"/>
      <c r="K1106" s="154"/>
      <c r="L1106" s="269"/>
    </row>
    <row r="1107" spans="1:12" ht="24.95" customHeight="1">
      <c r="A1107" s="460"/>
      <c r="E1107" s="154"/>
      <c r="F1107" s="460"/>
      <c r="K1107" s="154"/>
      <c r="L1107" s="269"/>
    </row>
    <row r="1108" spans="1:12" ht="24.95" customHeight="1">
      <c r="A1108" s="460"/>
      <c r="E1108" s="154"/>
      <c r="F1108" s="460"/>
      <c r="K1108" s="154"/>
      <c r="L1108" s="269"/>
    </row>
    <row r="1109" spans="1:12" ht="24.95" customHeight="1">
      <c r="A1109" s="460"/>
      <c r="E1109" s="154"/>
      <c r="F1109" s="460"/>
      <c r="K1109" s="154"/>
      <c r="L1109" s="269"/>
    </row>
    <row r="1110" spans="1:12" ht="24.95" customHeight="1">
      <c r="A1110" s="460"/>
      <c r="E1110" s="154"/>
      <c r="F1110" s="460"/>
      <c r="K1110" s="154"/>
      <c r="L1110" s="269"/>
    </row>
    <row r="1111" spans="1:12" ht="24.95" customHeight="1">
      <c r="A1111" s="460"/>
      <c r="E1111" s="154"/>
      <c r="F1111" s="460"/>
      <c r="K1111" s="154"/>
      <c r="L1111" s="269"/>
    </row>
    <row r="1112" spans="1:12" ht="24.95" customHeight="1">
      <c r="A1112" s="460"/>
      <c r="E1112" s="154"/>
      <c r="F1112" s="460"/>
      <c r="K1112" s="154"/>
      <c r="L1112" s="269"/>
    </row>
    <row r="1113" spans="1:12" ht="24.95" customHeight="1">
      <c r="A1113" s="460"/>
      <c r="E1113" s="154"/>
      <c r="F1113" s="460"/>
      <c r="K1113" s="154"/>
      <c r="L1113" s="269"/>
    </row>
    <row r="1114" spans="1:12" ht="24.95" customHeight="1">
      <c r="A1114" s="460"/>
      <c r="E1114" s="154"/>
      <c r="F1114" s="460"/>
      <c r="K1114" s="154"/>
      <c r="L1114" s="269"/>
    </row>
    <row r="1115" spans="1:12" ht="24.95" customHeight="1">
      <c r="A1115" s="460"/>
      <c r="E1115" s="154"/>
      <c r="F1115" s="460"/>
      <c r="K1115" s="154"/>
      <c r="L1115" s="269"/>
    </row>
    <row r="1116" spans="1:12" ht="24.95" customHeight="1">
      <c r="A1116" s="460"/>
      <c r="E1116" s="154"/>
      <c r="F1116" s="460"/>
      <c r="K1116" s="154"/>
      <c r="L1116" s="269"/>
    </row>
    <row r="1117" spans="1:12" ht="24.95" customHeight="1">
      <c r="A1117" s="460"/>
      <c r="E1117" s="154"/>
      <c r="F1117" s="460"/>
      <c r="K1117" s="154"/>
      <c r="L1117" s="269"/>
    </row>
    <row r="1118" spans="1:12" ht="24.95" customHeight="1">
      <c r="A1118" s="460"/>
      <c r="E1118" s="154"/>
      <c r="F1118" s="460"/>
      <c r="K1118" s="154"/>
      <c r="L1118" s="269"/>
    </row>
    <row r="1119" spans="1:12" ht="24.95" customHeight="1">
      <c r="A1119" s="460"/>
      <c r="E1119" s="154"/>
      <c r="F1119" s="460"/>
      <c r="K1119" s="154"/>
      <c r="L1119" s="269"/>
    </row>
    <row r="1120" spans="1:12" ht="24.95" customHeight="1">
      <c r="A1120" s="460"/>
      <c r="E1120" s="154"/>
      <c r="F1120" s="460"/>
      <c r="K1120" s="154"/>
      <c r="L1120" s="269"/>
    </row>
    <row r="1121" spans="1:12" ht="24.95" customHeight="1">
      <c r="A1121" s="460"/>
      <c r="E1121" s="154"/>
      <c r="F1121" s="460"/>
      <c r="K1121" s="154"/>
      <c r="L1121" s="269"/>
    </row>
    <row r="1122" spans="1:12" ht="24.95" customHeight="1">
      <c r="A1122" s="460"/>
      <c r="E1122" s="154"/>
      <c r="F1122" s="460"/>
      <c r="K1122" s="154"/>
      <c r="L1122" s="269"/>
    </row>
    <row r="1123" spans="1:12" ht="24.95" customHeight="1">
      <c r="A1123" s="460"/>
      <c r="E1123" s="154"/>
      <c r="F1123" s="460"/>
      <c r="K1123" s="154"/>
      <c r="L1123" s="269"/>
    </row>
    <row r="1124" spans="1:12" ht="24.95" customHeight="1">
      <c r="A1124" s="460"/>
      <c r="E1124" s="154"/>
      <c r="F1124" s="460"/>
      <c r="K1124" s="154"/>
      <c r="L1124" s="269"/>
    </row>
    <row r="1125" spans="1:12" ht="24.95" customHeight="1">
      <c r="A1125" s="460"/>
      <c r="E1125" s="154"/>
      <c r="F1125" s="460"/>
      <c r="K1125" s="154"/>
      <c r="L1125" s="269"/>
    </row>
    <row r="1126" spans="1:12" ht="24.95" customHeight="1">
      <c r="A1126" s="460"/>
      <c r="E1126" s="154"/>
      <c r="F1126" s="460"/>
      <c r="K1126" s="154"/>
      <c r="L1126" s="269"/>
    </row>
    <row r="1127" spans="1:12" ht="24.95" customHeight="1">
      <c r="A1127" s="460"/>
      <c r="E1127" s="154"/>
      <c r="F1127" s="460"/>
      <c r="K1127" s="154"/>
      <c r="L1127" s="269"/>
    </row>
    <row r="1128" spans="1:12" ht="24.95" customHeight="1">
      <c r="A1128" s="460"/>
      <c r="E1128" s="154"/>
      <c r="F1128" s="460"/>
      <c r="K1128" s="154"/>
      <c r="L1128" s="269"/>
    </row>
    <row r="1129" spans="1:12" ht="24.95" customHeight="1">
      <c r="A1129" s="460"/>
      <c r="E1129" s="154"/>
      <c r="F1129" s="460"/>
      <c r="K1129" s="154"/>
      <c r="L1129" s="269"/>
    </row>
    <row r="1130" spans="1:12" ht="24.95" customHeight="1">
      <c r="A1130" s="460"/>
      <c r="E1130" s="154"/>
      <c r="F1130" s="460"/>
      <c r="K1130" s="154"/>
      <c r="L1130" s="269"/>
    </row>
    <row r="1131" spans="1:12" ht="24.95" customHeight="1">
      <c r="A1131" s="460"/>
      <c r="E1131" s="154"/>
      <c r="F1131" s="460"/>
      <c r="K1131" s="154"/>
      <c r="L1131" s="269"/>
    </row>
    <row r="1132" spans="1:12" ht="24.95" customHeight="1">
      <c r="A1132" s="460"/>
      <c r="E1132" s="154"/>
      <c r="F1132" s="460"/>
      <c r="K1132" s="154"/>
      <c r="L1132" s="269"/>
    </row>
    <row r="1133" spans="1:12" ht="24.95" customHeight="1">
      <c r="A1133" s="460"/>
      <c r="E1133" s="154"/>
      <c r="F1133" s="460"/>
      <c r="K1133" s="154"/>
      <c r="L1133" s="269"/>
    </row>
    <row r="1134" spans="1:12" ht="24.95" customHeight="1">
      <c r="A1134" s="460"/>
      <c r="E1134" s="154"/>
      <c r="F1134" s="460"/>
      <c r="K1134" s="154"/>
      <c r="L1134" s="269"/>
    </row>
    <row r="1135" spans="1:12" ht="24.95" customHeight="1">
      <c r="A1135" s="460"/>
      <c r="E1135" s="154"/>
      <c r="F1135" s="460"/>
      <c r="K1135" s="154"/>
      <c r="L1135" s="269"/>
    </row>
    <row r="1136" spans="1:12" ht="24.95" customHeight="1">
      <c r="A1136" s="460"/>
      <c r="E1136" s="154"/>
      <c r="F1136" s="460"/>
      <c r="K1136" s="154"/>
      <c r="L1136" s="269"/>
    </row>
    <row r="1137" spans="1:12" ht="24.95" customHeight="1">
      <c r="A1137" s="460"/>
      <c r="E1137" s="154"/>
      <c r="F1137" s="460"/>
      <c r="K1137" s="154"/>
      <c r="L1137" s="269"/>
    </row>
    <row r="1138" spans="1:12" ht="24.95" customHeight="1">
      <c r="A1138" s="460"/>
      <c r="E1138" s="154"/>
      <c r="F1138" s="460"/>
      <c r="K1138" s="154"/>
      <c r="L1138" s="269"/>
    </row>
    <row r="1139" spans="1:12" ht="24.95" customHeight="1">
      <c r="A1139" s="460"/>
      <c r="E1139" s="154"/>
      <c r="F1139" s="460"/>
      <c r="K1139" s="154"/>
      <c r="L1139" s="269"/>
    </row>
    <row r="1140" spans="1:12" ht="24.95" customHeight="1">
      <c r="A1140" s="460"/>
      <c r="E1140" s="154"/>
      <c r="F1140" s="460"/>
      <c r="K1140" s="154"/>
      <c r="L1140" s="269"/>
    </row>
    <row r="1141" spans="1:12" ht="24.95" customHeight="1">
      <c r="A1141" s="460"/>
      <c r="E1141" s="154"/>
      <c r="F1141" s="460"/>
      <c r="K1141" s="154"/>
      <c r="L1141" s="269"/>
    </row>
    <row r="1142" spans="1:12" ht="24.95" customHeight="1">
      <c r="A1142" s="460"/>
      <c r="E1142" s="154"/>
      <c r="F1142" s="460"/>
      <c r="K1142" s="154"/>
      <c r="L1142" s="269"/>
    </row>
    <row r="1143" spans="1:12" ht="24.95" customHeight="1">
      <c r="A1143" s="460"/>
      <c r="E1143" s="154"/>
      <c r="F1143" s="460"/>
      <c r="K1143" s="154"/>
      <c r="L1143" s="269"/>
    </row>
    <row r="1144" spans="1:12" ht="24.95" customHeight="1">
      <c r="A1144" s="460"/>
      <c r="E1144" s="154"/>
      <c r="F1144" s="460"/>
      <c r="K1144" s="154"/>
      <c r="L1144" s="269"/>
    </row>
    <row r="1145" spans="1:12" ht="24.95" customHeight="1">
      <c r="A1145" s="460"/>
      <c r="E1145" s="154"/>
      <c r="F1145" s="460"/>
      <c r="K1145" s="154"/>
      <c r="L1145" s="269"/>
    </row>
    <row r="1146" spans="1:12" ht="24.95" customHeight="1">
      <c r="A1146" s="460"/>
      <c r="E1146" s="154"/>
      <c r="F1146" s="460"/>
      <c r="K1146" s="154"/>
      <c r="L1146" s="269"/>
    </row>
    <row r="1147" spans="1:12" ht="24.95" customHeight="1">
      <c r="A1147" s="460"/>
      <c r="E1147" s="154"/>
      <c r="F1147" s="460"/>
      <c r="K1147" s="154"/>
      <c r="L1147" s="269"/>
    </row>
    <row r="1148" spans="1:12" ht="24.95" customHeight="1">
      <c r="A1148" s="460"/>
      <c r="E1148" s="154"/>
      <c r="F1148" s="460"/>
      <c r="K1148" s="154"/>
      <c r="L1148" s="269"/>
    </row>
    <row r="1149" spans="1:12" ht="24.95" customHeight="1">
      <c r="A1149" s="460"/>
      <c r="E1149" s="154"/>
      <c r="F1149" s="460"/>
      <c r="K1149" s="154"/>
      <c r="L1149" s="269"/>
    </row>
    <row r="1150" spans="1:12" ht="24.95" customHeight="1">
      <c r="A1150" s="460"/>
      <c r="E1150" s="154"/>
      <c r="F1150" s="460"/>
      <c r="K1150" s="154"/>
      <c r="L1150" s="269"/>
    </row>
    <row r="1151" spans="1:12" ht="24.95" customHeight="1">
      <c r="A1151" s="460"/>
      <c r="E1151" s="154"/>
      <c r="F1151" s="460"/>
      <c r="K1151" s="154"/>
      <c r="L1151" s="269"/>
    </row>
    <row r="1152" spans="1:12" ht="24.95" customHeight="1">
      <c r="A1152" s="460"/>
      <c r="E1152" s="154"/>
      <c r="F1152" s="460"/>
      <c r="K1152" s="154"/>
      <c r="L1152" s="269"/>
    </row>
    <row r="1153" spans="1:12" ht="24.95" customHeight="1">
      <c r="A1153" s="460"/>
      <c r="E1153" s="154"/>
      <c r="F1153" s="460"/>
      <c r="K1153" s="154"/>
      <c r="L1153" s="269"/>
    </row>
    <row r="1154" spans="1:12" ht="24.95" customHeight="1">
      <c r="A1154" s="460"/>
      <c r="E1154" s="154"/>
      <c r="F1154" s="460"/>
      <c r="K1154" s="154"/>
      <c r="L1154" s="269"/>
    </row>
    <row r="1155" spans="1:12" ht="24.95" customHeight="1">
      <c r="A1155" s="460"/>
      <c r="E1155" s="154"/>
      <c r="F1155" s="460"/>
      <c r="K1155" s="154"/>
      <c r="L1155" s="269"/>
    </row>
    <row r="1156" spans="1:12" ht="24.95" customHeight="1">
      <c r="A1156" s="460"/>
      <c r="E1156" s="154"/>
      <c r="F1156" s="460"/>
      <c r="K1156" s="154"/>
      <c r="L1156" s="269"/>
    </row>
    <row r="1157" spans="1:12" ht="24.95" customHeight="1">
      <c r="A1157" s="460"/>
      <c r="E1157" s="154"/>
      <c r="F1157" s="460"/>
      <c r="K1157" s="154"/>
      <c r="L1157" s="269"/>
    </row>
    <row r="1158" spans="1:12" ht="24.95" customHeight="1">
      <c r="A1158" s="460"/>
      <c r="E1158" s="154"/>
      <c r="F1158" s="460"/>
      <c r="K1158" s="154"/>
      <c r="L1158" s="269"/>
    </row>
    <row r="1159" spans="1:12" ht="24.95" customHeight="1">
      <c r="A1159" s="460"/>
      <c r="E1159" s="154"/>
      <c r="F1159" s="460"/>
      <c r="K1159" s="154"/>
      <c r="L1159" s="269"/>
    </row>
    <row r="1160" spans="1:12" ht="24.95" customHeight="1">
      <c r="A1160" s="460"/>
      <c r="E1160" s="154"/>
      <c r="F1160" s="460"/>
      <c r="K1160" s="154"/>
      <c r="L1160" s="269"/>
    </row>
    <row r="1161" spans="1:12" ht="24.95" customHeight="1">
      <c r="A1161" s="460"/>
      <c r="E1161" s="154"/>
      <c r="F1161" s="460"/>
      <c r="K1161" s="154"/>
      <c r="L1161" s="269"/>
    </row>
    <row r="1162" spans="1:12" ht="24.95" customHeight="1">
      <c r="A1162" s="460"/>
      <c r="E1162" s="154"/>
      <c r="F1162" s="460"/>
      <c r="K1162" s="154"/>
      <c r="L1162" s="269"/>
    </row>
    <row r="1163" spans="1:12" ht="24.95" customHeight="1">
      <c r="A1163" s="460"/>
      <c r="E1163" s="154"/>
      <c r="F1163" s="460"/>
      <c r="K1163" s="154"/>
      <c r="L1163" s="269"/>
    </row>
    <row r="1164" spans="1:12" ht="24.95" customHeight="1">
      <c r="A1164" s="460"/>
      <c r="E1164" s="154"/>
      <c r="F1164" s="460"/>
      <c r="K1164" s="154"/>
      <c r="L1164" s="269"/>
    </row>
    <row r="1165" spans="1:12" ht="24.95" customHeight="1">
      <c r="A1165" s="460"/>
      <c r="E1165" s="154"/>
      <c r="F1165" s="460"/>
      <c r="K1165" s="154"/>
      <c r="L1165" s="269"/>
    </row>
    <row r="1166" spans="1:12" ht="24.95" customHeight="1">
      <c r="A1166" s="460"/>
      <c r="E1166" s="154"/>
      <c r="F1166" s="460"/>
      <c r="K1166" s="154"/>
      <c r="L1166" s="269"/>
    </row>
    <row r="1167" spans="1:12" ht="24.95" customHeight="1">
      <c r="A1167" s="460"/>
      <c r="E1167" s="154"/>
      <c r="F1167" s="460"/>
      <c r="K1167" s="154"/>
      <c r="L1167" s="269"/>
    </row>
    <row r="1168" spans="1:12" ht="24.95" customHeight="1">
      <c r="A1168" s="460"/>
      <c r="E1168" s="154"/>
      <c r="F1168" s="460"/>
      <c r="K1168" s="154"/>
      <c r="L1168" s="269"/>
    </row>
    <row r="1169" spans="1:12" ht="24.95" customHeight="1">
      <c r="A1169" s="460"/>
      <c r="E1169" s="154"/>
      <c r="F1169" s="460"/>
      <c r="K1169" s="154"/>
      <c r="L1169" s="269"/>
    </row>
    <row r="1170" spans="1:12" ht="24.95" customHeight="1">
      <c r="A1170" s="460"/>
      <c r="E1170" s="154"/>
      <c r="F1170" s="460"/>
      <c r="K1170" s="154"/>
      <c r="L1170" s="269"/>
    </row>
    <row r="1171" spans="1:12" ht="24.95" customHeight="1">
      <c r="A1171" s="460"/>
      <c r="E1171" s="154"/>
      <c r="F1171" s="460"/>
      <c r="K1171" s="154"/>
      <c r="L1171" s="269"/>
    </row>
    <row r="1172" spans="1:12" ht="24.95" customHeight="1">
      <c r="A1172" s="460"/>
      <c r="E1172" s="154"/>
      <c r="F1172" s="460"/>
      <c r="K1172" s="154"/>
      <c r="L1172" s="269"/>
    </row>
    <row r="1173" spans="1:12" ht="24.95" customHeight="1">
      <c r="A1173" s="460"/>
      <c r="E1173" s="154"/>
      <c r="F1173" s="460"/>
      <c r="K1173" s="154"/>
      <c r="L1173" s="269"/>
    </row>
    <row r="1174" spans="1:12" ht="24.95" customHeight="1">
      <c r="A1174" s="460"/>
      <c r="E1174" s="154"/>
      <c r="F1174" s="460"/>
      <c r="K1174" s="154"/>
      <c r="L1174" s="269"/>
    </row>
    <row r="1175" spans="1:12" ht="24.95" customHeight="1">
      <c r="A1175" s="460"/>
      <c r="E1175" s="154"/>
      <c r="F1175" s="460"/>
      <c r="K1175" s="154"/>
      <c r="L1175" s="269"/>
    </row>
    <row r="1176" spans="1:12" ht="24.95" customHeight="1">
      <c r="A1176" s="460"/>
      <c r="E1176" s="154"/>
      <c r="F1176" s="460"/>
      <c r="K1176" s="154"/>
      <c r="L1176" s="269"/>
    </row>
    <row r="1177" spans="1:12" ht="24.95" customHeight="1">
      <c r="A1177" s="460"/>
      <c r="E1177" s="154"/>
      <c r="F1177" s="460"/>
      <c r="K1177" s="154"/>
      <c r="L1177" s="269"/>
    </row>
    <row r="1178" spans="1:12" ht="24.95" customHeight="1">
      <c r="A1178" s="460"/>
      <c r="E1178" s="154"/>
      <c r="F1178" s="460"/>
      <c r="K1178" s="154"/>
      <c r="L1178" s="269"/>
    </row>
    <row r="1179" spans="1:12" ht="24.95" customHeight="1">
      <c r="A1179" s="460"/>
      <c r="E1179" s="154"/>
      <c r="F1179" s="460"/>
      <c r="K1179" s="154"/>
      <c r="L1179" s="269"/>
    </row>
    <row r="1180" spans="1:12" ht="24.95" customHeight="1">
      <c r="A1180" s="460"/>
      <c r="E1180" s="154"/>
      <c r="F1180" s="460"/>
      <c r="K1180" s="154"/>
      <c r="L1180" s="269"/>
    </row>
    <row r="1181" spans="1:12" ht="24.95" customHeight="1">
      <c r="A1181" s="460"/>
      <c r="E1181" s="154"/>
      <c r="F1181" s="460"/>
      <c r="K1181" s="154"/>
      <c r="L1181" s="269"/>
    </row>
    <row r="1182" spans="1:12" ht="24.95" customHeight="1">
      <c r="A1182" s="460"/>
      <c r="E1182" s="154"/>
      <c r="F1182" s="460"/>
      <c r="K1182" s="154"/>
      <c r="L1182" s="269"/>
    </row>
    <row r="1183" spans="1:12" ht="24.95" customHeight="1">
      <c r="A1183" s="460"/>
      <c r="E1183" s="154"/>
      <c r="F1183" s="460"/>
      <c r="K1183" s="154"/>
      <c r="L1183" s="269"/>
    </row>
    <row r="1184" spans="1:12" ht="24.95" customHeight="1">
      <c r="A1184" s="460"/>
      <c r="E1184" s="154"/>
      <c r="F1184" s="460"/>
      <c r="K1184" s="154"/>
      <c r="L1184" s="269"/>
    </row>
    <row r="1185" spans="1:12" ht="24.95" customHeight="1">
      <c r="A1185" s="460"/>
      <c r="E1185" s="154"/>
      <c r="F1185" s="460"/>
      <c r="K1185" s="154"/>
      <c r="L1185" s="269"/>
    </row>
    <row r="1186" spans="1:12" ht="24.95" customHeight="1">
      <c r="A1186" s="460"/>
      <c r="E1186" s="154"/>
      <c r="F1186" s="460"/>
      <c r="K1186" s="154"/>
      <c r="L1186" s="269"/>
    </row>
    <row r="1187" spans="1:12" ht="24.95" customHeight="1">
      <c r="A1187" s="460"/>
      <c r="E1187" s="154"/>
      <c r="F1187" s="460"/>
      <c r="K1187" s="154"/>
      <c r="L1187" s="269"/>
    </row>
    <row r="1188" spans="1:12" ht="24.95" customHeight="1">
      <c r="A1188" s="460"/>
      <c r="E1188" s="154"/>
      <c r="F1188" s="460"/>
      <c r="K1188" s="154"/>
      <c r="L1188" s="269"/>
    </row>
    <row r="1189" spans="1:12" ht="24.95" customHeight="1">
      <c r="A1189" s="460"/>
      <c r="E1189" s="154"/>
      <c r="F1189" s="460"/>
      <c r="K1189" s="154"/>
      <c r="L1189" s="269"/>
    </row>
    <row r="1190" spans="1:12" ht="24.95" customHeight="1">
      <c r="A1190" s="460"/>
      <c r="E1190" s="154"/>
      <c r="F1190" s="460"/>
      <c r="K1190" s="154"/>
      <c r="L1190" s="269"/>
    </row>
    <row r="1191" spans="1:12" ht="24.95" customHeight="1">
      <c r="A1191" s="460"/>
      <c r="E1191" s="154"/>
      <c r="F1191" s="460"/>
      <c r="K1191" s="154"/>
      <c r="L1191" s="269"/>
    </row>
    <row r="1192" spans="1:12" ht="24.95" customHeight="1">
      <c r="A1192" s="460"/>
      <c r="E1192" s="154"/>
      <c r="F1192" s="460"/>
      <c r="K1192" s="154"/>
      <c r="L1192" s="269"/>
    </row>
    <row r="1193" spans="1:12" ht="24.95" customHeight="1">
      <c r="A1193" s="460"/>
      <c r="E1193" s="154"/>
      <c r="F1193" s="460"/>
      <c r="K1193" s="154"/>
      <c r="L1193" s="269"/>
    </row>
    <row r="1194" spans="1:12" ht="24.95" customHeight="1">
      <c r="A1194" s="460"/>
      <c r="E1194" s="154"/>
      <c r="F1194" s="460"/>
      <c r="K1194" s="154"/>
      <c r="L1194" s="269"/>
    </row>
    <row r="1195" spans="1:12" ht="24.95" customHeight="1">
      <c r="A1195" s="460"/>
      <c r="E1195" s="154"/>
      <c r="F1195" s="460"/>
      <c r="K1195" s="154"/>
      <c r="L1195" s="269"/>
    </row>
    <row r="1196" spans="1:12" ht="24.95" customHeight="1">
      <c r="A1196" s="460"/>
      <c r="E1196" s="154"/>
      <c r="F1196" s="460"/>
      <c r="K1196" s="154"/>
      <c r="L1196" s="269"/>
    </row>
    <row r="1197" spans="1:12" ht="24.95" customHeight="1">
      <c r="A1197" s="460"/>
      <c r="E1197" s="154"/>
      <c r="F1197" s="460"/>
      <c r="K1197" s="154"/>
      <c r="L1197" s="269"/>
    </row>
    <row r="1198" spans="1:12" ht="24.95" customHeight="1">
      <c r="A1198" s="460"/>
      <c r="E1198" s="154"/>
      <c r="F1198" s="460"/>
      <c r="K1198" s="154"/>
      <c r="L1198" s="269"/>
    </row>
    <row r="1199" spans="1:12" ht="24.95" customHeight="1">
      <c r="A1199" s="460"/>
      <c r="E1199" s="154"/>
      <c r="F1199" s="460"/>
      <c r="K1199" s="154"/>
      <c r="L1199" s="269"/>
    </row>
    <row r="1200" spans="1:12" ht="24.95" customHeight="1">
      <c r="A1200" s="460"/>
      <c r="E1200" s="154"/>
      <c r="F1200" s="460"/>
      <c r="K1200" s="154"/>
      <c r="L1200" s="269"/>
    </row>
    <row r="1201" spans="1:12" ht="24.95" customHeight="1">
      <c r="A1201" s="460"/>
      <c r="E1201" s="154"/>
      <c r="F1201" s="460"/>
      <c r="K1201" s="154"/>
      <c r="L1201" s="269"/>
    </row>
    <row r="1202" spans="1:12" ht="24.95" customHeight="1">
      <c r="A1202" s="460"/>
      <c r="E1202" s="154"/>
      <c r="F1202" s="460"/>
      <c r="K1202" s="154"/>
      <c r="L1202" s="269"/>
    </row>
    <row r="1203" spans="1:12" ht="24.95" customHeight="1">
      <c r="A1203" s="460"/>
      <c r="E1203" s="154"/>
      <c r="F1203" s="460"/>
      <c r="K1203" s="154"/>
      <c r="L1203" s="269"/>
    </row>
    <row r="1204" spans="1:12" ht="24.95" customHeight="1">
      <c r="A1204" s="460"/>
      <c r="E1204" s="154"/>
      <c r="F1204" s="460"/>
      <c r="K1204" s="154"/>
      <c r="L1204" s="269"/>
    </row>
    <row r="1205" spans="1:12" ht="24.95" customHeight="1">
      <c r="A1205" s="460"/>
      <c r="E1205" s="154"/>
      <c r="F1205" s="460"/>
      <c r="K1205" s="154"/>
      <c r="L1205" s="269"/>
    </row>
    <row r="1206" spans="1:12" ht="24.95" customHeight="1">
      <c r="A1206" s="460"/>
      <c r="E1206" s="154"/>
      <c r="F1206" s="460"/>
      <c r="K1206" s="154"/>
      <c r="L1206" s="269"/>
    </row>
    <row r="1207" spans="1:12" ht="24.95" customHeight="1">
      <c r="A1207" s="460"/>
      <c r="E1207" s="154"/>
      <c r="F1207" s="460"/>
      <c r="K1207" s="154"/>
      <c r="L1207" s="269"/>
    </row>
    <row r="1208" spans="1:12" ht="24.95" customHeight="1">
      <c r="A1208" s="460"/>
      <c r="E1208" s="154"/>
      <c r="F1208" s="460"/>
      <c r="K1208" s="154"/>
      <c r="L1208" s="269"/>
    </row>
    <row r="1209" spans="1:12" ht="24.95" customHeight="1">
      <c r="A1209" s="460"/>
      <c r="E1209" s="154"/>
      <c r="F1209" s="460"/>
      <c r="K1209" s="154"/>
      <c r="L1209" s="269"/>
    </row>
    <row r="1210" spans="1:12" ht="24.95" customHeight="1">
      <c r="A1210" s="460"/>
      <c r="E1210" s="154"/>
      <c r="F1210" s="460"/>
      <c r="K1210" s="154"/>
      <c r="L1210" s="269"/>
    </row>
    <row r="1211" spans="1:12" ht="24.95" customHeight="1">
      <c r="A1211" s="460"/>
      <c r="E1211" s="154"/>
      <c r="F1211" s="460"/>
      <c r="K1211" s="154"/>
      <c r="L1211" s="269"/>
    </row>
    <row r="1212" spans="1:12" ht="24.95" customHeight="1">
      <c r="A1212" s="460"/>
      <c r="E1212" s="154"/>
      <c r="F1212" s="460"/>
      <c r="K1212" s="154"/>
      <c r="L1212" s="269"/>
    </row>
    <row r="1213" spans="1:12" ht="24.95" customHeight="1">
      <c r="A1213" s="460"/>
      <c r="E1213" s="154"/>
      <c r="F1213" s="460"/>
      <c r="K1213" s="154"/>
      <c r="L1213" s="269"/>
    </row>
    <row r="1214" spans="1:12" ht="24.95" customHeight="1">
      <c r="A1214" s="460"/>
      <c r="E1214" s="154"/>
      <c r="F1214" s="460"/>
      <c r="K1214" s="154"/>
      <c r="L1214" s="269"/>
    </row>
    <row r="1215" spans="1:12" ht="24.95" customHeight="1">
      <c r="A1215" s="460"/>
      <c r="E1215" s="154"/>
      <c r="F1215" s="460"/>
      <c r="K1215" s="154"/>
      <c r="L1215" s="269"/>
    </row>
    <row r="1216" spans="1:12" ht="24.95" customHeight="1">
      <c r="A1216" s="460"/>
      <c r="E1216" s="154"/>
      <c r="F1216" s="460"/>
      <c r="K1216" s="154"/>
      <c r="L1216" s="269"/>
    </row>
    <row r="1217" spans="1:12" ht="24.95" customHeight="1">
      <c r="A1217" s="460"/>
      <c r="E1217" s="154"/>
      <c r="F1217" s="460"/>
      <c r="K1217" s="154"/>
      <c r="L1217" s="269"/>
    </row>
    <row r="1218" spans="1:12" ht="24.95" customHeight="1">
      <c r="A1218" s="460"/>
      <c r="E1218" s="154"/>
      <c r="F1218" s="460"/>
      <c r="K1218" s="154"/>
      <c r="L1218" s="269"/>
    </row>
    <row r="1219" spans="1:12" ht="24.95" customHeight="1">
      <c r="A1219" s="460"/>
      <c r="E1219" s="154"/>
      <c r="F1219" s="460"/>
      <c r="K1219" s="154"/>
      <c r="L1219" s="269"/>
    </row>
    <row r="1220" spans="1:12" ht="24.95" customHeight="1">
      <c r="A1220" s="460"/>
      <c r="E1220" s="154"/>
      <c r="F1220" s="460"/>
      <c r="K1220" s="154"/>
      <c r="L1220" s="269"/>
    </row>
    <row r="1221" spans="1:12" ht="24.95" customHeight="1">
      <c r="A1221" s="460"/>
      <c r="E1221" s="154"/>
      <c r="F1221" s="460"/>
      <c r="K1221" s="154"/>
      <c r="L1221" s="269"/>
    </row>
    <row r="1222" spans="1:12" ht="24.95" customHeight="1">
      <c r="A1222" s="460"/>
      <c r="E1222" s="154"/>
      <c r="F1222" s="460"/>
      <c r="K1222" s="154"/>
      <c r="L1222" s="269"/>
    </row>
    <row r="1223" spans="1:12" ht="24.95" customHeight="1">
      <c r="A1223" s="460"/>
      <c r="E1223" s="154"/>
      <c r="F1223" s="460"/>
      <c r="K1223" s="154"/>
      <c r="L1223" s="269"/>
    </row>
    <row r="1224" spans="1:12" ht="24.95" customHeight="1">
      <c r="A1224" s="460"/>
      <c r="E1224" s="154"/>
      <c r="F1224" s="460"/>
      <c r="K1224" s="154"/>
      <c r="L1224" s="269"/>
    </row>
    <row r="1225" spans="1:12" ht="24.95" customHeight="1">
      <c r="A1225" s="460"/>
      <c r="E1225" s="154"/>
      <c r="F1225" s="460"/>
      <c r="K1225" s="154"/>
      <c r="L1225" s="269"/>
    </row>
    <row r="1226" spans="1:12" ht="24.95" customHeight="1">
      <c r="A1226" s="460"/>
      <c r="E1226" s="154"/>
      <c r="F1226" s="460"/>
      <c r="K1226" s="154"/>
      <c r="L1226" s="269"/>
    </row>
    <row r="1227" spans="1:12" ht="24.95" customHeight="1">
      <c r="A1227" s="460"/>
      <c r="E1227" s="154"/>
      <c r="F1227" s="460"/>
      <c r="K1227" s="154"/>
      <c r="L1227" s="269"/>
    </row>
    <row r="1228" spans="1:12" ht="24.95" customHeight="1">
      <c r="A1228" s="460"/>
      <c r="E1228" s="154"/>
      <c r="F1228" s="460"/>
      <c r="K1228" s="154"/>
      <c r="L1228" s="269"/>
    </row>
    <row r="1229" spans="1:12" ht="24.95" customHeight="1">
      <c r="A1229" s="460"/>
      <c r="E1229" s="154"/>
      <c r="F1229" s="460"/>
      <c r="K1229" s="154"/>
      <c r="L1229" s="269"/>
    </row>
    <row r="1230" spans="1:12" ht="24.95" customHeight="1">
      <c r="A1230" s="460"/>
      <c r="E1230" s="154"/>
      <c r="F1230" s="460"/>
      <c r="K1230" s="154"/>
      <c r="L1230" s="269"/>
    </row>
    <row r="1231" spans="1:12" ht="24.95" customHeight="1">
      <c r="A1231" s="460"/>
      <c r="E1231" s="154"/>
      <c r="F1231" s="460"/>
      <c r="K1231" s="154"/>
      <c r="L1231" s="269"/>
    </row>
    <row r="1232" spans="1:12" ht="24.95" customHeight="1">
      <c r="A1232" s="460"/>
      <c r="E1232" s="154"/>
      <c r="F1232" s="460"/>
      <c r="K1232" s="154"/>
      <c r="L1232" s="269"/>
    </row>
    <row r="1233" spans="1:12" ht="24.95" customHeight="1">
      <c r="A1233" s="460"/>
      <c r="E1233" s="154"/>
      <c r="F1233" s="460"/>
      <c r="K1233" s="154"/>
      <c r="L1233" s="269"/>
    </row>
    <row r="1234" spans="1:12" ht="24.95" customHeight="1">
      <c r="A1234" s="460"/>
      <c r="E1234" s="154"/>
      <c r="F1234" s="460"/>
      <c r="K1234" s="154"/>
      <c r="L1234" s="269"/>
    </row>
    <row r="1235" spans="1:12" ht="24.95" customHeight="1">
      <c r="A1235" s="460"/>
      <c r="E1235" s="154"/>
      <c r="F1235" s="460"/>
      <c r="K1235" s="154"/>
      <c r="L1235" s="269"/>
    </row>
    <row r="1236" spans="1:12" ht="24.95" customHeight="1">
      <c r="A1236" s="460"/>
      <c r="E1236" s="154"/>
      <c r="F1236" s="460"/>
      <c r="K1236" s="154"/>
      <c r="L1236" s="269"/>
    </row>
    <row r="1237" spans="1:12" ht="24.95" customHeight="1">
      <c r="A1237" s="460"/>
      <c r="E1237" s="154"/>
      <c r="F1237" s="460"/>
      <c r="K1237" s="154"/>
      <c r="L1237" s="269"/>
    </row>
    <row r="1238" spans="1:12" ht="24.95" customHeight="1">
      <c r="A1238" s="460"/>
      <c r="E1238" s="154"/>
      <c r="F1238" s="460"/>
      <c r="K1238" s="154"/>
      <c r="L1238" s="269"/>
    </row>
    <row r="1239" spans="1:12" ht="24.95" customHeight="1">
      <c r="A1239" s="460"/>
      <c r="E1239" s="154"/>
      <c r="F1239" s="460"/>
      <c r="K1239" s="154"/>
      <c r="L1239" s="269"/>
    </row>
    <row r="1240" spans="1:12" ht="24.95" customHeight="1">
      <c r="A1240" s="460"/>
      <c r="E1240" s="154"/>
      <c r="F1240" s="460"/>
      <c r="K1240" s="154"/>
      <c r="L1240" s="269"/>
    </row>
    <row r="1241" spans="1:12" ht="24.95" customHeight="1">
      <c r="A1241" s="460"/>
      <c r="E1241" s="154"/>
      <c r="F1241" s="460"/>
      <c r="K1241" s="154"/>
      <c r="L1241" s="269"/>
    </row>
    <row r="1242" spans="1:12" ht="24.95" customHeight="1">
      <c r="A1242" s="460"/>
      <c r="E1242" s="154"/>
      <c r="F1242" s="460"/>
      <c r="K1242" s="154"/>
      <c r="L1242" s="269"/>
    </row>
    <row r="1243" spans="1:12" ht="24.95" customHeight="1">
      <c r="A1243" s="460"/>
      <c r="E1243" s="154"/>
      <c r="F1243" s="460"/>
      <c r="K1243" s="154"/>
      <c r="L1243" s="269"/>
    </row>
    <row r="1244" spans="1:12" ht="24.95" customHeight="1">
      <c r="A1244" s="460"/>
      <c r="E1244" s="154"/>
      <c r="F1244" s="460"/>
      <c r="K1244" s="154"/>
      <c r="L1244" s="269"/>
    </row>
    <row r="1245" spans="1:12" ht="24.95" customHeight="1">
      <c r="A1245" s="460"/>
      <c r="E1245" s="154"/>
      <c r="F1245" s="460"/>
      <c r="K1245" s="154"/>
      <c r="L1245" s="269"/>
    </row>
    <row r="1246" spans="1:12" ht="24.95" customHeight="1">
      <c r="A1246" s="460"/>
      <c r="E1246" s="154"/>
      <c r="F1246" s="460"/>
      <c r="K1246" s="154"/>
      <c r="L1246" s="269"/>
    </row>
    <row r="1247" spans="1:12" ht="24.95" customHeight="1">
      <c r="A1247" s="460"/>
      <c r="E1247" s="154"/>
      <c r="F1247" s="460"/>
      <c r="K1247" s="154"/>
      <c r="L1247" s="269"/>
    </row>
    <row r="1248" spans="1:12" ht="24.95" customHeight="1">
      <c r="A1248" s="460"/>
      <c r="E1248" s="154"/>
      <c r="F1248" s="460"/>
      <c r="K1248" s="154"/>
      <c r="L1248" s="269"/>
    </row>
    <row r="1249" spans="1:12" ht="24.95" customHeight="1">
      <c r="A1249" s="460"/>
      <c r="E1249" s="154"/>
      <c r="F1249" s="460"/>
      <c r="K1249" s="154"/>
      <c r="L1249" s="269"/>
    </row>
    <row r="1250" spans="1:12" ht="24.95" customHeight="1">
      <c r="A1250" s="460"/>
      <c r="E1250" s="154"/>
      <c r="F1250" s="460"/>
      <c r="K1250" s="154"/>
      <c r="L1250" s="269"/>
    </row>
    <row r="1251" spans="1:12" ht="24.95" customHeight="1">
      <c r="A1251" s="460"/>
      <c r="E1251" s="154"/>
      <c r="F1251" s="460"/>
      <c r="K1251" s="154"/>
      <c r="L1251" s="269"/>
    </row>
    <row r="1252" spans="1:12" ht="24.95" customHeight="1">
      <c r="A1252" s="460"/>
      <c r="E1252" s="154"/>
      <c r="F1252" s="460"/>
      <c r="K1252" s="154"/>
      <c r="L1252" s="269"/>
    </row>
    <row r="1253" spans="1:12" ht="24.95" customHeight="1">
      <c r="A1253" s="460"/>
      <c r="E1253" s="154"/>
      <c r="F1253" s="460"/>
      <c r="K1253" s="154"/>
      <c r="L1253" s="269"/>
    </row>
    <row r="1254" spans="1:12" ht="24.95" customHeight="1">
      <c r="A1254" s="460"/>
      <c r="E1254" s="154"/>
      <c r="F1254" s="460"/>
      <c r="K1254" s="154"/>
      <c r="L1254" s="269"/>
    </row>
    <row r="1255" spans="1:12" ht="24.95" customHeight="1">
      <c r="A1255" s="460"/>
      <c r="E1255" s="154"/>
      <c r="F1255" s="460"/>
      <c r="K1255" s="154"/>
      <c r="L1255" s="269"/>
    </row>
    <row r="1256" spans="1:12" ht="24.95" customHeight="1">
      <c r="A1256" s="460"/>
      <c r="E1256" s="154"/>
      <c r="F1256" s="460"/>
      <c r="K1256" s="154"/>
      <c r="L1256" s="269"/>
    </row>
    <row r="1257" spans="1:12" ht="24.95" customHeight="1">
      <c r="A1257" s="460"/>
      <c r="E1257" s="154"/>
      <c r="F1257" s="460"/>
      <c r="K1257" s="154"/>
      <c r="L1257" s="269"/>
    </row>
    <row r="1258" spans="1:12" ht="24.95" customHeight="1">
      <c r="A1258" s="460"/>
      <c r="E1258" s="154"/>
      <c r="F1258" s="460"/>
      <c r="K1258" s="154"/>
      <c r="L1258" s="269"/>
    </row>
    <row r="1259" spans="1:12" ht="24.95" customHeight="1">
      <c r="A1259" s="460"/>
      <c r="E1259" s="154"/>
      <c r="F1259" s="460"/>
      <c r="K1259" s="154"/>
      <c r="L1259" s="269"/>
    </row>
    <row r="1260" spans="1:12" ht="24.95" customHeight="1">
      <c r="A1260" s="460"/>
      <c r="E1260" s="154"/>
      <c r="F1260" s="460"/>
      <c r="K1260" s="154"/>
      <c r="L1260" s="269"/>
    </row>
    <row r="1261" spans="1:12" ht="24.95" customHeight="1">
      <c r="A1261" s="460"/>
      <c r="E1261" s="154"/>
      <c r="F1261" s="460"/>
      <c r="K1261" s="154"/>
      <c r="L1261" s="269"/>
    </row>
    <row r="1262" spans="1:12" ht="24.95" customHeight="1">
      <c r="A1262" s="460"/>
      <c r="E1262" s="154"/>
      <c r="F1262" s="460"/>
      <c r="K1262" s="154"/>
      <c r="L1262" s="269"/>
    </row>
    <row r="1263" spans="1:12" ht="24.95" customHeight="1">
      <c r="A1263" s="460"/>
      <c r="E1263" s="154"/>
      <c r="F1263" s="460"/>
      <c r="K1263" s="154"/>
      <c r="L1263" s="269"/>
    </row>
    <row r="1264" spans="1:12" ht="24.95" customHeight="1">
      <c r="A1264" s="460"/>
      <c r="E1264" s="154"/>
      <c r="F1264" s="460"/>
      <c r="K1264" s="154"/>
      <c r="L1264" s="269"/>
    </row>
    <row r="1265" spans="1:12" ht="24.95" customHeight="1">
      <c r="A1265" s="460"/>
      <c r="E1265" s="154"/>
      <c r="F1265" s="460"/>
      <c r="K1265" s="154"/>
      <c r="L1265" s="269"/>
    </row>
    <row r="1266" spans="1:12" ht="24.95" customHeight="1">
      <c r="A1266" s="460"/>
      <c r="E1266" s="154"/>
      <c r="F1266" s="460"/>
      <c r="K1266" s="154"/>
      <c r="L1266" s="269"/>
    </row>
    <row r="1267" spans="1:12" ht="24.95" customHeight="1">
      <c r="A1267" s="460"/>
      <c r="E1267" s="154"/>
      <c r="F1267" s="460"/>
      <c r="K1267" s="154"/>
      <c r="L1267" s="269"/>
    </row>
    <row r="1268" spans="1:12" ht="24.95" customHeight="1">
      <c r="A1268" s="460"/>
      <c r="E1268" s="154"/>
      <c r="F1268" s="460"/>
      <c r="K1268" s="154"/>
      <c r="L1268" s="269"/>
    </row>
    <row r="1269" spans="1:12" ht="24.95" customHeight="1">
      <c r="A1269" s="460"/>
      <c r="E1269" s="154"/>
      <c r="F1269" s="460"/>
      <c r="K1269" s="154"/>
      <c r="L1269" s="269"/>
    </row>
    <row r="1270" spans="1:12" ht="24.95" customHeight="1">
      <c r="A1270" s="460"/>
      <c r="E1270" s="154"/>
      <c r="F1270" s="460"/>
      <c r="K1270" s="154"/>
      <c r="L1270" s="269"/>
    </row>
    <row r="1271" spans="1:12" ht="24.95" customHeight="1">
      <c r="A1271" s="460"/>
      <c r="E1271" s="154"/>
      <c r="F1271" s="460"/>
      <c r="K1271" s="154"/>
      <c r="L1271" s="269"/>
    </row>
    <row r="1272" spans="1:12" ht="24.95" customHeight="1">
      <c r="A1272" s="460"/>
      <c r="E1272" s="154"/>
      <c r="F1272" s="460"/>
      <c r="K1272" s="154"/>
      <c r="L1272" s="269"/>
    </row>
    <row r="1273" spans="1:12" ht="24.95" customHeight="1">
      <c r="A1273" s="460"/>
      <c r="E1273" s="154"/>
      <c r="F1273" s="460"/>
      <c r="K1273" s="154"/>
      <c r="L1273" s="269"/>
    </row>
    <row r="1274" spans="1:12" ht="24.95" customHeight="1">
      <c r="A1274" s="460"/>
      <c r="E1274" s="154"/>
      <c r="F1274" s="460"/>
      <c r="K1274" s="154"/>
      <c r="L1274" s="269"/>
    </row>
    <row r="1275" spans="1:12" ht="24.95" customHeight="1">
      <c r="A1275" s="460"/>
      <c r="E1275" s="154"/>
      <c r="F1275" s="460"/>
      <c r="K1275" s="154"/>
      <c r="L1275" s="269"/>
    </row>
    <row r="1276" spans="1:12" ht="24.95" customHeight="1">
      <c r="A1276" s="460"/>
      <c r="E1276" s="154"/>
      <c r="F1276" s="460"/>
      <c r="K1276" s="154"/>
      <c r="L1276" s="269"/>
    </row>
    <row r="1277" spans="1:12" ht="24.95" customHeight="1">
      <c r="A1277" s="460"/>
      <c r="E1277" s="154"/>
      <c r="F1277" s="460"/>
      <c r="K1277" s="154"/>
      <c r="L1277" s="269"/>
    </row>
    <row r="1278" spans="1:12" ht="24.95" customHeight="1">
      <c r="A1278" s="460"/>
      <c r="E1278" s="154"/>
      <c r="F1278" s="460"/>
      <c r="K1278" s="154"/>
      <c r="L1278" s="269"/>
    </row>
    <row r="1279" spans="1:12" ht="24.95" customHeight="1">
      <c r="A1279" s="460"/>
      <c r="E1279" s="154"/>
      <c r="F1279" s="460"/>
      <c r="K1279" s="154"/>
      <c r="L1279" s="269"/>
    </row>
    <row r="1280" spans="1:12" ht="24.95" customHeight="1">
      <c r="A1280" s="460"/>
      <c r="E1280" s="154"/>
      <c r="F1280" s="460"/>
      <c r="K1280" s="154"/>
      <c r="L1280" s="269"/>
    </row>
    <row r="1281" spans="1:12" ht="24.95" customHeight="1">
      <c r="A1281" s="460"/>
      <c r="E1281" s="154"/>
      <c r="F1281" s="460"/>
      <c r="K1281" s="154"/>
      <c r="L1281" s="269"/>
    </row>
    <row r="1282" spans="1:12" ht="24.95" customHeight="1">
      <c r="A1282" s="460"/>
      <c r="E1282" s="154"/>
      <c r="F1282" s="460"/>
      <c r="K1282" s="154"/>
      <c r="L1282" s="269"/>
    </row>
    <row r="1283" spans="1:12" ht="24.95" customHeight="1">
      <c r="A1283" s="460"/>
      <c r="E1283" s="154"/>
      <c r="F1283" s="460"/>
      <c r="K1283" s="154"/>
      <c r="L1283" s="269"/>
    </row>
    <row r="1284" spans="1:12" ht="24.95" customHeight="1">
      <c r="A1284" s="460"/>
      <c r="E1284" s="154"/>
      <c r="F1284" s="460"/>
      <c r="K1284" s="154"/>
      <c r="L1284" s="269"/>
    </row>
    <row r="1285" spans="1:12" ht="24.95" customHeight="1">
      <c r="A1285" s="460"/>
      <c r="E1285" s="154"/>
      <c r="F1285" s="460"/>
      <c r="K1285" s="154"/>
      <c r="L1285" s="269"/>
    </row>
    <row r="1286" spans="1:12" ht="24.95" customHeight="1">
      <c r="A1286" s="460"/>
      <c r="E1286" s="154"/>
      <c r="F1286" s="460"/>
      <c r="K1286" s="154"/>
      <c r="L1286" s="269"/>
    </row>
    <row r="1287" spans="1:12" ht="24.95" customHeight="1">
      <c r="A1287" s="460"/>
      <c r="E1287" s="154"/>
      <c r="F1287" s="460"/>
      <c r="K1287" s="154"/>
      <c r="L1287" s="269"/>
    </row>
    <row r="1288" spans="1:12" ht="24.95" customHeight="1">
      <c r="A1288" s="460"/>
      <c r="E1288" s="154"/>
      <c r="F1288" s="460"/>
      <c r="K1288" s="154"/>
      <c r="L1288" s="269"/>
    </row>
    <row r="1289" spans="1:12" ht="24.95" customHeight="1">
      <c r="A1289" s="460"/>
      <c r="E1289" s="154"/>
      <c r="F1289" s="460"/>
      <c r="K1289" s="154"/>
      <c r="L1289" s="269"/>
    </row>
    <row r="1290" spans="1:12" ht="24.95" customHeight="1">
      <c r="A1290" s="460"/>
      <c r="E1290" s="154"/>
      <c r="F1290" s="460"/>
      <c r="K1290" s="154"/>
      <c r="L1290" s="269"/>
    </row>
    <row r="1291" spans="1:12" ht="24.95" customHeight="1">
      <c r="A1291" s="460"/>
      <c r="E1291" s="154"/>
      <c r="F1291" s="460"/>
      <c r="K1291" s="154"/>
      <c r="L1291" s="269"/>
    </row>
    <row r="1292" spans="1:12" ht="24.95" customHeight="1">
      <c r="A1292" s="460"/>
      <c r="E1292" s="154"/>
      <c r="F1292" s="460"/>
      <c r="K1292" s="154"/>
      <c r="L1292" s="269"/>
    </row>
    <row r="1293" spans="1:12" ht="24.95" customHeight="1">
      <c r="A1293" s="460"/>
      <c r="E1293" s="154"/>
      <c r="F1293" s="460"/>
      <c r="K1293" s="154"/>
      <c r="L1293" s="269"/>
    </row>
    <row r="1294" spans="1:12" ht="24.95" customHeight="1">
      <c r="A1294" s="460"/>
      <c r="E1294" s="154"/>
      <c r="F1294" s="460"/>
      <c r="K1294" s="154"/>
      <c r="L1294" s="269"/>
    </row>
    <row r="1295" spans="1:12" ht="24.95" customHeight="1">
      <c r="A1295" s="460"/>
      <c r="E1295" s="154"/>
      <c r="F1295" s="460"/>
      <c r="K1295" s="154"/>
      <c r="L1295" s="269"/>
    </row>
    <row r="1296" spans="1:12" ht="24.95" customHeight="1">
      <c r="A1296" s="460"/>
      <c r="E1296" s="154"/>
      <c r="F1296" s="460"/>
      <c r="K1296" s="154"/>
      <c r="L1296" s="269"/>
    </row>
    <row r="1297" spans="1:12" ht="24.95" customHeight="1">
      <c r="A1297" s="460"/>
      <c r="E1297" s="154"/>
      <c r="F1297" s="460"/>
      <c r="K1297" s="154"/>
      <c r="L1297" s="269"/>
    </row>
    <row r="1298" spans="1:12" ht="24.95" customHeight="1">
      <c r="A1298" s="460"/>
      <c r="E1298" s="154"/>
      <c r="F1298" s="460"/>
      <c r="K1298" s="154"/>
      <c r="L1298" s="269"/>
    </row>
    <row r="1299" spans="1:12" ht="24.95" customHeight="1">
      <c r="A1299" s="460"/>
      <c r="E1299" s="154"/>
      <c r="F1299" s="460"/>
      <c r="K1299" s="154"/>
      <c r="L1299" s="269"/>
    </row>
    <row r="1300" spans="1:12" ht="24.95" customHeight="1">
      <c r="A1300" s="460"/>
      <c r="E1300" s="154"/>
      <c r="F1300" s="460"/>
      <c r="K1300" s="154"/>
      <c r="L1300" s="269"/>
    </row>
    <row r="1301" spans="1:12" ht="24.95" customHeight="1">
      <c r="A1301" s="460"/>
      <c r="E1301" s="154"/>
      <c r="F1301" s="460"/>
      <c r="K1301" s="154"/>
      <c r="L1301" s="269"/>
    </row>
    <row r="1302" spans="1:12" ht="24.95" customHeight="1">
      <c r="A1302" s="460"/>
      <c r="E1302" s="154"/>
      <c r="F1302" s="460"/>
      <c r="K1302" s="154"/>
      <c r="L1302" s="269"/>
    </row>
    <row r="1303" spans="1:12" ht="24.95" customHeight="1">
      <c r="A1303" s="460"/>
      <c r="E1303" s="154"/>
      <c r="F1303" s="460"/>
      <c r="K1303" s="154"/>
      <c r="L1303" s="269"/>
    </row>
    <row r="1304" spans="1:12" ht="24.95" customHeight="1">
      <c r="A1304" s="460"/>
      <c r="E1304" s="154"/>
      <c r="F1304" s="460"/>
      <c r="K1304" s="154"/>
      <c r="L1304" s="269"/>
    </row>
    <row r="1305" spans="1:12" ht="24.95" customHeight="1">
      <c r="A1305" s="460"/>
      <c r="E1305" s="154"/>
      <c r="F1305" s="460"/>
      <c r="K1305" s="154"/>
      <c r="L1305" s="269"/>
    </row>
    <row r="1306" spans="1:12" ht="24.95" customHeight="1">
      <c r="A1306" s="460"/>
      <c r="E1306" s="154"/>
      <c r="F1306" s="460"/>
      <c r="K1306" s="154"/>
      <c r="L1306" s="269"/>
    </row>
    <row r="1307" spans="1:12" ht="24.95" customHeight="1">
      <c r="A1307" s="460"/>
      <c r="E1307" s="154"/>
      <c r="F1307" s="460"/>
      <c r="K1307" s="154"/>
      <c r="L1307" s="269"/>
    </row>
    <row r="1308" spans="1:12" ht="24.95" customHeight="1">
      <c r="A1308" s="460"/>
      <c r="E1308" s="154"/>
      <c r="F1308" s="460"/>
      <c r="K1308" s="154"/>
      <c r="L1308" s="269"/>
    </row>
    <row r="1309" spans="1:12" ht="24.95" customHeight="1">
      <c r="A1309" s="460"/>
      <c r="E1309" s="154"/>
      <c r="F1309" s="460"/>
      <c r="K1309" s="154"/>
      <c r="L1309" s="269"/>
    </row>
    <row r="1310" spans="1:12" ht="24.95" customHeight="1">
      <c r="A1310" s="460"/>
      <c r="E1310" s="154"/>
      <c r="F1310" s="460"/>
      <c r="K1310" s="154"/>
      <c r="L1310" s="269"/>
    </row>
    <row r="1311" spans="1:12" ht="24.95" customHeight="1">
      <c r="A1311" s="460"/>
      <c r="E1311" s="154"/>
      <c r="F1311" s="460"/>
      <c r="K1311" s="154"/>
      <c r="L1311" s="269"/>
    </row>
    <row r="1312" spans="1:12" ht="24.95" customHeight="1">
      <c r="A1312" s="460"/>
      <c r="E1312" s="154"/>
      <c r="F1312" s="460"/>
      <c r="K1312" s="154"/>
      <c r="L1312" s="269"/>
    </row>
    <row r="1313" spans="1:12" ht="24.95" customHeight="1">
      <c r="A1313" s="460"/>
      <c r="E1313" s="154"/>
      <c r="F1313" s="460"/>
      <c r="K1313" s="154"/>
      <c r="L1313" s="269"/>
    </row>
    <row r="1314" spans="1:12" ht="24.95" customHeight="1">
      <c r="A1314" s="460"/>
      <c r="E1314" s="154"/>
      <c r="F1314" s="460"/>
      <c r="K1314" s="154"/>
      <c r="L1314" s="269"/>
    </row>
    <row r="1315" spans="1:12" ht="24.95" customHeight="1">
      <c r="A1315" s="460"/>
      <c r="E1315" s="154"/>
      <c r="F1315" s="460"/>
      <c r="K1315" s="154"/>
      <c r="L1315" s="269"/>
    </row>
    <row r="1316" spans="1:12" ht="24.95" customHeight="1">
      <c r="A1316" s="460"/>
      <c r="E1316" s="154"/>
      <c r="F1316" s="460"/>
      <c r="K1316" s="154"/>
      <c r="L1316" s="269"/>
    </row>
    <row r="1317" spans="1:12" ht="24.95" customHeight="1">
      <c r="A1317" s="460"/>
      <c r="E1317" s="154"/>
      <c r="F1317" s="460"/>
      <c r="K1317" s="154"/>
      <c r="L1317" s="269"/>
    </row>
    <row r="1318" spans="1:12" ht="24.95" customHeight="1">
      <c r="A1318" s="460"/>
      <c r="E1318" s="154"/>
      <c r="F1318" s="460"/>
      <c r="K1318" s="154"/>
      <c r="L1318" s="269"/>
    </row>
    <row r="1319" spans="1:12" ht="24.95" customHeight="1">
      <c r="A1319" s="460"/>
      <c r="E1319" s="154"/>
      <c r="F1319" s="460"/>
      <c r="K1319" s="154"/>
      <c r="L1319" s="269"/>
    </row>
    <row r="1320" spans="1:12" ht="24.95" customHeight="1">
      <c r="A1320" s="460"/>
      <c r="E1320" s="154"/>
      <c r="F1320" s="460"/>
      <c r="K1320" s="154"/>
      <c r="L1320" s="269"/>
    </row>
    <row r="1321" spans="1:12" ht="24.95" customHeight="1">
      <c r="A1321" s="460"/>
      <c r="E1321" s="154"/>
      <c r="F1321" s="460"/>
      <c r="K1321" s="154"/>
      <c r="L1321" s="269"/>
    </row>
    <row r="1322" spans="1:12" ht="24.95" customHeight="1">
      <c r="A1322" s="460"/>
      <c r="E1322" s="154"/>
      <c r="F1322" s="460"/>
      <c r="K1322" s="154"/>
      <c r="L1322" s="269"/>
    </row>
    <row r="1323" spans="1:12" ht="24.95" customHeight="1">
      <c r="A1323" s="460"/>
      <c r="E1323" s="154"/>
      <c r="F1323" s="460"/>
      <c r="K1323" s="154"/>
      <c r="L1323" s="269"/>
    </row>
    <row r="1324" spans="1:12" ht="24.95" customHeight="1">
      <c r="A1324" s="460"/>
      <c r="E1324" s="154"/>
      <c r="F1324" s="460"/>
      <c r="K1324" s="154"/>
      <c r="L1324" s="269"/>
    </row>
    <row r="1325" spans="1:12" ht="24.95" customHeight="1">
      <c r="A1325" s="460"/>
      <c r="E1325" s="154"/>
      <c r="F1325" s="460"/>
      <c r="K1325" s="154"/>
      <c r="L1325" s="269"/>
    </row>
    <row r="1326" spans="1:12" ht="24.95" customHeight="1">
      <c r="A1326" s="460"/>
      <c r="E1326" s="154"/>
      <c r="F1326" s="460"/>
      <c r="K1326" s="154"/>
      <c r="L1326" s="269"/>
    </row>
    <row r="1327" spans="1:12" ht="24.95" customHeight="1">
      <c r="A1327" s="460"/>
      <c r="E1327" s="154"/>
      <c r="F1327" s="460"/>
      <c r="K1327" s="154"/>
      <c r="L1327" s="269"/>
    </row>
    <row r="1328" spans="1:12" ht="24.95" customHeight="1">
      <c r="A1328" s="460"/>
      <c r="E1328" s="154"/>
      <c r="F1328" s="460"/>
      <c r="K1328" s="154"/>
      <c r="L1328" s="269"/>
    </row>
    <row r="1329" spans="1:12" ht="24.95" customHeight="1">
      <c r="A1329" s="460"/>
      <c r="E1329" s="154"/>
      <c r="F1329" s="460"/>
      <c r="K1329" s="154"/>
      <c r="L1329" s="269"/>
    </row>
    <row r="1330" spans="1:12" ht="24.95" customHeight="1">
      <c r="A1330" s="460"/>
      <c r="E1330" s="154"/>
      <c r="F1330" s="460"/>
      <c r="K1330" s="154"/>
      <c r="L1330" s="269"/>
    </row>
    <row r="1331" spans="1:12" ht="24.95" customHeight="1">
      <c r="A1331" s="460"/>
      <c r="E1331" s="154"/>
      <c r="F1331" s="460"/>
      <c r="K1331" s="154"/>
      <c r="L1331" s="269"/>
    </row>
    <row r="1332" spans="1:12" ht="24.95" customHeight="1">
      <c r="A1332" s="460"/>
      <c r="E1332" s="154"/>
      <c r="F1332" s="460"/>
      <c r="K1332" s="154"/>
      <c r="L1332" s="269"/>
    </row>
    <row r="1333" spans="1:12" ht="24.95" customHeight="1">
      <c r="A1333" s="460"/>
      <c r="E1333" s="154"/>
      <c r="F1333" s="460"/>
      <c r="K1333" s="154"/>
      <c r="L1333" s="269"/>
    </row>
    <row r="1334" spans="1:12" ht="24.95" customHeight="1">
      <c r="A1334" s="460"/>
      <c r="E1334" s="154"/>
      <c r="F1334" s="460"/>
      <c r="K1334" s="154"/>
      <c r="L1334" s="269"/>
    </row>
    <row r="1335" spans="1:12" ht="24.95" customHeight="1">
      <c r="A1335" s="460"/>
      <c r="E1335" s="154"/>
      <c r="F1335" s="460"/>
      <c r="K1335" s="154"/>
      <c r="L1335" s="269"/>
    </row>
    <row r="1336" spans="1:12" ht="24.95" customHeight="1">
      <c r="A1336" s="460"/>
      <c r="E1336" s="154"/>
      <c r="F1336" s="460"/>
      <c r="K1336" s="154"/>
      <c r="L1336" s="269"/>
    </row>
    <row r="1337" spans="1:12" ht="24.95" customHeight="1">
      <c r="A1337" s="460"/>
      <c r="E1337" s="154"/>
      <c r="F1337" s="460"/>
      <c r="K1337" s="154"/>
      <c r="L1337" s="269"/>
    </row>
    <row r="1338" spans="1:12" ht="24.95" customHeight="1">
      <c r="A1338" s="460"/>
      <c r="E1338" s="154"/>
      <c r="F1338" s="460"/>
      <c r="K1338" s="154"/>
      <c r="L1338" s="269"/>
    </row>
    <row r="1339" spans="1:12" ht="24.95" customHeight="1">
      <c r="A1339" s="460"/>
      <c r="E1339" s="154"/>
      <c r="F1339" s="460"/>
      <c r="K1339" s="154"/>
      <c r="L1339" s="269"/>
    </row>
    <row r="1340" spans="1:12" ht="24.95" customHeight="1">
      <c r="A1340" s="460"/>
      <c r="E1340" s="154"/>
      <c r="F1340" s="460"/>
      <c r="K1340" s="154"/>
      <c r="L1340" s="269"/>
    </row>
    <row r="1341" spans="1:12" ht="24.95" customHeight="1">
      <c r="A1341" s="460"/>
      <c r="E1341" s="154"/>
      <c r="F1341" s="460"/>
      <c r="K1341" s="154"/>
      <c r="L1341" s="269"/>
    </row>
    <row r="1342" spans="1:12" ht="24.95" customHeight="1">
      <c r="A1342" s="460"/>
      <c r="E1342" s="154"/>
      <c r="F1342" s="460"/>
      <c r="K1342" s="154"/>
      <c r="L1342" s="269"/>
    </row>
    <row r="1343" spans="1:12" ht="24.95" customHeight="1">
      <c r="A1343" s="460"/>
      <c r="E1343" s="154"/>
      <c r="F1343" s="460"/>
      <c r="K1343" s="154"/>
      <c r="L1343" s="269"/>
    </row>
    <row r="1344" spans="1:12" ht="24.95" customHeight="1">
      <c r="A1344" s="460"/>
      <c r="E1344" s="154"/>
      <c r="F1344" s="460"/>
      <c r="K1344" s="154"/>
      <c r="L1344" s="269"/>
    </row>
    <row r="1345" spans="1:12" ht="24.95" customHeight="1">
      <c r="A1345" s="460"/>
      <c r="E1345" s="154"/>
      <c r="F1345" s="460"/>
      <c r="K1345" s="154"/>
      <c r="L1345" s="269"/>
    </row>
    <row r="1346" spans="1:12" ht="24.95" customHeight="1">
      <c r="A1346" s="460"/>
      <c r="E1346" s="154"/>
      <c r="F1346" s="460"/>
      <c r="K1346" s="154"/>
      <c r="L1346" s="269"/>
    </row>
    <row r="1347" spans="1:12" ht="24.95" customHeight="1">
      <c r="A1347" s="460"/>
      <c r="E1347" s="154"/>
      <c r="F1347" s="460"/>
      <c r="K1347" s="154"/>
      <c r="L1347" s="269"/>
    </row>
    <row r="1348" spans="1:12" ht="24.95" customHeight="1">
      <c r="A1348" s="460"/>
      <c r="E1348" s="154"/>
      <c r="F1348" s="460"/>
      <c r="K1348" s="154"/>
      <c r="L1348" s="269"/>
    </row>
    <row r="1349" spans="1:12" ht="24.95" customHeight="1">
      <c r="A1349" s="460"/>
      <c r="E1349" s="154"/>
      <c r="F1349" s="460"/>
      <c r="K1349" s="154"/>
      <c r="L1349" s="269"/>
    </row>
    <row r="1350" spans="1:12" ht="24.95" customHeight="1">
      <c r="A1350" s="460"/>
      <c r="E1350" s="154"/>
      <c r="F1350" s="460"/>
      <c r="K1350" s="154"/>
      <c r="L1350" s="269"/>
    </row>
    <row r="1351" spans="1:12" ht="24.95" customHeight="1">
      <c r="A1351" s="460"/>
      <c r="E1351" s="154"/>
      <c r="F1351" s="460"/>
      <c r="K1351" s="154"/>
      <c r="L1351" s="269"/>
    </row>
    <row r="1352" spans="1:12" ht="24.95" customHeight="1">
      <c r="A1352" s="460"/>
      <c r="E1352" s="154"/>
      <c r="F1352" s="460"/>
      <c r="K1352" s="154"/>
      <c r="L1352" s="269"/>
    </row>
    <row r="1353" spans="1:12" ht="24.95" customHeight="1">
      <c r="A1353" s="460"/>
      <c r="E1353" s="154"/>
      <c r="F1353" s="460"/>
      <c r="K1353" s="154"/>
      <c r="L1353" s="269"/>
    </row>
    <row r="1354" spans="1:12" ht="24.95" customHeight="1">
      <c r="A1354" s="460"/>
      <c r="E1354" s="154"/>
      <c r="F1354" s="460"/>
      <c r="K1354" s="154"/>
      <c r="L1354" s="269"/>
    </row>
    <row r="1355" spans="1:12" ht="24.95" customHeight="1">
      <c r="A1355" s="460"/>
      <c r="E1355" s="154"/>
      <c r="F1355" s="460"/>
      <c r="K1355" s="154"/>
      <c r="L1355" s="269"/>
    </row>
    <row r="1356" spans="1:12" ht="24.95" customHeight="1">
      <c r="A1356" s="460"/>
      <c r="E1356" s="154"/>
      <c r="F1356" s="460"/>
      <c r="K1356" s="154"/>
      <c r="L1356" s="269"/>
    </row>
    <row r="1357" spans="1:12" ht="24.95" customHeight="1">
      <c r="A1357" s="460"/>
      <c r="E1357" s="154"/>
      <c r="F1357" s="460"/>
      <c r="K1357" s="154"/>
      <c r="L1357" s="269"/>
    </row>
    <row r="1358" spans="1:12" ht="24.95" customHeight="1">
      <c r="A1358" s="460"/>
      <c r="E1358" s="154"/>
      <c r="F1358" s="460"/>
      <c r="K1358" s="154"/>
      <c r="L1358" s="269"/>
    </row>
    <row r="1359" spans="1:12" ht="24.95" customHeight="1">
      <c r="A1359" s="460"/>
      <c r="E1359" s="154"/>
      <c r="F1359" s="460"/>
      <c r="K1359" s="154"/>
      <c r="L1359" s="269"/>
    </row>
    <row r="1360" spans="1:12" ht="24.95" customHeight="1">
      <c r="A1360" s="460"/>
      <c r="E1360" s="154"/>
      <c r="F1360" s="460"/>
      <c r="K1360" s="154"/>
      <c r="L1360" s="269"/>
    </row>
    <row r="1361" spans="1:12" ht="24.95" customHeight="1">
      <c r="A1361" s="460"/>
      <c r="E1361" s="154"/>
      <c r="F1361" s="460"/>
      <c r="K1361" s="154"/>
      <c r="L1361" s="269"/>
    </row>
    <row r="1362" spans="1:12" ht="24.95" customHeight="1">
      <c r="A1362" s="460"/>
      <c r="E1362" s="154"/>
      <c r="F1362" s="460"/>
      <c r="K1362" s="154"/>
      <c r="L1362" s="269"/>
    </row>
    <row r="1363" spans="1:12" ht="24.95" customHeight="1">
      <c r="A1363" s="460"/>
      <c r="E1363" s="154"/>
      <c r="F1363" s="460"/>
      <c r="K1363" s="154"/>
      <c r="L1363" s="269"/>
    </row>
    <row r="1364" spans="1:12" ht="24.95" customHeight="1">
      <c r="A1364" s="460"/>
      <c r="E1364" s="154"/>
      <c r="F1364" s="460"/>
      <c r="K1364" s="154"/>
      <c r="L1364" s="269"/>
    </row>
    <row r="1365" spans="1:12" ht="24.95" customHeight="1">
      <c r="A1365" s="460"/>
      <c r="E1365" s="154"/>
      <c r="F1365" s="460"/>
      <c r="K1365" s="154"/>
      <c r="L1365" s="269"/>
    </row>
    <row r="1366" spans="1:12" ht="24.95" customHeight="1">
      <c r="A1366" s="460"/>
      <c r="E1366" s="154"/>
      <c r="F1366" s="460"/>
      <c r="K1366" s="154"/>
      <c r="L1366" s="269"/>
    </row>
    <row r="1367" spans="1:12" ht="24.95" customHeight="1">
      <c r="A1367" s="460"/>
      <c r="E1367" s="154"/>
      <c r="F1367" s="460"/>
      <c r="K1367" s="154"/>
      <c r="L1367" s="269"/>
    </row>
    <row r="1368" spans="1:12" ht="24.95" customHeight="1">
      <c r="A1368" s="460"/>
      <c r="E1368" s="154"/>
      <c r="F1368" s="460"/>
      <c r="K1368" s="154"/>
      <c r="L1368" s="269"/>
    </row>
    <row r="1369" spans="1:12" ht="24.95" customHeight="1">
      <c r="A1369" s="460"/>
      <c r="E1369" s="154"/>
      <c r="F1369" s="460"/>
      <c r="K1369" s="154"/>
      <c r="L1369" s="269"/>
    </row>
    <row r="1370" spans="1:12" ht="24.95" customHeight="1">
      <c r="A1370" s="460"/>
      <c r="E1370" s="154"/>
      <c r="F1370" s="460"/>
      <c r="K1370" s="154"/>
      <c r="L1370" s="269"/>
    </row>
    <row r="1371" spans="1:12" ht="24.95" customHeight="1">
      <c r="A1371" s="460"/>
      <c r="E1371" s="154"/>
      <c r="F1371" s="460"/>
      <c r="K1371" s="154"/>
      <c r="L1371" s="269"/>
    </row>
    <row r="1372" spans="1:12" ht="24.95" customHeight="1">
      <c r="A1372" s="460"/>
      <c r="E1372" s="154"/>
      <c r="F1372" s="460"/>
      <c r="K1372" s="154"/>
      <c r="L1372" s="269"/>
    </row>
    <row r="1373" spans="1:12" ht="24.95" customHeight="1">
      <c r="A1373" s="460"/>
      <c r="E1373" s="154"/>
      <c r="F1373" s="460"/>
      <c r="K1373" s="154"/>
      <c r="L1373" s="269"/>
    </row>
    <row r="1374" spans="1:12" ht="24.95" customHeight="1">
      <c r="A1374" s="460"/>
      <c r="E1374" s="154"/>
      <c r="F1374" s="460"/>
      <c r="K1374" s="154"/>
      <c r="L1374" s="269"/>
    </row>
    <row r="1375" spans="1:12" ht="24.95" customHeight="1">
      <c r="A1375" s="460"/>
      <c r="E1375" s="154"/>
      <c r="F1375" s="460"/>
      <c r="K1375" s="154"/>
      <c r="L1375" s="269"/>
    </row>
    <row r="1376" spans="1:12" ht="24.95" customHeight="1">
      <c r="A1376" s="460"/>
      <c r="E1376" s="154"/>
      <c r="F1376" s="460"/>
      <c r="K1376" s="154"/>
      <c r="L1376" s="269"/>
    </row>
    <row r="1377" spans="1:12" ht="24.95" customHeight="1">
      <c r="A1377" s="460"/>
      <c r="E1377" s="154"/>
      <c r="F1377" s="460"/>
      <c r="K1377" s="154"/>
      <c r="L1377" s="269"/>
    </row>
    <row r="1378" spans="1:12" ht="24.95" customHeight="1">
      <c r="A1378" s="460"/>
      <c r="E1378" s="154"/>
      <c r="F1378" s="460"/>
      <c r="K1378" s="154"/>
      <c r="L1378" s="269"/>
    </row>
    <row r="1379" spans="1:12" ht="24.95" customHeight="1">
      <c r="A1379" s="460"/>
      <c r="E1379" s="154"/>
      <c r="F1379" s="460"/>
      <c r="K1379" s="154"/>
      <c r="L1379" s="269"/>
    </row>
    <row r="1380" spans="1:12" ht="24.95" customHeight="1">
      <c r="A1380" s="460"/>
      <c r="E1380" s="154"/>
      <c r="F1380" s="460"/>
      <c r="K1380" s="154"/>
      <c r="L1380" s="269"/>
    </row>
    <row r="1381" spans="1:12" ht="24.95" customHeight="1">
      <c r="A1381" s="460"/>
      <c r="E1381" s="154"/>
      <c r="F1381" s="460"/>
      <c r="K1381" s="154"/>
      <c r="L1381" s="269"/>
    </row>
    <row r="1382" spans="1:12" ht="24.95" customHeight="1">
      <c r="A1382" s="460"/>
      <c r="E1382" s="154"/>
      <c r="F1382" s="460"/>
      <c r="K1382" s="154"/>
      <c r="L1382" s="269"/>
    </row>
    <row r="1383" spans="1:12" ht="24.95" customHeight="1">
      <c r="A1383" s="460"/>
      <c r="E1383" s="154"/>
      <c r="F1383" s="460"/>
      <c r="K1383" s="154"/>
      <c r="L1383" s="269"/>
    </row>
    <row r="1384" spans="1:12" ht="24.95" customHeight="1">
      <c r="A1384" s="460"/>
      <c r="E1384" s="154"/>
      <c r="F1384" s="460"/>
      <c r="K1384" s="154"/>
      <c r="L1384" s="269"/>
    </row>
    <row r="1385" spans="1:12" ht="24.95" customHeight="1">
      <c r="A1385" s="460"/>
      <c r="E1385" s="154"/>
      <c r="F1385" s="460"/>
      <c r="K1385" s="154"/>
      <c r="L1385" s="269"/>
    </row>
    <row r="1386" spans="1:12" ht="24.95" customHeight="1">
      <c r="A1386" s="460"/>
      <c r="E1386" s="154"/>
      <c r="F1386" s="460"/>
      <c r="K1386" s="154"/>
      <c r="L1386" s="269"/>
    </row>
    <row r="1387" spans="1:12" ht="24.95" customHeight="1">
      <c r="A1387" s="460"/>
      <c r="E1387" s="154"/>
      <c r="F1387" s="460"/>
      <c r="K1387" s="154"/>
      <c r="L1387" s="269"/>
    </row>
    <row r="1388" spans="1:12" ht="24.95" customHeight="1">
      <c r="A1388" s="460"/>
      <c r="E1388" s="154"/>
      <c r="F1388" s="460"/>
      <c r="K1388" s="154"/>
      <c r="L1388" s="269"/>
    </row>
    <row r="1389" spans="1:12" ht="24.95" customHeight="1">
      <c r="A1389" s="460"/>
      <c r="E1389" s="154"/>
      <c r="F1389" s="460"/>
      <c r="K1389" s="154"/>
      <c r="L1389" s="269"/>
    </row>
    <row r="1390" spans="1:12" ht="24.95" customHeight="1">
      <c r="A1390" s="460"/>
      <c r="E1390" s="154"/>
      <c r="F1390" s="460"/>
      <c r="K1390" s="154"/>
      <c r="L1390" s="269"/>
    </row>
    <row r="1391" spans="1:12" ht="24.95" customHeight="1">
      <c r="A1391" s="460"/>
      <c r="E1391" s="154"/>
      <c r="F1391" s="460"/>
      <c r="K1391" s="154"/>
      <c r="L1391" s="269"/>
    </row>
    <row r="1392" spans="1:12" ht="24.95" customHeight="1">
      <c r="A1392" s="460"/>
      <c r="E1392" s="154"/>
      <c r="F1392" s="460"/>
      <c r="K1392" s="154"/>
      <c r="L1392" s="269"/>
    </row>
    <row r="1393" spans="1:12" ht="24.95" customHeight="1">
      <c r="A1393" s="460"/>
      <c r="E1393" s="154"/>
      <c r="F1393" s="460"/>
      <c r="K1393" s="154"/>
      <c r="L1393" s="269"/>
    </row>
    <row r="1394" spans="1:12" ht="24.95" customHeight="1">
      <c r="A1394" s="460"/>
      <c r="E1394" s="154"/>
      <c r="F1394" s="460"/>
      <c r="K1394" s="154"/>
      <c r="L1394" s="269"/>
    </row>
    <row r="1395" spans="1:12" ht="24.95" customHeight="1">
      <c r="A1395" s="460"/>
      <c r="E1395" s="154"/>
      <c r="F1395" s="460"/>
      <c r="K1395" s="154"/>
      <c r="L1395" s="269"/>
    </row>
    <row r="1396" spans="1:12" ht="24.95" customHeight="1">
      <c r="A1396" s="460"/>
      <c r="E1396" s="154"/>
      <c r="F1396" s="460"/>
      <c r="K1396" s="154"/>
      <c r="L1396" s="269"/>
    </row>
    <row r="1397" spans="1:12" ht="24.95" customHeight="1">
      <c r="A1397" s="460"/>
      <c r="E1397" s="154"/>
      <c r="F1397" s="460"/>
      <c r="K1397" s="154"/>
      <c r="L1397" s="269"/>
    </row>
    <row r="1398" spans="1:12" ht="24.95" customHeight="1">
      <c r="A1398" s="460"/>
      <c r="E1398" s="154"/>
      <c r="F1398" s="460"/>
      <c r="K1398" s="154"/>
      <c r="L1398" s="269"/>
    </row>
    <row r="1399" spans="1:12" ht="24.95" customHeight="1">
      <c r="A1399" s="460"/>
      <c r="E1399" s="154"/>
      <c r="F1399" s="460"/>
      <c r="K1399" s="154"/>
      <c r="L1399" s="269"/>
    </row>
    <row r="1400" spans="1:12" ht="24.95" customHeight="1">
      <c r="A1400" s="460"/>
      <c r="E1400" s="154"/>
      <c r="F1400" s="460"/>
      <c r="K1400" s="154"/>
      <c r="L1400" s="269"/>
    </row>
    <row r="1401" spans="1:12" ht="24.95" customHeight="1">
      <c r="A1401" s="460"/>
      <c r="E1401" s="154"/>
      <c r="F1401" s="460"/>
      <c r="K1401" s="154"/>
      <c r="L1401" s="269"/>
    </row>
    <row r="1402" spans="1:12" ht="24.95" customHeight="1">
      <c r="A1402" s="460"/>
      <c r="E1402" s="154"/>
      <c r="F1402" s="460"/>
      <c r="K1402" s="154"/>
      <c r="L1402" s="269"/>
    </row>
    <row r="1403" spans="1:12" ht="24.95" customHeight="1">
      <c r="A1403" s="460"/>
      <c r="E1403" s="154"/>
      <c r="F1403" s="460"/>
      <c r="K1403" s="154"/>
      <c r="L1403" s="269"/>
    </row>
    <row r="1404" spans="1:12" ht="24.95" customHeight="1">
      <c r="A1404" s="460"/>
      <c r="E1404" s="154"/>
      <c r="F1404" s="460"/>
      <c r="K1404" s="154"/>
      <c r="L1404" s="269"/>
    </row>
    <row r="1405" spans="1:12" ht="24.95" customHeight="1">
      <c r="A1405" s="460"/>
      <c r="E1405" s="154"/>
      <c r="F1405" s="460"/>
      <c r="K1405" s="154"/>
      <c r="L1405" s="269"/>
    </row>
    <row r="1406" spans="1:12" ht="24.95" customHeight="1">
      <c r="A1406" s="460"/>
      <c r="E1406" s="154"/>
      <c r="F1406" s="460"/>
      <c r="K1406" s="154"/>
      <c r="L1406" s="269"/>
    </row>
    <row r="1407" spans="1:12" ht="24.95" customHeight="1">
      <c r="A1407" s="460"/>
      <c r="E1407" s="154"/>
      <c r="F1407" s="460"/>
      <c r="K1407" s="154"/>
      <c r="L1407" s="269"/>
    </row>
    <row r="1408" spans="1:12" ht="24.95" customHeight="1">
      <c r="A1408" s="460"/>
      <c r="E1408" s="154"/>
      <c r="F1408" s="460"/>
      <c r="K1408" s="154"/>
      <c r="L1408" s="269"/>
    </row>
    <row r="1409" spans="1:12" ht="24.95" customHeight="1">
      <c r="A1409" s="460"/>
      <c r="E1409" s="154"/>
      <c r="F1409" s="460"/>
      <c r="K1409" s="154"/>
      <c r="L1409" s="269"/>
    </row>
    <row r="1410" spans="1:12" ht="24.95" customHeight="1">
      <c r="A1410" s="460"/>
      <c r="E1410" s="154"/>
      <c r="F1410" s="460"/>
      <c r="K1410" s="154"/>
      <c r="L1410" s="269"/>
    </row>
    <row r="1411" spans="1:12" ht="24.95" customHeight="1">
      <c r="A1411" s="460"/>
      <c r="E1411" s="154"/>
      <c r="F1411" s="460"/>
      <c r="K1411" s="154"/>
      <c r="L1411" s="269"/>
    </row>
    <row r="1412" spans="1:12" ht="24.95" customHeight="1">
      <c r="A1412" s="460"/>
      <c r="E1412" s="154"/>
      <c r="F1412" s="460"/>
      <c r="K1412" s="154"/>
      <c r="L1412" s="269"/>
    </row>
    <row r="1413" spans="1:12" ht="24.95" customHeight="1">
      <c r="A1413" s="460"/>
      <c r="E1413" s="154"/>
      <c r="F1413" s="460"/>
      <c r="K1413" s="154"/>
      <c r="L1413" s="269"/>
    </row>
    <row r="1414" spans="1:12" ht="24.95" customHeight="1">
      <c r="A1414" s="460"/>
      <c r="E1414" s="154"/>
      <c r="F1414" s="460"/>
      <c r="K1414" s="154"/>
      <c r="L1414" s="269"/>
    </row>
    <row r="1415" spans="1:12" ht="24.95" customHeight="1">
      <c r="A1415" s="460"/>
      <c r="E1415" s="154"/>
      <c r="F1415" s="460"/>
      <c r="K1415" s="154"/>
      <c r="L1415" s="269"/>
    </row>
    <row r="1416" spans="1:12" ht="24.95" customHeight="1">
      <c r="A1416" s="460"/>
      <c r="E1416" s="154"/>
      <c r="F1416" s="460"/>
      <c r="K1416" s="154"/>
      <c r="L1416" s="269"/>
    </row>
    <row r="1417" spans="1:12" ht="24.95" customHeight="1">
      <c r="A1417" s="460"/>
      <c r="E1417" s="154"/>
      <c r="F1417" s="460"/>
      <c r="K1417" s="154"/>
      <c r="L1417" s="269"/>
    </row>
    <row r="1418" spans="1:12" ht="24.95" customHeight="1">
      <c r="A1418" s="460"/>
      <c r="E1418" s="154"/>
      <c r="F1418" s="460"/>
      <c r="K1418" s="154"/>
      <c r="L1418" s="269"/>
    </row>
    <row r="1419" spans="1:12" ht="24.95" customHeight="1">
      <c r="A1419" s="460"/>
      <c r="E1419" s="154"/>
      <c r="F1419" s="460"/>
      <c r="K1419" s="154"/>
      <c r="L1419" s="269"/>
    </row>
    <row r="1420" spans="1:12" ht="24.95" customHeight="1">
      <c r="A1420" s="460"/>
      <c r="E1420" s="154"/>
      <c r="F1420" s="460"/>
      <c r="K1420" s="154"/>
      <c r="L1420" s="269"/>
    </row>
    <row r="1421" spans="1:12" ht="24.95" customHeight="1">
      <c r="A1421" s="460"/>
      <c r="E1421" s="154"/>
      <c r="F1421" s="460"/>
      <c r="K1421" s="154"/>
      <c r="L1421" s="269"/>
    </row>
    <row r="1422" spans="1:12" ht="24.95" customHeight="1">
      <c r="A1422" s="460"/>
      <c r="E1422" s="154"/>
      <c r="F1422" s="460"/>
      <c r="K1422" s="154"/>
      <c r="L1422" s="269"/>
    </row>
    <row r="1423" spans="1:12" ht="24.95" customHeight="1">
      <c r="A1423" s="460"/>
      <c r="E1423" s="154"/>
      <c r="F1423" s="460"/>
      <c r="K1423" s="154"/>
      <c r="L1423" s="269"/>
    </row>
    <row r="1424" spans="1:12" ht="24.95" customHeight="1">
      <c r="A1424" s="460"/>
      <c r="E1424" s="154"/>
      <c r="F1424" s="460"/>
      <c r="K1424" s="154"/>
      <c r="L1424" s="269"/>
    </row>
    <row r="1425" spans="1:12" ht="24.95" customHeight="1">
      <c r="A1425" s="460"/>
      <c r="E1425" s="154"/>
      <c r="F1425" s="460"/>
      <c r="K1425" s="154"/>
      <c r="L1425" s="269"/>
    </row>
    <row r="1426" spans="1:12" ht="24.95" customHeight="1">
      <c r="A1426" s="460"/>
      <c r="E1426" s="154"/>
      <c r="F1426" s="460"/>
      <c r="K1426" s="154"/>
      <c r="L1426" s="269"/>
    </row>
    <row r="1427" spans="1:12" ht="24.95" customHeight="1">
      <c r="A1427" s="460"/>
      <c r="E1427" s="154"/>
      <c r="F1427" s="460"/>
      <c r="K1427" s="154"/>
      <c r="L1427" s="269"/>
    </row>
    <row r="1428" spans="1:12" ht="24.95" customHeight="1">
      <c r="A1428" s="460"/>
      <c r="E1428" s="154"/>
      <c r="F1428" s="460"/>
      <c r="K1428" s="154"/>
      <c r="L1428" s="269"/>
    </row>
    <row r="1429" spans="1:12" ht="24.95" customHeight="1">
      <c r="A1429" s="460"/>
      <c r="E1429" s="154"/>
      <c r="F1429" s="460"/>
      <c r="K1429" s="154"/>
      <c r="L1429" s="269"/>
    </row>
    <row r="1430" spans="1:12" ht="24.95" customHeight="1">
      <c r="A1430" s="460"/>
      <c r="E1430" s="154"/>
      <c r="F1430" s="460"/>
      <c r="K1430" s="154"/>
      <c r="L1430" s="269"/>
    </row>
    <row r="1431" spans="1:12" ht="24.95" customHeight="1">
      <c r="A1431" s="460"/>
      <c r="E1431" s="154"/>
      <c r="F1431" s="460"/>
      <c r="K1431" s="154"/>
      <c r="L1431" s="269"/>
    </row>
    <row r="1432" spans="1:12" ht="24.95" customHeight="1">
      <c r="A1432" s="460"/>
      <c r="E1432" s="154"/>
      <c r="F1432" s="460"/>
      <c r="K1432" s="154"/>
      <c r="L1432" s="269"/>
    </row>
    <row r="1433" spans="1:12" ht="24.95" customHeight="1">
      <c r="A1433" s="460"/>
      <c r="E1433" s="154"/>
      <c r="F1433" s="460"/>
      <c r="K1433" s="154"/>
      <c r="L1433" s="269"/>
    </row>
    <row r="1434" spans="1:12" ht="24.95" customHeight="1">
      <c r="A1434" s="460"/>
      <c r="E1434" s="154"/>
      <c r="F1434" s="460"/>
      <c r="K1434" s="154"/>
      <c r="L1434" s="269"/>
    </row>
    <row r="1435" spans="1:12" ht="24.95" customHeight="1">
      <c r="A1435" s="460"/>
      <c r="E1435" s="154"/>
      <c r="F1435" s="460"/>
      <c r="K1435" s="154"/>
      <c r="L1435" s="269"/>
    </row>
    <row r="1436" spans="1:12" ht="24.95" customHeight="1">
      <c r="A1436" s="460"/>
      <c r="E1436" s="154"/>
      <c r="F1436" s="460"/>
      <c r="K1436" s="154"/>
      <c r="L1436" s="269"/>
    </row>
    <row r="1437" spans="1:12" ht="24.95" customHeight="1">
      <c r="A1437" s="460"/>
      <c r="E1437" s="154"/>
      <c r="F1437" s="460"/>
      <c r="K1437" s="154"/>
      <c r="L1437" s="269"/>
    </row>
    <row r="1438" spans="1:12" ht="24.95" customHeight="1">
      <c r="A1438" s="460"/>
      <c r="E1438" s="154"/>
      <c r="F1438" s="460"/>
      <c r="K1438" s="154"/>
      <c r="L1438" s="269"/>
    </row>
    <row r="1439" spans="1:12" ht="24.95" customHeight="1">
      <c r="A1439" s="460"/>
      <c r="E1439" s="154"/>
      <c r="F1439" s="460"/>
      <c r="K1439" s="154"/>
      <c r="L1439" s="269"/>
    </row>
    <row r="1440" spans="1:12" ht="24.95" customHeight="1">
      <c r="A1440" s="460"/>
      <c r="E1440" s="154"/>
      <c r="F1440" s="460"/>
      <c r="K1440" s="154"/>
      <c r="L1440" s="269"/>
    </row>
    <row r="1441" spans="1:12" ht="24.95" customHeight="1">
      <c r="A1441" s="460"/>
      <c r="E1441" s="154"/>
      <c r="F1441" s="460"/>
      <c r="K1441" s="154"/>
      <c r="L1441" s="269"/>
    </row>
    <row r="1442" spans="1:12" ht="24.95" customHeight="1">
      <c r="A1442" s="460"/>
      <c r="E1442" s="154"/>
      <c r="F1442" s="460"/>
      <c r="K1442" s="154"/>
      <c r="L1442" s="269"/>
    </row>
    <row r="1443" spans="1:12" ht="24.95" customHeight="1">
      <c r="A1443" s="460"/>
      <c r="E1443" s="154"/>
      <c r="F1443" s="460"/>
      <c r="K1443" s="154"/>
      <c r="L1443" s="269"/>
    </row>
    <row r="1444" spans="1:12" ht="24.95" customHeight="1">
      <c r="A1444" s="460"/>
      <c r="E1444" s="154"/>
      <c r="F1444" s="460"/>
      <c r="K1444" s="154"/>
      <c r="L1444" s="269"/>
    </row>
    <row r="1445" spans="1:12" ht="24.95" customHeight="1">
      <c r="A1445" s="460"/>
      <c r="E1445" s="154"/>
      <c r="F1445" s="460"/>
      <c r="K1445" s="154"/>
      <c r="L1445" s="269"/>
    </row>
    <row r="1446" spans="1:12" ht="24.95" customHeight="1">
      <c r="A1446" s="460"/>
      <c r="E1446" s="154"/>
      <c r="F1446" s="460"/>
      <c r="K1446" s="154"/>
      <c r="L1446" s="269"/>
    </row>
    <row r="1447" spans="1:12" ht="24.95" customHeight="1">
      <c r="A1447" s="460"/>
      <c r="E1447" s="154"/>
      <c r="F1447" s="460"/>
      <c r="K1447" s="154"/>
      <c r="L1447" s="269"/>
    </row>
    <row r="1448" spans="1:12" ht="24.95" customHeight="1">
      <c r="A1448" s="460"/>
      <c r="E1448" s="154"/>
      <c r="F1448" s="460"/>
      <c r="K1448" s="154"/>
      <c r="L1448" s="269"/>
    </row>
    <row r="1449" spans="1:12" ht="24.95" customHeight="1">
      <c r="A1449" s="460"/>
      <c r="E1449" s="154"/>
      <c r="F1449" s="460"/>
      <c r="K1449" s="154"/>
      <c r="L1449" s="269"/>
    </row>
    <row r="1450" spans="1:12" ht="24.95" customHeight="1">
      <c r="A1450" s="460"/>
      <c r="E1450" s="154"/>
      <c r="F1450" s="460"/>
      <c r="K1450" s="154"/>
      <c r="L1450" s="269"/>
    </row>
    <row r="1451" spans="1:12" ht="24.95" customHeight="1">
      <c r="A1451" s="460"/>
      <c r="E1451" s="154"/>
      <c r="F1451" s="460"/>
      <c r="K1451" s="154"/>
      <c r="L1451" s="269"/>
    </row>
    <row r="1452" spans="1:12" ht="24.95" customHeight="1">
      <c r="A1452" s="460"/>
      <c r="E1452" s="154"/>
      <c r="F1452" s="460"/>
      <c r="K1452" s="154"/>
      <c r="L1452" s="269"/>
    </row>
    <row r="1453" spans="1:12" ht="24.95" customHeight="1">
      <c r="A1453" s="460"/>
      <c r="E1453" s="154"/>
      <c r="F1453" s="460"/>
      <c r="K1453" s="154"/>
      <c r="L1453" s="269"/>
    </row>
    <row r="1454" spans="1:12" ht="24.95" customHeight="1">
      <c r="A1454" s="460"/>
      <c r="E1454" s="154"/>
      <c r="F1454" s="460"/>
      <c r="K1454" s="154"/>
      <c r="L1454" s="269"/>
    </row>
    <row r="1455" spans="1:12" ht="24.95" customHeight="1">
      <c r="A1455" s="460"/>
      <c r="E1455" s="154"/>
      <c r="F1455" s="460"/>
      <c r="K1455" s="154"/>
      <c r="L1455" s="269"/>
    </row>
    <row r="1456" spans="1:12" ht="24.95" customHeight="1">
      <c r="A1456" s="460"/>
      <c r="E1456" s="154"/>
      <c r="F1456" s="460"/>
      <c r="K1456" s="154"/>
      <c r="L1456" s="269"/>
    </row>
    <row r="1457" spans="1:12" ht="24.95" customHeight="1">
      <c r="A1457" s="460"/>
      <c r="E1457" s="154"/>
      <c r="F1457" s="460"/>
      <c r="K1457" s="154"/>
      <c r="L1457" s="269"/>
    </row>
    <row r="1458" spans="1:12" ht="24.95" customHeight="1">
      <c r="A1458" s="460"/>
      <c r="E1458" s="154"/>
      <c r="F1458" s="460"/>
      <c r="K1458" s="154"/>
      <c r="L1458" s="269"/>
    </row>
    <row r="1459" spans="1:12" ht="24.95" customHeight="1">
      <c r="A1459" s="460"/>
      <c r="E1459" s="154"/>
      <c r="F1459" s="460"/>
      <c r="K1459" s="154"/>
      <c r="L1459" s="269"/>
    </row>
    <row r="1460" spans="1:12" ht="24.95" customHeight="1">
      <c r="A1460" s="460"/>
      <c r="E1460" s="154"/>
      <c r="F1460" s="460"/>
      <c r="K1460" s="154"/>
      <c r="L1460" s="269"/>
    </row>
    <row r="1461" spans="1:12" ht="24.95" customHeight="1">
      <c r="A1461" s="460"/>
      <c r="E1461" s="154"/>
      <c r="F1461" s="460"/>
      <c r="K1461" s="154"/>
      <c r="L1461" s="269"/>
    </row>
    <row r="1462" spans="1:12" ht="24.95" customHeight="1">
      <c r="A1462" s="460"/>
      <c r="E1462" s="154"/>
      <c r="F1462" s="460"/>
      <c r="K1462" s="154"/>
      <c r="L1462" s="269"/>
    </row>
    <row r="1463" spans="1:12" ht="24.95" customHeight="1">
      <c r="A1463" s="460"/>
      <c r="E1463" s="154"/>
      <c r="F1463" s="460"/>
      <c r="K1463" s="154"/>
      <c r="L1463" s="269"/>
    </row>
    <row r="1464" spans="1:12" ht="24.95" customHeight="1">
      <c r="A1464" s="460"/>
      <c r="E1464" s="154"/>
      <c r="F1464" s="460"/>
      <c r="K1464" s="154"/>
      <c r="L1464" s="269"/>
    </row>
    <row r="1465" spans="1:12" ht="24.95" customHeight="1">
      <c r="A1465" s="460"/>
      <c r="E1465" s="154"/>
      <c r="F1465" s="460"/>
      <c r="K1465" s="154"/>
      <c r="L1465" s="269"/>
    </row>
    <row r="1466" spans="1:12" ht="24.95" customHeight="1">
      <c r="A1466" s="460"/>
      <c r="E1466" s="154"/>
      <c r="F1466" s="460"/>
      <c r="K1466" s="154"/>
      <c r="L1466" s="269"/>
    </row>
    <row r="1467" spans="1:12" ht="24.95" customHeight="1">
      <c r="A1467" s="460"/>
      <c r="E1467" s="154"/>
      <c r="F1467" s="460"/>
      <c r="K1467" s="154"/>
      <c r="L1467" s="269"/>
    </row>
    <row r="1468" spans="1:12" ht="24.95" customHeight="1">
      <c r="A1468" s="460"/>
      <c r="E1468" s="154"/>
      <c r="F1468" s="460"/>
      <c r="K1468" s="154"/>
      <c r="L1468" s="269"/>
    </row>
    <row r="1469" spans="1:12" ht="24.95" customHeight="1">
      <c r="A1469" s="460"/>
      <c r="E1469" s="154"/>
      <c r="F1469" s="460"/>
      <c r="K1469" s="154"/>
      <c r="L1469" s="269"/>
    </row>
    <row r="1470" spans="1:12" ht="24.95" customHeight="1">
      <c r="A1470" s="460"/>
      <c r="E1470" s="154"/>
      <c r="F1470" s="460"/>
      <c r="K1470" s="154"/>
      <c r="L1470" s="269"/>
    </row>
    <row r="1471" spans="1:12" ht="24.95" customHeight="1">
      <c r="A1471" s="460"/>
      <c r="E1471" s="154"/>
      <c r="F1471" s="460"/>
      <c r="K1471" s="154"/>
      <c r="L1471" s="269"/>
    </row>
    <row r="1472" spans="1:12" ht="24.95" customHeight="1">
      <c r="A1472" s="460"/>
      <c r="E1472" s="154"/>
      <c r="F1472" s="460"/>
      <c r="K1472" s="154"/>
      <c r="L1472" s="269"/>
    </row>
    <row r="1473" spans="1:12" ht="24.95" customHeight="1">
      <c r="A1473" s="460"/>
      <c r="E1473" s="154"/>
      <c r="F1473" s="460"/>
      <c r="K1473" s="154"/>
      <c r="L1473" s="269"/>
    </row>
    <row r="1474" spans="1:12" ht="24.95" customHeight="1">
      <c r="A1474" s="460"/>
      <c r="E1474" s="154"/>
      <c r="F1474" s="460"/>
      <c r="K1474" s="154"/>
      <c r="L1474" s="269"/>
    </row>
    <row r="1475" spans="1:12" ht="24.95" customHeight="1">
      <c r="A1475" s="460"/>
      <c r="E1475" s="154"/>
      <c r="F1475" s="460"/>
      <c r="K1475" s="154"/>
      <c r="L1475" s="269"/>
    </row>
    <row r="1476" spans="1:12" ht="24.95" customHeight="1">
      <c r="A1476" s="460"/>
      <c r="E1476" s="154"/>
      <c r="F1476" s="460"/>
      <c r="K1476" s="154"/>
      <c r="L1476" s="269"/>
    </row>
    <row r="1477" spans="1:12" ht="24.95" customHeight="1">
      <c r="A1477" s="460"/>
      <c r="E1477" s="154"/>
      <c r="F1477" s="460"/>
      <c r="K1477" s="154"/>
      <c r="L1477" s="269"/>
    </row>
    <row r="1478" spans="1:12" ht="24.95" customHeight="1">
      <c r="A1478" s="460"/>
      <c r="E1478" s="154"/>
      <c r="F1478" s="460"/>
      <c r="K1478" s="154"/>
      <c r="L1478" s="269"/>
    </row>
    <row r="1479" spans="1:12" ht="24.95" customHeight="1">
      <c r="A1479" s="460"/>
      <c r="E1479" s="154"/>
      <c r="F1479" s="460"/>
      <c r="K1479" s="154"/>
      <c r="L1479" s="269"/>
    </row>
    <row r="1480" spans="1:12" ht="24.95" customHeight="1">
      <c r="A1480" s="460"/>
      <c r="E1480" s="154"/>
      <c r="F1480" s="460"/>
      <c r="K1480" s="154"/>
      <c r="L1480" s="269"/>
    </row>
    <row r="1481" spans="1:12" ht="24.95" customHeight="1">
      <c r="A1481" s="460"/>
      <c r="E1481" s="154"/>
      <c r="F1481" s="460"/>
      <c r="K1481" s="154"/>
      <c r="L1481" s="269"/>
    </row>
    <row r="1482" spans="1:12" ht="24.95" customHeight="1">
      <c r="A1482" s="460"/>
      <c r="E1482" s="154"/>
      <c r="F1482" s="460"/>
      <c r="K1482" s="154"/>
      <c r="L1482" s="269"/>
    </row>
    <row r="1483" spans="1:12" ht="24.95" customHeight="1">
      <c r="A1483" s="460"/>
      <c r="E1483" s="154"/>
      <c r="F1483" s="460"/>
      <c r="K1483" s="154"/>
      <c r="L1483" s="269"/>
    </row>
    <row r="1484" spans="1:12" ht="24.95" customHeight="1">
      <c r="A1484" s="460"/>
      <c r="E1484" s="154"/>
      <c r="F1484" s="460"/>
      <c r="K1484" s="154"/>
      <c r="L1484" s="269"/>
    </row>
    <row r="1485" spans="1:12" ht="24.95" customHeight="1">
      <c r="A1485" s="460"/>
      <c r="E1485" s="154"/>
      <c r="F1485" s="460"/>
      <c r="K1485" s="154"/>
      <c r="L1485" s="269"/>
    </row>
    <row r="1486" spans="1:12" ht="24.95" customHeight="1">
      <c r="A1486" s="460"/>
      <c r="E1486" s="154"/>
      <c r="F1486" s="460"/>
      <c r="K1486" s="154"/>
      <c r="L1486" s="269"/>
    </row>
    <row r="1487" spans="1:12" ht="24.95" customHeight="1">
      <c r="A1487" s="460"/>
      <c r="E1487" s="154"/>
      <c r="F1487" s="460"/>
      <c r="K1487" s="154"/>
      <c r="L1487" s="269"/>
    </row>
    <row r="1488" spans="1:12" ht="24.95" customHeight="1">
      <c r="A1488" s="460"/>
      <c r="E1488" s="154"/>
      <c r="F1488" s="460"/>
      <c r="K1488" s="154"/>
      <c r="L1488" s="269"/>
    </row>
    <row r="1489" spans="1:12" ht="24.95" customHeight="1">
      <c r="A1489" s="460"/>
      <c r="E1489" s="154"/>
      <c r="F1489" s="460"/>
      <c r="K1489" s="154"/>
      <c r="L1489" s="269"/>
    </row>
    <row r="1490" spans="1:12" ht="24.95" customHeight="1">
      <c r="A1490" s="460"/>
      <c r="E1490" s="154"/>
      <c r="F1490" s="460"/>
      <c r="K1490" s="154"/>
      <c r="L1490" s="269"/>
    </row>
    <row r="1491" spans="1:12" ht="24.95" customHeight="1">
      <c r="A1491" s="460"/>
      <c r="E1491" s="154"/>
      <c r="F1491" s="460"/>
      <c r="K1491" s="154"/>
      <c r="L1491" s="269"/>
    </row>
    <row r="1492" spans="1:12" ht="24.95" customHeight="1">
      <c r="A1492" s="460"/>
      <c r="E1492" s="154"/>
      <c r="F1492" s="460"/>
      <c r="K1492" s="154"/>
      <c r="L1492" s="269"/>
    </row>
    <row r="1493" spans="1:12" ht="24.95" customHeight="1">
      <c r="A1493" s="460"/>
      <c r="E1493" s="154"/>
      <c r="F1493" s="460"/>
      <c r="K1493" s="154"/>
      <c r="L1493" s="269"/>
    </row>
    <row r="1494" spans="1:12" ht="24.95" customHeight="1">
      <c r="A1494" s="460"/>
      <c r="E1494" s="154"/>
      <c r="F1494" s="460"/>
      <c r="K1494" s="154"/>
      <c r="L1494" s="269"/>
    </row>
    <row r="1495" spans="1:12" ht="24.95" customHeight="1">
      <c r="A1495" s="460"/>
      <c r="E1495" s="154"/>
      <c r="F1495" s="460"/>
      <c r="K1495" s="154"/>
      <c r="L1495" s="269"/>
    </row>
    <row r="1496" spans="1:12" ht="24.95" customHeight="1">
      <c r="A1496" s="460"/>
      <c r="E1496" s="154"/>
      <c r="F1496" s="460"/>
      <c r="K1496" s="154"/>
      <c r="L1496" s="269"/>
    </row>
    <row r="1497" spans="1:12" ht="24.95" customHeight="1">
      <c r="A1497" s="460"/>
      <c r="E1497" s="154"/>
      <c r="F1497" s="460"/>
      <c r="K1497" s="154"/>
      <c r="L1497" s="269"/>
    </row>
    <row r="1498" spans="1:12" ht="24.95" customHeight="1">
      <c r="A1498" s="460"/>
      <c r="E1498" s="154"/>
      <c r="F1498" s="460"/>
      <c r="K1498" s="154"/>
      <c r="L1498" s="269"/>
    </row>
    <row r="1499" spans="1:12" ht="24.95" customHeight="1">
      <c r="A1499" s="460"/>
      <c r="E1499" s="154"/>
      <c r="F1499" s="460"/>
      <c r="K1499" s="154"/>
      <c r="L1499" s="269"/>
    </row>
    <row r="1500" spans="1:12" ht="24.95" customHeight="1">
      <c r="A1500" s="460"/>
      <c r="E1500" s="154"/>
      <c r="F1500" s="460"/>
      <c r="K1500" s="154"/>
      <c r="L1500" s="269"/>
    </row>
    <row r="1501" spans="1:12" ht="24.95" customHeight="1">
      <c r="A1501" s="460"/>
      <c r="E1501" s="154"/>
      <c r="F1501" s="460"/>
      <c r="K1501" s="154"/>
      <c r="L1501" s="269"/>
    </row>
    <row r="1502" spans="1:12" ht="24.95" customHeight="1">
      <c r="A1502" s="460"/>
      <c r="E1502" s="154"/>
      <c r="F1502" s="460"/>
      <c r="K1502" s="154"/>
      <c r="L1502" s="269"/>
    </row>
    <row r="1503" spans="1:12" ht="24.95" customHeight="1">
      <c r="A1503" s="460"/>
      <c r="E1503" s="154"/>
      <c r="F1503" s="460"/>
      <c r="K1503" s="154"/>
      <c r="L1503" s="269"/>
    </row>
    <row r="1504" spans="1:12" ht="24.95" customHeight="1">
      <c r="A1504" s="460"/>
      <c r="E1504" s="154"/>
      <c r="F1504" s="460"/>
      <c r="K1504" s="154"/>
      <c r="L1504" s="269"/>
    </row>
    <row r="1505" spans="1:12" ht="24.95" customHeight="1">
      <c r="A1505" s="460"/>
      <c r="E1505" s="154"/>
      <c r="F1505" s="460"/>
      <c r="K1505" s="154"/>
      <c r="L1505" s="269"/>
    </row>
    <row r="1506" spans="1:12" ht="24.95" customHeight="1">
      <c r="A1506" s="460"/>
      <c r="E1506" s="154"/>
      <c r="F1506" s="460"/>
      <c r="K1506" s="154"/>
      <c r="L1506" s="269"/>
    </row>
    <row r="1507" spans="1:12" ht="24.95" customHeight="1">
      <c r="A1507" s="460"/>
      <c r="E1507" s="154"/>
      <c r="F1507" s="460"/>
      <c r="K1507" s="154"/>
      <c r="L1507" s="269"/>
    </row>
    <row r="1508" spans="1:12" ht="24.95" customHeight="1">
      <c r="A1508" s="460"/>
      <c r="E1508" s="154"/>
      <c r="F1508" s="460"/>
      <c r="K1508" s="154"/>
      <c r="L1508" s="269"/>
    </row>
    <row r="1509" spans="1:12" ht="24.95" customHeight="1">
      <c r="A1509" s="460"/>
      <c r="E1509" s="154"/>
      <c r="F1509" s="460"/>
      <c r="K1509" s="154"/>
      <c r="L1509" s="269"/>
    </row>
    <row r="1510" spans="1:12" ht="24.95" customHeight="1">
      <c r="A1510" s="460"/>
      <c r="E1510" s="154"/>
      <c r="F1510" s="460"/>
      <c r="K1510" s="154"/>
      <c r="L1510" s="269"/>
    </row>
    <row r="1511" spans="1:12" ht="24.95" customHeight="1">
      <c r="A1511" s="460"/>
      <c r="E1511" s="154"/>
      <c r="F1511" s="460"/>
      <c r="K1511" s="154"/>
      <c r="L1511" s="269"/>
    </row>
    <row r="1512" spans="1:12" ht="24.95" customHeight="1">
      <c r="A1512" s="460"/>
      <c r="E1512" s="154"/>
      <c r="F1512" s="460"/>
      <c r="K1512" s="154"/>
      <c r="L1512" s="269"/>
    </row>
    <row r="1513" spans="1:12" ht="24.95" customHeight="1">
      <c r="A1513" s="460"/>
      <c r="E1513" s="154"/>
      <c r="F1513" s="460"/>
      <c r="K1513" s="154"/>
      <c r="L1513" s="269"/>
    </row>
    <row r="1514" spans="1:12" ht="24.95" customHeight="1">
      <c r="A1514" s="460"/>
      <c r="E1514" s="154"/>
      <c r="F1514" s="460"/>
      <c r="K1514" s="154"/>
      <c r="L1514" s="269"/>
    </row>
    <row r="1515" spans="1:12" ht="24.95" customHeight="1">
      <c r="A1515" s="460"/>
      <c r="E1515" s="154"/>
      <c r="F1515" s="460"/>
      <c r="K1515" s="154"/>
      <c r="L1515" s="269"/>
    </row>
    <row r="1516" spans="1:12" ht="24.95" customHeight="1">
      <c r="A1516" s="460"/>
      <c r="E1516" s="154"/>
      <c r="F1516" s="460"/>
      <c r="K1516" s="154"/>
      <c r="L1516" s="269"/>
    </row>
    <row r="1517" spans="1:12" ht="24.95" customHeight="1">
      <c r="A1517" s="460"/>
      <c r="E1517" s="154"/>
      <c r="F1517" s="460"/>
      <c r="K1517" s="154"/>
      <c r="L1517" s="269"/>
    </row>
    <row r="1518" spans="1:12" ht="24.95" customHeight="1">
      <c r="A1518" s="460"/>
      <c r="E1518" s="154"/>
      <c r="F1518" s="460"/>
      <c r="K1518" s="154"/>
      <c r="L1518" s="269"/>
    </row>
    <row r="1519" spans="1:12" ht="24.95" customHeight="1">
      <c r="A1519" s="460"/>
      <c r="E1519" s="154"/>
      <c r="F1519" s="460"/>
      <c r="K1519" s="154"/>
      <c r="L1519" s="269"/>
    </row>
    <row r="1520" spans="1:12" ht="24.95" customHeight="1">
      <c r="A1520" s="460"/>
      <c r="E1520" s="154"/>
      <c r="F1520" s="460"/>
      <c r="K1520" s="154"/>
      <c r="L1520" s="269"/>
    </row>
    <row r="1521" spans="1:12" ht="24.95" customHeight="1">
      <c r="A1521" s="460"/>
      <c r="E1521" s="154"/>
      <c r="F1521" s="460"/>
      <c r="K1521" s="154"/>
      <c r="L1521" s="269"/>
    </row>
    <row r="1522" spans="1:12" ht="24.95" customHeight="1">
      <c r="A1522" s="460"/>
      <c r="E1522" s="154"/>
      <c r="F1522" s="460"/>
      <c r="K1522" s="154"/>
      <c r="L1522" s="269"/>
    </row>
    <row r="1523" spans="1:12" ht="24.95" customHeight="1">
      <c r="A1523" s="460"/>
      <c r="E1523" s="154"/>
      <c r="F1523" s="460"/>
      <c r="K1523" s="154"/>
      <c r="L1523" s="269"/>
    </row>
    <row r="1524" spans="1:12" ht="24.95" customHeight="1">
      <c r="A1524" s="460"/>
      <c r="E1524" s="154"/>
      <c r="F1524" s="460"/>
      <c r="K1524" s="154"/>
      <c r="L1524" s="269"/>
    </row>
    <row r="1525" spans="1:12" ht="24.95" customHeight="1">
      <c r="A1525" s="460"/>
      <c r="E1525" s="154"/>
      <c r="F1525" s="460"/>
      <c r="K1525" s="154"/>
      <c r="L1525" s="269"/>
    </row>
    <row r="1526" spans="1:12" ht="24.95" customHeight="1">
      <c r="A1526" s="460"/>
      <c r="E1526" s="154"/>
      <c r="F1526" s="460"/>
      <c r="K1526" s="154"/>
      <c r="L1526" s="269"/>
    </row>
    <row r="1527" spans="1:12" ht="24.95" customHeight="1">
      <c r="A1527" s="460"/>
      <c r="E1527" s="154"/>
      <c r="F1527" s="460"/>
      <c r="K1527" s="154"/>
      <c r="L1527" s="269"/>
    </row>
    <row r="1528" spans="1:12" ht="24.95" customHeight="1">
      <c r="A1528" s="460"/>
      <c r="E1528" s="154"/>
      <c r="F1528" s="460"/>
      <c r="K1528" s="154"/>
      <c r="L1528" s="269"/>
    </row>
    <row r="1529" spans="1:12" ht="24.95" customHeight="1">
      <c r="A1529" s="460"/>
      <c r="E1529" s="154"/>
      <c r="F1529" s="460"/>
      <c r="K1529" s="154"/>
      <c r="L1529" s="269"/>
    </row>
    <row r="1530" spans="1:12" ht="24.95" customHeight="1">
      <c r="A1530" s="460"/>
      <c r="E1530" s="154"/>
      <c r="F1530" s="460"/>
      <c r="K1530" s="154"/>
      <c r="L1530" s="269"/>
    </row>
    <row r="1531" spans="1:12" ht="24.95" customHeight="1">
      <c r="A1531" s="460"/>
      <c r="E1531" s="154"/>
      <c r="F1531" s="460"/>
      <c r="K1531" s="154"/>
      <c r="L1531" s="269"/>
    </row>
    <row r="1532" spans="1:12" ht="24.95" customHeight="1">
      <c r="A1532" s="460"/>
      <c r="E1532" s="154"/>
      <c r="F1532" s="460"/>
      <c r="K1532" s="154"/>
      <c r="L1532" s="269"/>
    </row>
    <row r="1533" spans="1:12" ht="24.95" customHeight="1">
      <c r="A1533" s="460"/>
      <c r="E1533" s="154"/>
      <c r="F1533" s="460"/>
      <c r="K1533" s="154"/>
      <c r="L1533" s="269"/>
    </row>
    <row r="1534" spans="1:12" ht="24.95" customHeight="1">
      <c r="A1534" s="460"/>
      <c r="E1534" s="154"/>
      <c r="F1534" s="460"/>
      <c r="K1534" s="154"/>
      <c r="L1534" s="269"/>
    </row>
    <row r="1535" spans="1:12" ht="24.95" customHeight="1">
      <c r="A1535" s="460"/>
      <c r="E1535" s="154"/>
      <c r="F1535" s="460"/>
      <c r="K1535" s="154"/>
      <c r="L1535" s="269"/>
    </row>
    <row r="1536" spans="1:12" ht="24.95" customHeight="1">
      <c r="A1536" s="460"/>
      <c r="E1536" s="154"/>
      <c r="F1536" s="460"/>
      <c r="K1536" s="154"/>
      <c r="L1536" s="269"/>
    </row>
    <row r="1537" spans="1:12" ht="24.95" customHeight="1">
      <c r="A1537" s="460"/>
      <c r="E1537" s="154"/>
      <c r="F1537" s="460"/>
      <c r="K1537" s="154"/>
      <c r="L1537" s="269"/>
    </row>
    <row r="1538" spans="1:12" ht="24.95" customHeight="1">
      <c r="A1538" s="460"/>
      <c r="E1538" s="154"/>
      <c r="F1538" s="460"/>
      <c r="K1538" s="154"/>
      <c r="L1538" s="269"/>
    </row>
    <row r="1539" spans="1:12" ht="24.95" customHeight="1">
      <c r="A1539" s="460"/>
      <c r="E1539" s="154"/>
      <c r="F1539" s="460"/>
      <c r="K1539" s="154"/>
      <c r="L1539" s="269"/>
    </row>
    <row r="1540" spans="1:12" ht="24.95" customHeight="1">
      <c r="A1540" s="460"/>
      <c r="E1540" s="154"/>
      <c r="F1540" s="460"/>
      <c r="K1540" s="154"/>
      <c r="L1540" s="269"/>
    </row>
    <row r="1541" spans="1:12" ht="24.95" customHeight="1">
      <c r="A1541" s="460"/>
      <c r="E1541" s="154"/>
      <c r="F1541" s="460"/>
      <c r="K1541" s="154"/>
      <c r="L1541" s="269"/>
    </row>
    <row r="1542" spans="1:12" ht="24.95" customHeight="1">
      <c r="A1542" s="460"/>
      <c r="E1542" s="154"/>
      <c r="F1542" s="460"/>
      <c r="K1542" s="154"/>
      <c r="L1542" s="269"/>
    </row>
    <row r="1543" spans="1:12" ht="24.95" customHeight="1">
      <c r="A1543" s="460"/>
      <c r="E1543" s="154"/>
      <c r="F1543" s="460"/>
      <c r="K1543" s="154"/>
      <c r="L1543" s="269"/>
    </row>
    <row r="1544" spans="1:12" ht="24.95" customHeight="1">
      <c r="A1544" s="460"/>
      <c r="E1544" s="154"/>
      <c r="F1544" s="460"/>
      <c r="K1544" s="154"/>
      <c r="L1544" s="269"/>
    </row>
    <row r="1545" spans="1:12" ht="24.95" customHeight="1">
      <c r="A1545" s="460"/>
      <c r="E1545" s="154"/>
      <c r="F1545" s="460"/>
      <c r="K1545" s="154"/>
      <c r="L1545" s="269"/>
    </row>
    <row r="1546" spans="1:12" ht="24.95" customHeight="1">
      <c r="A1546" s="460"/>
      <c r="E1546" s="154"/>
      <c r="F1546" s="460"/>
      <c r="K1546" s="154"/>
      <c r="L1546" s="269"/>
    </row>
    <row r="1547" spans="1:12" ht="24.95" customHeight="1">
      <c r="A1547" s="460"/>
      <c r="E1547" s="154"/>
      <c r="F1547" s="460"/>
      <c r="K1547" s="154"/>
      <c r="L1547" s="269"/>
    </row>
    <row r="1548" spans="1:12" ht="24.95" customHeight="1">
      <c r="A1548" s="460"/>
      <c r="E1548" s="154"/>
      <c r="F1548" s="460"/>
      <c r="K1548" s="154"/>
      <c r="L1548" s="269"/>
    </row>
    <row r="1549" spans="1:12" ht="24.95" customHeight="1">
      <c r="A1549" s="460"/>
      <c r="E1549" s="154"/>
      <c r="F1549" s="460"/>
      <c r="K1549" s="154"/>
      <c r="L1549" s="269"/>
    </row>
    <row r="1550" spans="1:12" ht="24.95" customHeight="1">
      <c r="A1550" s="460"/>
      <c r="E1550" s="154"/>
      <c r="F1550" s="460"/>
      <c r="K1550" s="154"/>
      <c r="L1550" s="269"/>
    </row>
    <row r="1551" spans="1:12" ht="24.95" customHeight="1">
      <c r="A1551" s="460"/>
      <c r="E1551" s="154"/>
      <c r="F1551" s="460"/>
      <c r="K1551" s="154"/>
      <c r="L1551" s="269"/>
    </row>
    <row r="1552" spans="1:12" ht="24.95" customHeight="1">
      <c r="A1552" s="460"/>
      <c r="E1552" s="154"/>
      <c r="F1552" s="460"/>
      <c r="K1552" s="154"/>
      <c r="L1552" s="269"/>
    </row>
    <row r="1553" spans="1:12" ht="24.95" customHeight="1">
      <c r="A1553" s="460"/>
      <c r="E1553" s="154"/>
      <c r="F1553" s="460"/>
      <c r="K1553" s="154"/>
      <c r="L1553" s="269"/>
    </row>
    <row r="1554" spans="1:12" ht="24.95" customHeight="1">
      <c r="A1554" s="460"/>
      <c r="E1554" s="154"/>
      <c r="F1554" s="460"/>
      <c r="K1554" s="154"/>
      <c r="L1554" s="269"/>
    </row>
    <row r="1555" spans="1:12" ht="24.95" customHeight="1">
      <c r="A1555" s="460"/>
      <c r="E1555" s="154"/>
      <c r="F1555" s="460"/>
      <c r="K1555" s="154"/>
      <c r="L1555" s="269"/>
    </row>
    <row r="1556" spans="1:12" ht="24.95" customHeight="1">
      <c r="A1556" s="460"/>
      <c r="E1556" s="154"/>
      <c r="F1556" s="460"/>
      <c r="K1556" s="154"/>
      <c r="L1556" s="269"/>
    </row>
    <row r="1557" spans="1:12" ht="24.95" customHeight="1">
      <c r="A1557" s="460"/>
      <c r="E1557" s="154"/>
      <c r="F1557" s="460"/>
      <c r="K1557" s="154"/>
      <c r="L1557" s="269"/>
    </row>
    <row r="1558" spans="1:12" ht="24.95" customHeight="1">
      <c r="A1558" s="460"/>
      <c r="E1558" s="154"/>
      <c r="F1558" s="460"/>
      <c r="K1558" s="154"/>
      <c r="L1558" s="269"/>
    </row>
    <row r="1559" spans="1:12" ht="24.95" customHeight="1">
      <c r="A1559" s="460"/>
      <c r="E1559" s="154"/>
      <c r="F1559" s="460"/>
      <c r="K1559" s="154"/>
      <c r="L1559" s="269"/>
    </row>
    <row r="1560" spans="1:12" ht="24.95" customHeight="1">
      <c r="A1560" s="460"/>
      <c r="E1560" s="154"/>
      <c r="F1560" s="460"/>
      <c r="K1560" s="154"/>
      <c r="L1560" s="269"/>
    </row>
    <row r="1561" spans="1:12" ht="24.95" customHeight="1">
      <c r="A1561" s="460"/>
      <c r="E1561" s="154"/>
      <c r="F1561" s="460"/>
      <c r="K1561" s="154"/>
      <c r="L1561" s="269"/>
    </row>
    <row r="1562" spans="1:12" ht="24.95" customHeight="1">
      <c r="A1562" s="460"/>
      <c r="E1562" s="154"/>
      <c r="F1562" s="460"/>
      <c r="K1562" s="154"/>
      <c r="L1562" s="269"/>
    </row>
    <row r="1563" spans="1:12" ht="24.95" customHeight="1">
      <c r="A1563" s="460"/>
      <c r="E1563" s="154"/>
      <c r="F1563" s="460"/>
      <c r="K1563" s="154"/>
      <c r="L1563" s="269"/>
    </row>
    <row r="1564" spans="1:12" ht="24.95" customHeight="1">
      <c r="A1564" s="460"/>
      <c r="E1564" s="154"/>
      <c r="F1564" s="460"/>
      <c r="K1564" s="154"/>
      <c r="L1564" s="269"/>
    </row>
    <row r="1565" spans="1:12" ht="24.95" customHeight="1">
      <c r="A1565" s="460"/>
      <c r="E1565" s="154"/>
      <c r="F1565" s="460"/>
      <c r="K1565" s="154"/>
      <c r="L1565" s="269"/>
    </row>
    <row r="1566" spans="1:12" ht="24.95" customHeight="1">
      <c r="A1566" s="460"/>
      <c r="E1566" s="154"/>
      <c r="F1566" s="460"/>
      <c r="K1566" s="154"/>
      <c r="L1566" s="269"/>
    </row>
    <row r="1567" spans="1:12" ht="24.95" customHeight="1">
      <c r="A1567" s="460"/>
      <c r="E1567" s="154"/>
      <c r="F1567" s="460"/>
      <c r="K1567" s="154"/>
      <c r="L1567" s="269"/>
    </row>
    <row r="1568" spans="1:12" ht="24.95" customHeight="1">
      <c r="A1568" s="460"/>
      <c r="E1568" s="154"/>
      <c r="F1568" s="460"/>
      <c r="K1568" s="154"/>
      <c r="L1568" s="269"/>
    </row>
    <row r="1569" spans="1:12" ht="24.95" customHeight="1">
      <c r="A1569" s="460"/>
      <c r="E1569" s="154"/>
      <c r="F1569" s="460"/>
      <c r="K1569" s="154"/>
      <c r="L1569" s="269"/>
    </row>
    <row r="1570" spans="1:12" ht="24.95" customHeight="1">
      <c r="A1570" s="460"/>
      <c r="E1570" s="154"/>
      <c r="F1570" s="460"/>
      <c r="K1570" s="154"/>
      <c r="L1570" s="269"/>
    </row>
    <row r="1571" spans="1:12" ht="24.95" customHeight="1">
      <c r="A1571" s="460"/>
      <c r="E1571" s="154"/>
      <c r="F1571" s="460"/>
      <c r="K1571" s="154"/>
      <c r="L1571" s="269"/>
    </row>
    <row r="1572" spans="1:12" ht="24.95" customHeight="1">
      <c r="A1572" s="460"/>
      <c r="E1572" s="154"/>
      <c r="F1572" s="460"/>
      <c r="K1572" s="154"/>
      <c r="L1572" s="269"/>
    </row>
    <row r="1573" spans="1:12" ht="24.95" customHeight="1">
      <c r="A1573" s="460"/>
      <c r="E1573" s="154"/>
      <c r="F1573" s="460"/>
      <c r="K1573" s="154"/>
      <c r="L1573" s="269"/>
    </row>
    <row r="1574" spans="1:12" ht="24.95" customHeight="1">
      <c r="A1574" s="460"/>
      <c r="E1574" s="154"/>
      <c r="F1574" s="460"/>
      <c r="K1574" s="154"/>
      <c r="L1574" s="269"/>
    </row>
    <row r="1575" spans="1:12" ht="24.95" customHeight="1">
      <c r="A1575" s="460"/>
      <c r="E1575" s="154"/>
      <c r="F1575" s="460"/>
      <c r="K1575" s="154"/>
      <c r="L1575" s="269"/>
    </row>
    <row r="1576" spans="1:12" ht="24.95" customHeight="1">
      <c r="A1576" s="460"/>
      <c r="E1576" s="154"/>
      <c r="F1576" s="460"/>
      <c r="K1576" s="154"/>
      <c r="L1576" s="269"/>
    </row>
    <row r="1577" spans="1:12" ht="24.95" customHeight="1">
      <c r="A1577" s="460"/>
      <c r="E1577" s="154"/>
      <c r="F1577" s="460"/>
      <c r="K1577" s="154"/>
      <c r="L1577" s="269"/>
    </row>
    <row r="1578" spans="1:12" ht="24.95" customHeight="1">
      <c r="A1578" s="460"/>
      <c r="E1578" s="154"/>
      <c r="F1578" s="460"/>
      <c r="K1578" s="154"/>
      <c r="L1578" s="269"/>
    </row>
    <row r="1579" spans="1:12" ht="24.95" customHeight="1">
      <c r="A1579" s="460"/>
      <c r="E1579" s="154"/>
      <c r="F1579" s="460"/>
      <c r="K1579" s="154"/>
      <c r="L1579" s="269"/>
    </row>
    <row r="1580" spans="1:12" ht="24.95" customHeight="1">
      <c r="A1580" s="460"/>
      <c r="E1580" s="154"/>
      <c r="F1580" s="460"/>
      <c r="K1580" s="154"/>
      <c r="L1580" s="269"/>
    </row>
    <row r="1581" spans="1:12" ht="24.95" customHeight="1">
      <c r="A1581" s="460"/>
      <c r="E1581" s="154"/>
      <c r="F1581" s="460"/>
      <c r="K1581" s="154"/>
      <c r="L1581" s="269"/>
    </row>
    <row r="1582" spans="1:12" ht="24.95" customHeight="1">
      <c r="A1582" s="460"/>
      <c r="E1582" s="154"/>
      <c r="F1582" s="460"/>
      <c r="K1582" s="154"/>
      <c r="L1582" s="269"/>
    </row>
    <row r="1583" spans="1:12" ht="24.95" customHeight="1">
      <c r="A1583" s="460"/>
      <c r="E1583" s="154"/>
      <c r="F1583" s="460"/>
      <c r="K1583" s="154"/>
      <c r="L1583" s="269"/>
    </row>
    <row r="1584" spans="1:12" ht="24.95" customHeight="1">
      <c r="A1584" s="460"/>
      <c r="E1584" s="154"/>
      <c r="F1584" s="460"/>
      <c r="K1584" s="154"/>
      <c r="L1584" s="269"/>
    </row>
    <row r="1585" spans="1:12" ht="24.95" customHeight="1">
      <c r="A1585" s="460"/>
      <c r="E1585" s="154"/>
      <c r="F1585" s="460"/>
      <c r="K1585" s="154"/>
      <c r="L1585" s="269"/>
    </row>
    <row r="1586" spans="1:12" ht="24.95" customHeight="1">
      <c r="A1586" s="460"/>
      <c r="E1586" s="154"/>
      <c r="F1586" s="460"/>
      <c r="K1586" s="154"/>
      <c r="L1586" s="269"/>
    </row>
    <row r="1587" spans="1:12" ht="24.95" customHeight="1">
      <c r="A1587" s="460"/>
      <c r="E1587" s="154"/>
      <c r="F1587" s="460"/>
      <c r="K1587" s="154"/>
      <c r="L1587" s="269"/>
    </row>
    <row r="1588" spans="1:12" ht="24.95" customHeight="1">
      <c r="A1588" s="460"/>
      <c r="E1588" s="154"/>
      <c r="F1588" s="460"/>
      <c r="K1588" s="154"/>
      <c r="L1588" s="269"/>
    </row>
    <row r="1589" spans="1:12" ht="24.95" customHeight="1">
      <c r="A1589" s="460"/>
      <c r="E1589" s="154"/>
      <c r="F1589" s="460"/>
      <c r="K1589" s="154"/>
      <c r="L1589" s="269"/>
    </row>
    <row r="1590" spans="1:12" ht="24.95" customHeight="1">
      <c r="A1590" s="460"/>
      <c r="E1590" s="154"/>
      <c r="F1590" s="460"/>
      <c r="K1590" s="154"/>
      <c r="L1590" s="269"/>
    </row>
    <row r="1591" spans="1:12" ht="24.95" customHeight="1">
      <c r="A1591" s="460"/>
      <c r="E1591" s="154"/>
      <c r="F1591" s="460"/>
      <c r="K1591" s="154"/>
      <c r="L1591" s="269"/>
    </row>
    <row r="1592" spans="1:12" ht="24.95" customHeight="1">
      <c r="A1592" s="460"/>
      <c r="E1592" s="154"/>
      <c r="F1592" s="460"/>
      <c r="K1592" s="154"/>
      <c r="L1592" s="269"/>
    </row>
    <row r="1593" spans="1:12" ht="24.95" customHeight="1">
      <c r="A1593" s="460"/>
      <c r="E1593" s="154"/>
      <c r="F1593" s="460"/>
      <c r="K1593" s="154"/>
      <c r="L1593" s="269"/>
    </row>
    <row r="1594" spans="1:12" ht="24.95" customHeight="1">
      <c r="A1594" s="460"/>
      <c r="E1594" s="154"/>
      <c r="F1594" s="460"/>
      <c r="K1594" s="154"/>
      <c r="L1594" s="269"/>
    </row>
    <row r="1595" spans="1:12" ht="24.95" customHeight="1">
      <c r="A1595" s="460"/>
      <c r="E1595" s="154"/>
      <c r="F1595" s="460"/>
      <c r="K1595" s="154"/>
      <c r="L1595" s="269"/>
    </row>
    <row r="1596" spans="1:12" ht="24.95" customHeight="1">
      <c r="A1596" s="460"/>
      <c r="E1596" s="154"/>
      <c r="F1596" s="460"/>
      <c r="K1596" s="154"/>
      <c r="L1596" s="269"/>
    </row>
    <row r="1597" spans="1:12" ht="24.95" customHeight="1">
      <c r="A1597" s="460"/>
      <c r="E1597" s="154"/>
      <c r="F1597" s="460"/>
      <c r="K1597" s="154"/>
      <c r="L1597" s="269"/>
    </row>
    <row r="1598" spans="1:12" ht="24.95" customHeight="1">
      <c r="A1598" s="460"/>
      <c r="E1598" s="154"/>
      <c r="F1598" s="460"/>
      <c r="K1598" s="154"/>
      <c r="L1598" s="269"/>
    </row>
    <row r="1599" spans="1:12" ht="24.95" customHeight="1">
      <c r="A1599" s="460"/>
      <c r="E1599" s="154"/>
      <c r="F1599" s="460"/>
      <c r="K1599" s="154"/>
      <c r="L1599" s="269"/>
    </row>
    <row r="1600" spans="1:12" ht="24.95" customHeight="1">
      <c r="A1600" s="460"/>
      <c r="E1600" s="154"/>
      <c r="F1600" s="460"/>
      <c r="K1600" s="154"/>
      <c r="L1600" s="269"/>
    </row>
    <row r="1601" spans="1:12" ht="24.95" customHeight="1">
      <c r="A1601" s="460"/>
      <c r="E1601" s="154"/>
      <c r="F1601" s="460"/>
      <c r="K1601" s="154"/>
      <c r="L1601" s="269"/>
    </row>
    <row r="1602" spans="1:12" ht="24.95" customHeight="1">
      <c r="A1602" s="460"/>
      <c r="E1602" s="154"/>
      <c r="F1602" s="460"/>
      <c r="K1602" s="154"/>
      <c r="L1602" s="269"/>
    </row>
    <row r="1603" spans="1:12" ht="24.95" customHeight="1">
      <c r="A1603" s="460"/>
      <c r="E1603" s="154"/>
      <c r="F1603" s="460"/>
      <c r="K1603" s="154"/>
      <c r="L1603" s="269"/>
    </row>
    <row r="1604" spans="1:12" ht="24.95" customHeight="1">
      <c r="A1604" s="460"/>
      <c r="E1604" s="154"/>
      <c r="F1604" s="460"/>
      <c r="K1604" s="154"/>
      <c r="L1604" s="269"/>
    </row>
    <row r="1605" spans="1:12" ht="24.95" customHeight="1">
      <c r="A1605" s="460"/>
      <c r="E1605" s="154"/>
      <c r="F1605" s="460"/>
      <c r="K1605" s="154"/>
      <c r="L1605" s="269"/>
    </row>
    <row r="1606" spans="1:12" ht="24.95" customHeight="1">
      <c r="A1606" s="460"/>
      <c r="E1606" s="154"/>
      <c r="F1606" s="460"/>
      <c r="K1606" s="154"/>
      <c r="L1606" s="269"/>
    </row>
    <row r="1607" spans="1:12" ht="24.95" customHeight="1">
      <c r="A1607" s="460"/>
      <c r="E1607" s="154"/>
      <c r="F1607" s="460"/>
      <c r="K1607" s="154"/>
      <c r="L1607" s="269"/>
    </row>
    <row r="1608" spans="1:12" ht="24.95" customHeight="1">
      <c r="A1608" s="460"/>
      <c r="E1608" s="154"/>
      <c r="F1608" s="460"/>
      <c r="K1608" s="154"/>
      <c r="L1608" s="269"/>
    </row>
    <row r="1609" spans="1:12" ht="24.95" customHeight="1">
      <c r="A1609" s="460"/>
      <c r="E1609" s="154"/>
      <c r="F1609" s="460"/>
      <c r="K1609" s="154"/>
      <c r="L1609" s="269"/>
    </row>
    <row r="1610" spans="1:12" ht="24.95" customHeight="1">
      <c r="A1610" s="460"/>
      <c r="E1610" s="154"/>
      <c r="F1610" s="460"/>
      <c r="K1610" s="154"/>
      <c r="L1610" s="269"/>
    </row>
    <row r="1611" spans="1:12" ht="24.95" customHeight="1">
      <c r="A1611" s="460"/>
      <c r="E1611" s="154"/>
      <c r="F1611" s="460"/>
      <c r="K1611" s="154"/>
      <c r="L1611" s="269"/>
    </row>
    <row r="1612" spans="1:12" ht="24.95" customHeight="1">
      <c r="A1612" s="460"/>
      <c r="E1612" s="154"/>
      <c r="F1612" s="460"/>
      <c r="K1612" s="154"/>
      <c r="L1612" s="269"/>
    </row>
    <row r="1613" spans="1:12" ht="24.95" customHeight="1">
      <c r="A1613" s="460"/>
      <c r="E1613" s="154"/>
      <c r="F1613" s="460"/>
      <c r="K1613" s="154"/>
      <c r="L1613" s="269"/>
    </row>
    <row r="1614" spans="1:12" ht="24.95" customHeight="1">
      <c r="A1614" s="460"/>
      <c r="E1614" s="154"/>
      <c r="F1614" s="460"/>
      <c r="K1614" s="154"/>
      <c r="L1614" s="269"/>
    </row>
    <row r="1615" spans="1:12" ht="24.95" customHeight="1">
      <c r="A1615" s="460"/>
      <c r="E1615" s="154"/>
      <c r="F1615" s="460"/>
      <c r="K1615" s="154"/>
      <c r="L1615" s="269"/>
    </row>
    <row r="1616" spans="1:12" ht="24.95" customHeight="1">
      <c r="A1616" s="460"/>
      <c r="E1616" s="154"/>
      <c r="F1616" s="460"/>
      <c r="K1616" s="154"/>
      <c r="L1616" s="269"/>
    </row>
    <row r="1617" spans="1:12" ht="24.95" customHeight="1">
      <c r="A1617" s="460"/>
      <c r="E1617" s="154"/>
      <c r="F1617" s="460"/>
      <c r="K1617" s="154"/>
      <c r="L1617" s="269"/>
    </row>
    <row r="1618" spans="1:12" ht="24.95" customHeight="1">
      <c r="A1618" s="460"/>
      <c r="E1618" s="154"/>
      <c r="F1618" s="460"/>
      <c r="K1618" s="154"/>
      <c r="L1618" s="269"/>
    </row>
    <row r="1619" spans="1:12" ht="24.95" customHeight="1">
      <c r="A1619" s="460"/>
      <c r="E1619" s="154"/>
      <c r="F1619" s="460"/>
      <c r="K1619" s="154"/>
      <c r="L1619" s="269"/>
    </row>
    <row r="1620" spans="1:12" ht="24.95" customHeight="1">
      <c r="A1620" s="460"/>
      <c r="E1620" s="154"/>
      <c r="F1620" s="460"/>
      <c r="K1620" s="154"/>
      <c r="L1620" s="269"/>
    </row>
    <row r="1621" spans="1:12" ht="24.95" customHeight="1">
      <c r="A1621" s="460"/>
      <c r="E1621" s="154"/>
      <c r="F1621" s="460"/>
      <c r="K1621" s="154"/>
      <c r="L1621" s="269"/>
    </row>
    <row r="1622" spans="1:12" ht="24.95" customHeight="1">
      <c r="A1622" s="460"/>
      <c r="E1622" s="154"/>
      <c r="F1622" s="460"/>
      <c r="K1622" s="154"/>
      <c r="L1622" s="269"/>
    </row>
    <row r="1623" spans="1:12" ht="24.95" customHeight="1">
      <c r="A1623" s="460"/>
      <c r="E1623" s="154"/>
      <c r="F1623" s="460"/>
      <c r="K1623" s="154"/>
      <c r="L1623" s="269"/>
    </row>
    <row r="1624" spans="1:12" ht="24.95" customHeight="1">
      <c r="A1624" s="460"/>
      <c r="E1624" s="154"/>
      <c r="F1624" s="460"/>
      <c r="K1624" s="154"/>
      <c r="L1624" s="269"/>
    </row>
    <row r="1625" spans="1:12" ht="24.95" customHeight="1">
      <c r="A1625" s="460"/>
      <c r="E1625" s="154"/>
      <c r="F1625" s="460"/>
      <c r="K1625" s="154"/>
      <c r="L1625" s="269"/>
    </row>
    <row r="1626" spans="1:12" ht="24.95" customHeight="1">
      <c r="A1626" s="460"/>
      <c r="E1626" s="154"/>
      <c r="F1626" s="460"/>
      <c r="K1626" s="154"/>
      <c r="L1626" s="269"/>
    </row>
    <row r="1627" spans="1:12" ht="24.95" customHeight="1">
      <c r="A1627" s="460"/>
      <c r="E1627" s="154"/>
      <c r="F1627" s="460"/>
      <c r="K1627" s="154"/>
      <c r="L1627" s="269"/>
    </row>
    <row r="1628" spans="1:12" ht="24.95" customHeight="1">
      <c r="A1628" s="460"/>
      <c r="E1628" s="154"/>
      <c r="F1628" s="460"/>
      <c r="K1628" s="154"/>
      <c r="L1628" s="269"/>
    </row>
    <row r="1629" spans="1:12" ht="24.95" customHeight="1">
      <c r="A1629" s="460"/>
      <c r="E1629" s="154"/>
      <c r="F1629" s="460"/>
      <c r="K1629" s="154"/>
      <c r="L1629" s="269"/>
    </row>
    <row r="1630" spans="1:12" ht="24.95" customHeight="1">
      <c r="A1630" s="460"/>
      <c r="E1630" s="154"/>
      <c r="F1630" s="460"/>
      <c r="K1630" s="154"/>
      <c r="L1630" s="269"/>
    </row>
    <row r="1631" spans="1:12" ht="24.95" customHeight="1">
      <c r="A1631" s="460"/>
      <c r="E1631" s="154"/>
      <c r="F1631" s="460"/>
      <c r="K1631" s="154"/>
      <c r="L1631" s="269"/>
    </row>
    <row r="1632" spans="1:12" ht="24.95" customHeight="1">
      <c r="A1632" s="460"/>
      <c r="E1632" s="154"/>
      <c r="F1632" s="460"/>
      <c r="K1632" s="154"/>
      <c r="L1632" s="269"/>
    </row>
    <row r="1633" spans="1:12" ht="24.95" customHeight="1">
      <c r="A1633" s="460"/>
      <c r="E1633" s="154"/>
      <c r="F1633" s="460"/>
      <c r="K1633" s="154"/>
      <c r="L1633" s="269"/>
    </row>
    <row r="1634" spans="1:12" ht="24.95" customHeight="1">
      <c r="A1634" s="460"/>
      <c r="E1634" s="154"/>
      <c r="F1634" s="460"/>
      <c r="K1634" s="154"/>
      <c r="L1634" s="269"/>
    </row>
    <row r="1635" spans="1:12" ht="24.95" customHeight="1">
      <c r="A1635" s="460"/>
      <c r="E1635" s="154"/>
      <c r="F1635" s="460"/>
      <c r="K1635" s="154"/>
      <c r="L1635" s="269"/>
    </row>
    <row r="1636" spans="1:12" ht="24.95" customHeight="1">
      <c r="A1636" s="460"/>
      <c r="E1636" s="154"/>
      <c r="F1636" s="460"/>
      <c r="K1636" s="154"/>
      <c r="L1636" s="269"/>
    </row>
    <row r="1637" spans="1:12" ht="24.95" customHeight="1">
      <c r="A1637" s="460"/>
      <c r="E1637" s="154"/>
      <c r="F1637" s="460"/>
      <c r="K1637" s="154"/>
      <c r="L1637" s="269"/>
    </row>
    <row r="1638" spans="1:12" ht="24.95" customHeight="1">
      <c r="A1638" s="460"/>
      <c r="E1638" s="154"/>
      <c r="F1638" s="460"/>
      <c r="K1638" s="154"/>
      <c r="L1638" s="269"/>
    </row>
    <row r="1639" spans="1:12" ht="24.95" customHeight="1">
      <c r="A1639" s="460"/>
      <c r="E1639" s="154"/>
      <c r="F1639" s="460"/>
      <c r="K1639" s="154"/>
      <c r="L1639" s="269"/>
    </row>
    <row r="1640" spans="1:12" ht="24.95" customHeight="1">
      <c r="A1640" s="460"/>
      <c r="E1640" s="154"/>
      <c r="F1640" s="460"/>
      <c r="K1640" s="154"/>
      <c r="L1640" s="269"/>
    </row>
    <row r="1641" spans="1:12" ht="24.95" customHeight="1">
      <c r="A1641" s="460"/>
      <c r="E1641" s="154"/>
      <c r="F1641" s="460"/>
      <c r="K1641" s="154"/>
      <c r="L1641" s="269"/>
    </row>
    <row r="1642" spans="1:12" ht="24.95" customHeight="1">
      <c r="A1642" s="460"/>
      <c r="E1642" s="154"/>
      <c r="F1642" s="460"/>
      <c r="K1642" s="154"/>
      <c r="L1642" s="269"/>
    </row>
    <row r="1643" spans="1:12" ht="24.95" customHeight="1">
      <c r="A1643" s="460"/>
      <c r="E1643" s="154"/>
      <c r="F1643" s="460"/>
      <c r="K1643" s="154"/>
      <c r="L1643" s="269"/>
    </row>
    <row r="1644" spans="1:12" ht="24.95" customHeight="1">
      <c r="A1644" s="460"/>
      <c r="E1644" s="154"/>
      <c r="F1644" s="460"/>
      <c r="K1644" s="154"/>
      <c r="L1644" s="269"/>
    </row>
    <row r="1645" spans="1:12" ht="24.95" customHeight="1">
      <c r="A1645" s="460"/>
      <c r="E1645" s="154"/>
      <c r="F1645" s="460"/>
      <c r="K1645" s="154"/>
      <c r="L1645" s="269"/>
    </row>
    <row r="1646" spans="1:12" ht="24.95" customHeight="1">
      <c r="A1646" s="460"/>
      <c r="E1646" s="154"/>
      <c r="F1646" s="460"/>
      <c r="K1646" s="154"/>
      <c r="L1646" s="269"/>
    </row>
    <row r="1647" spans="1:12" ht="24.95" customHeight="1">
      <c r="A1647" s="460"/>
      <c r="E1647" s="154"/>
      <c r="F1647" s="460"/>
      <c r="K1647" s="154"/>
      <c r="L1647" s="269"/>
    </row>
    <row r="1648" spans="1:12" ht="24.95" customHeight="1">
      <c r="A1648" s="460"/>
      <c r="E1648" s="154"/>
      <c r="F1648" s="460"/>
      <c r="K1648" s="154"/>
      <c r="L1648" s="269"/>
    </row>
    <row r="1649" spans="1:12" ht="24.95" customHeight="1">
      <c r="A1649" s="460"/>
      <c r="E1649" s="154"/>
      <c r="F1649" s="460"/>
      <c r="K1649" s="154"/>
      <c r="L1649" s="269"/>
    </row>
    <row r="1650" spans="1:12" ht="24.95" customHeight="1">
      <c r="A1650" s="460"/>
      <c r="E1650" s="154"/>
      <c r="F1650" s="460"/>
      <c r="K1650" s="154"/>
      <c r="L1650" s="269"/>
    </row>
    <row r="1651" spans="1:12" ht="24.95" customHeight="1">
      <c r="A1651" s="460"/>
      <c r="E1651" s="154"/>
      <c r="F1651" s="460"/>
      <c r="K1651" s="154"/>
      <c r="L1651" s="269"/>
    </row>
    <row r="1652" spans="1:12" ht="24.95" customHeight="1">
      <c r="A1652" s="460"/>
      <c r="E1652" s="154"/>
      <c r="F1652" s="460"/>
      <c r="K1652" s="154"/>
      <c r="L1652" s="269"/>
    </row>
    <row r="1653" spans="1:12" ht="24.95" customHeight="1">
      <c r="A1653" s="460"/>
      <c r="E1653" s="154"/>
      <c r="F1653" s="460"/>
      <c r="K1653" s="154"/>
      <c r="L1653" s="269"/>
    </row>
    <row r="1654" spans="1:12" ht="24.95" customHeight="1">
      <c r="A1654" s="460"/>
      <c r="E1654" s="154"/>
      <c r="F1654" s="460"/>
      <c r="K1654" s="154"/>
      <c r="L1654" s="269"/>
    </row>
    <row r="1655" spans="1:12" ht="24.95" customHeight="1">
      <c r="A1655" s="460"/>
      <c r="E1655" s="154"/>
      <c r="F1655" s="460"/>
      <c r="K1655" s="154"/>
      <c r="L1655" s="269"/>
    </row>
    <row r="1656" spans="1:12" ht="24.95" customHeight="1">
      <c r="A1656" s="460"/>
      <c r="E1656" s="154"/>
      <c r="F1656" s="460"/>
      <c r="K1656" s="154"/>
      <c r="L1656" s="269"/>
    </row>
    <row r="1657" spans="1:12" ht="24.95" customHeight="1">
      <c r="A1657" s="460"/>
      <c r="E1657" s="154"/>
      <c r="F1657" s="460"/>
      <c r="K1657" s="154"/>
      <c r="L1657" s="269"/>
    </row>
    <row r="1658" spans="1:12" ht="24.95" customHeight="1">
      <c r="A1658" s="460"/>
      <c r="E1658" s="154"/>
      <c r="F1658" s="460"/>
      <c r="K1658" s="154"/>
      <c r="L1658" s="269"/>
    </row>
    <row r="1659" spans="1:12" ht="24.95" customHeight="1">
      <c r="A1659" s="460"/>
      <c r="E1659" s="154"/>
      <c r="F1659" s="460"/>
      <c r="K1659" s="154"/>
      <c r="L1659" s="269"/>
    </row>
    <row r="1660" spans="1:12" ht="24.95" customHeight="1">
      <c r="A1660" s="460"/>
      <c r="E1660" s="154"/>
      <c r="F1660" s="460"/>
      <c r="K1660" s="154"/>
      <c r="L1660" s="269"/>
    </row>
    <row r="1661" spans="1:12" ht="24.95" customHeight="1">
      <c r="A1661" s="460"/>
      <c r="E1661" s="154"/>
      <c r="F1661" s="460"/>
      <c r="K1661" s="154"/>
      <c r="L1661" s="269"/>
    </row>
    <row r="1662" spans="1:12" ht="24.95" customHeight="1">
      <c r="A1662" s="460"/>
      <c r="E1662" s="154"/>
      <c r="F1662" s="460"/>
      <c r="K1662" s="154"/>
      <c r="L1662" s="269"/>
    </row>
    <row r="1663" spans="1:12" ht="24.95" customHeight="1">
      <c r="A1663" s="460"/>
      <c r="E1663" s="154"/>
      <c r="F1663" s="460"/>
      <c r="K1663" s="154"/>
      <c r="L1663" s="269"/>
    </row>
    <row r="1664" spans="1:12" ht="24.95" customHeight="1">
      <c r="A1664" s="460"/>
      <c r="E1664" s="154"/>
      <c r="F1664" s="460"/>
      <c r="K1664" s="154"/>
      <c r="L1664" s="269"/>
    </row>
    <row r="1665" spans="1:12" ht="24.95" customHeight="1">
      <c r="A1665" s="460"/>
      <c r="E1665" s="154"/>
      <c r="F1665" s="460"/>
      <c r="K1665" s="154"/>
      <c r="L1665" s="269"/>
    </row>
    <row r="1666" spans="1:12" ht="24.95" customHeight="1">
      <c r="A1666" s="460"/>
      <c r="E1666" s="154"/>
      <c r="F1666" s="460"/>
      <c r="K1666" s="154"/>
      <c r="L1666" s="269"/>
    </row>
    <row r="1667" spans="1:12" ht="24.95" customHeight="1">
      <c r="A1667" s="460"/>
      <c r="E1667" s="154"/>
      <c r="F1667" s="460"/>
      <c r="K1667" s="154"/>
      <c r="L1667" s="269"/>
    </row>
    <row r="1668" spans="1:12" ht="24.95" customHeight="1">
      <c r="A1668" s="460"/>
      <c r="E1668" s="154"/>
      <c r="F1668" s="460"/>
      <c r="K1668" s="154"/>
      <c r="L1668" s="269"/>
    </row>
    <row r="1669" spans="1:12" ht="24.95" customHeight="1">
      <c r="A1669" s="460"/>
      <c r="E1669" s="154"/>
      <c r="F1669" s="460"/>
      <c r="K1669" s="154"/>
      <c r="L1669" s="269"/>
    </row>
    <row r="1670" spans="1:12" ht="24.95" customHeight="1">
      <c r="A1670" s="460"/>
      <c r="E1670" s="154"/>
      <c r="F1670" s="460"/>
      <c r="K1670" s="154"/>
      <c r="L1670" s="269"/>
    </row>
    <row r="1671" spans="1:12" ht="24.95" customHeight="1">
      <c r="A1671" s="460"/>
      <c r="E1671" s="154"/>
      <c r="F1671" s="460"/>
      <c r="K1671" s="154"/>
      <c r="L1671" s="269"/>
    </row>
    <row r="1672" spans="1:12" ht="24.95" customHeight="1">
      <c r="A1672" s="460"/>
      <c r="E1672" s="154"/>
      <c r="F1672" s="460"/>
      <c r="K1672" s="154"/>
      <c r="L1672" s="269"/>
    </row>
    <row r="1673" spans="1:12" ht="24.95" customHeight="1">
      <c r="A1673" s="460"/>
      <c r="E1673" s="154"/>
      <c r="F1673" s="460"/>
      <c r="K1673" s="154"/>
      <c r="L1673" s="269"/>
    </row>
    <row r="1674" spans="1:12" ht="24.95" customHeight="1">
      <c r="A1674" s="460"/>
      <c r="E1674" s="154"/>
      <c r="F1674" s="460"/>
      <c r="K1674" s="154"/>
      <c r="L1674" s="269"/>
    </row>
    <row r="1675" spans="1:12" ht="24.95" customHeight="1">
      <c r="A1675" s="460"/>
      <c r="E1675" s="154"/>
      <c r="F1675" s="460"/>
      <c r="K1675" s="154"/>
      <c r="L1675" s="269"/>
    </row>
    <row r="1676" spans="1:12" ht="24.95" customHeight="1">
      <c r="A1676" s="460"/>
      <c r="E1676" s="154"/>
      <c r="F1676" s="460"/>
      <c r="K1676" s="154"/>
      <c r="L1676" s="269"/>
    </row>
    <row r="1677" spans="1:12" ht="24.95" customHeight="1">
      <c r="A1677" s="460"/>
      <c r="E1677" s="154"/>
      <c r="F1677" s="460"/>
      <c r="K1677" s="154"/>
      <c r="L1677" s="269"/>
    </row>
    <row r="1678" spans="1:12" ht="24.95" customHeight="1">
      <c r="A1678" s="460"/>
      <c r="E1678" s="154"/>
      <c r="F1678" s="460"/>
      <c r="K1678" s="154"/>
      <c r="L1678" s="269"/>
    </row>
    <row r="1679" spans="1:12" ht="24.95" customHeight="1">
      <c r="A1679" s="460"/>
      <c r="E1679" s="154"/>
      <c r="F1679" s="460"/>
      <c r="K1679" s="154"/>
      <c r="L1679" s="269"/>
    </row>
    <row r="1680" spans="1:12" ht="24.95" customHeight="1">
      <c r="A1680" s="460"/>
      <c r="E1680" s="154"/>
      <c r="F1680" s="460"/>
      <c r="K1680" s="154"/>
      <c r="L1680" s="269"/>
    </row>
    <row r="1681" spans="1:12" ht="24.95" customHeight="1">
      <c r="A1681" s="460"/>
      <c r="E1681" s="154"/>
      <c r="F1681" s="460"/>
      <c r="K1681" s="154"/>
      <c r="L1681" s="269"/>
    </row>
    <row r="1682" spans="1:12" ht="24.95" customHeight="1">
      <c r="A1682" s="460"/>
      <c r="E1682" s="154"/>
      <c r="F1682" s="460"/>
      <c r="K1682" s="154"/>
      <c r="L1682" s="269"/>
    </row>
    <row r="1683" spans="1:12" ht="24.95" customHeight="1">
      <c r="A1683" s="460"/>
      <c r="E1683" s="154"/>
      <c r="F1683" s="460"/>
      <c r="K1683" s="154"/>
      <c r="L1683" s="269"/>
    </row>
    <row r="1684" spans="1:12" ht="24.95" customHeight="1">
      <c r="A1684" s="460"/>
      <c r="E1684" s="154"/>
      <c r="F1684" s="460"/>
      <c r="K1684" s="154"/>
      <c r="L1684" s="269"/>
    </row>
    <row r="1685" spans="1:12" ht="24.95" customHeight="1">
      <c r="A1685" s="460"/>
      <c r="E1685" s="154"/>
      <c r="F1685" s="460"/>
      <c r="K1685" s="154"/>
      <c r="L1685" s="269"/>
    </row>
    <row r="1686" spans="1:12" ht="24.95" customHeight="1">
      <c r="A1686" s="460"/>
      <c r="E1686" s="154"/>
      <c r="F1686" s="460"/>
      <c r="K1686" s="154"/>
      <c r="L1686" s="269"/>
    </row>
    <row r="1687" spans="1:12" ht="24.95" customHeight="1">
      <c r="A1687" s="460"/>
      <c r="E1687" s="154"/>
      <c r="F1687" s="460"/>
      <c r="K1687" s="154"/>
      <c r="L1687" s="269"/>
    </row>
    <row r="1688" spans="1:12" ht="24.95" customHeight="1">
      <c r="A1688" s="460"/>
      <c r="E1688" s="154"/>
      <c r="F1688" s="460"/>
      <c r="K1688" s="154"/>
      <c r="L1688" s="269"/>
    </row>
    <row r="1689" spans="1:12" ht="24.95" customHeight="1">
      <c r="A1689" s="460"/>
      <c r="E1689" s="154"/>
      <c r="F1689" s="460"/>
      <c r="K1689" s="154"/>
      <c r="L1689" s="269"/>
    </row>
    <row r="1690" spans="1:12" ht="24.95" customHeight="1">
      <c r="A1690" s="460"/>
      <c r="E1690" s="154"/>
      <c r="F1690" s="460"/>
      <c r="K1690" s="154"/>
      <c r="L1690" s="269"/>
    </row>
    <row r="1691" spans="1:12" ht="24.95" customHeight="1">
      <c r="A1691" s="460"/>
      <c r="E1691" s="154"/>
      <c r="F1691" s="460"/>
      <c r="K1691" s="154"/>
      <c r="L1691" s="269"/>
    </row>
    <row r="1692" spans="1:12" ht="24.95" customHeight="1">
      <c r="A1692" s="460"/>
      <c r="E1692" s="154"/>
      <c r="F1692" s="460"/>
      <c r="K1692" s="154"/>
      <c r="L1692" s="269"/>
    </row>
    <row r="1693" spans="1:12" ht="24.95" customHeight="1">
      <c r="A1693" s="460"/>
      <c r="E1693" s="154"/>
      <c r="F1693" s="460"/>
      <c r="K1693" s="154"/>
      <c r="L1693" s="269"/>
    </row>
    <row r="1694" spans="1:12" ht="24.95" customHeight="1">
      <c r="A1694" s="460"/>
      <c r="E1694" s="154"/>
      <c r="F1694" s="460"/>
      <c r="K1694" s="154"/>
      <c r="L1694" s="269"/>
    </row>
    <row r="1695" spans="1:12" ht="24.95" customHeight="1">
      <c r="A1695" s="460"/>
      <c r="E1695" s="154"/>
      <c r="F1695" s="460"/>
      <c r="K1695" s="154"/>
      <c r="L1695" s="269"/>
    </row>
    <row r="1696" spans="1:12" ht="24.95" customHeight="1">
      <c r="A1696" s="460"/>
      <c r="E1696" s="154"/>
      <c r="F1696" s="460"/>
      <c r="K1696" s="154"/>
      <c r="L1696" s="269"/>
    </row>
    <row r="1697" spans="1:12" ht="24.95" customHeight="1">
      <c r="A1697" s="460"/>
      <c r="E1697" s="154"/>
      <c r="F1697" s="460"/>
      <c r="K1697" s="154"/>
      <c r="L1697" s="269"/>
    </row>
    <row r="1698" spans="1:12" ht="24.95" customHeight="1">
      <c r="A1698" s="460"/>
      <c r="E1698" s="154"/>
      <c r="F1698" s="460"/>
      <c r="K1698" s="154"/>
      <c r="L1698" s="269"/>
    </row>
    <row r="1699" spans="1:12" ht="24.95" customHeight="1">
      <c r="A1699" s="460"/>
      <c r="E1699" s="154"/>
      <c r="F1699" s="460"/>
      <c r="K1699" s="154"/>
      <c r="L1699" s="269"/>
    </row>
    <row r="1700" spans="1:12" ht="24.95" customHeight="1">
      <c r="A1700" s="460"/>
      <c r="E1700" s="154"/>
      <c r="F1700" s="460"/>
      <c r="K1700" s="154"/>
      <c r="L1700" s="269"/>
    </row>
    <row r="1701" spans="1:12" ht="24.95" customHeight="1">
      <c r="A1701" s="460"/>
      <c r="E1701" s="154"/>
      <c r="F1701" s="460"/>
      <c r="K1701" s="154"/>
      <c r="L1701" s="269"/>
    </row>
    <row r="1702" spans="1:12" ht="24.95" customHeight="1">
      <c r="A1702" s="460"/>
      <c r="E1702" s="154"/>
      <c r="F1702" s="460"/>
      <c r="K1702" s="154"/>
      <c r="L1702" s="269"/>
    </row>
    <row r="1703" spans="1:12" ht="24.95" customHeight="1">
      <c r="A1703" s="460"/>
      <c r="E1703" s="154"/>
      <c r="F1703" s="460"/>
      <c r="K1703" s="154"/>
      <c r="L1703" s="269"/>
    </row>
    <row r="1704" spans="1:12" ht="24.95" customHeight="1">
      <c r="A1704" s="460"/>
      <c r="E1704" s="154"/>
      <c r="F1704" s="460"/>
      <c r="K1704" s="154"/>
      <c r="L1704" s="269"/>
    </row>
    <row r="1705" spans="1:12" ht="24.95" customHeight="1">
      <c r="A1705" s="460"/>
      <c r="E1705" s="154"/>
      <c r="F1705" s="460"/>
      <c r="K1705" s="154"/>
      <c r="L1705" s="269"/>
    </row>
    <row r="1706" spans="1:12" ht="24.95" customHeight="1">
      <c r="A1706" s="460"/>
      <c r="E1706" s="154"/>
      <c r="F1706" s="460"/>
      <c r="K1706" s="154"/>
      <c r="L1706" s="269"/>
    </row>
    <row r="1707" spans="1:12" ht="24.95" customHeight="1">
      <c r="A1707" s="460"/>
      <c r="E1707" s="154"/>
      <c r="F1707" s="460"/>
      <c r="K1707" s="154"/>
      <c r="L1707" s="269"/>
    </row>
    <row r="1708" spans="1:12" ht="24.95" customHeight="1">
      <c r="A1708" s="460"/>
      <c r="E1708" s="154"/>
      <c r="F1708" s="460"/>
      <c r="K1708" s="154"/>
      <c r="L1708" s="269"/>
    </row>
    <row r="1709" spans="1:12" ht="24.95" customHeight="1">
      <c r="A1709" s="460"/>
      <c r="E1709" s="154"/>
      <c r="F1709" s="460"/>
      <c r="K1709" s="154"/>
      <c r="L1709" s="269"/>
    </row>
    <row r="1710" spans="1:12" ht="24.95" customHeight="1">
      <c r="A1710" s="460"/>
      <c r="E1710" s="154"/>
      <c r="F1710" s="460"/>
      <c r="K1710" s="154"/>
      <c r="L1710" s="269"/>
    </row>
    <row r="1711" spans="1:12" ht="24.95" customHeight="1">
      <c r="A1711" s="460"/>
      <c r="E1711" s="154"/>
      <c r="F1711" s="460"/>
      <c r="K1711" s="154"/>
      <c r="L1711" s="269"/>
    </row>
    <row r="1712" spans="1:12" ht="24.95" customHeight="1">
      <c r="A1712" s="460"/>
      <c r="E1712" s="154"/>
      <c r="F1712" s="460"/>
      <c r="K1712" s="154"/>
      <c r="L1712" s="269"/>
    </row>
    <row r="1713" spans="1:12" ht="24.95" customHeight="1">
      <c r="A1713" s="460"/>
      <c r="E1713" s="154"/>
      <c r="F1713" s="460"/>
      <c r="K1713" s="154"/>
      <c r="L1713" s="269"/>
    </row>
    <row r="1714" spans="1:12" ht="24.95" customHeight="1">
      <c r="A1714" s="460"/>
      <c r="E1714" s="154"/>
      <c r="F1714" s="460"/>
      <c r="K1714" s="154"/>
      <c r="L1714" s="269"/>
    </row>
    <row r="1715" spans="1:12" ht="24.95" customHeight="1">
      <c r="A1715" s="460"/>
      <c r="E1715" s="154"/>
      <c r="F1715" s="460"/>
      <c r="K1715" s="154"/>
      <c r="L1715" s="269"/>
    </row>
    <row r="1716" spans="1:12" ht="24.95" customHeight="1">
      <c r="A1716" s="460"/>
      <c r="E1716" s="154"/>
      <c r="F1716" s="460"/>
      <c r="K1716" s="154"/>
      <c r="L1716" s="269"/>
    </row>
    <row r="1717" spans="1:12" ht="24.95" customHeight="1">
      <c r="A1717" s="460"/>
      <c r="E1717" s="154"/>
      <c r="F1717" s="460"/>
      <c r="K1717" s="154"/>
      <c r="L1717" s="269"/>
    </row>
    <row r="1718" spans="1:12" ht="24.95" customHeight="1">
      <c r="A1718" s="460"/>
      <c r="E1718" s="154"/>
      <c r="F1718" s="460"/>
      <c r="K1718" s="154"/>
      <c r="L1718" s="269"/>
    </row>
    <row r="1719" spans="1:12" ht="24.95" customHeight="1">
      <c r="A1719" s="460"/>
      <c r="E1719" s="154"/>
      <c r="F1719" s="460"/>
      <c r="K1719" s="154"/>
      <c r="L1719" s="269"/>
    </row>
    <row r="1720" spans="1:12" ht="24.95" customHeight="1">
      <c r="A1720" s="460"/>
      <c r="E1720" s="154"/>
      <c r="F1720" s="460"/>
      <c r="K1720" s="154"/>
      <c r="L1720" s="269"/>
    </row>
    <row r="1721" spans="1:12" ht="24.95" customHeight="1">
      <c r="A1721" s="460"/>
      <c r="E1721" s="154"/>
      <c r="F1721" s="460"/>
      <c r="K1721" s="154"/>
      <c r="L1721" s="269"/>
    </row>
    <row r="1722" spans="1:12" ht="24.95" customHeight="1">
      <c r="A1722" s="460"/>
      <c r="E1722" s="154"/>
      <c r="F1722" s="460"/>
      <c r="K1722" s="154"/>
      <c r="L1722" s="269"/>
    </row>
    <row r="1723" spans="1:12" ht="24.95" customHeight="1">
      <c r="A1723" s="460"/>
      <c r="E1723" s="154"/>
      <c r="F1723" s="460"/>
      <c r="K1723" s="154"/>
      <c r="L1723" s="269"/>
    </row>
    <row r="1724" spans="1:12" ht="24.95" customHeight="1">
      <c r="A1724" s="460"/>
      <c r="E1724" s="154"/>
      <c r="F1724" s="460"/>
      <c r="K1724" s="154"/>
      <c r="L1724" s="269"/>
    </row>
    <row r="1725" spans="1:12" ht="24.95" customHeight="1">
      <c r="A1725" s="460"/>
      <c r="E1725" s="154"/>
      <c r="F1725" s="460"/>
      <c r="K1725" s="154"/>
      <c r="L1725" s="269"/>
    </row>
    <row r="1726" spans="1:12" ht="24.95" customHeight="1">
      <c r="A1726" s="460"/>
      <c r="E1726" s="154"/>
      <c r="F1726" s="460"/>
      <c r="K1726" s="154"/>
      <c r="L1726" s="269"/>
    </row>
    <row r="1727" spans="1:12" ht="24.95" customHeight="1">
      <c r="A1727" s="460"/>
      <c r="E1727" s="154"/>
      <c r="F1727" s="460"/>
      <c r="K1727" s="154"/>
      <c r="L1727" s="269"/>
    </row>
    <row r="1728" spans="1:12" ht="24.95" customHeight="1">
      <c r="A1728" s="460"/>
      <c r="E1728" s="154"/>
      <c r="F1728" s="460"/>
      <c r="K1728" s="154"/>
      <c r="L1728" s="269"/>
    </row>
    <row r="1729" spans="1:12" ht="24.95" customHeight="1">
      <c r="A1729" s="460"/>
      <c r="E1729" s="154"/>
      <c r="F1729" s="460"/>
      <c r="K1729" s="154"/>
      <c r="L1729" s="269"/>
    </row>
    <row r="1730" spans="1:12" ht="24.95" customHeight="1">
      <c r="A1730" s="460"/>
      <c r="E1730" s="154"/>
      <c r="F1730" s="460"/>
      <c r="K1730" s="154"/>
      <c r="L1730" s="269"/>
    </row>
    <row r="1731" spans="1:12" ht="24.95" customHeight="1">
      <c r="A1731" s="460"/>
      <c r="E1731" s="154"/>
      <c r="F1731" s="460"/>
      <c r="K1731" s="154"/>
      <c r="L1731" s="269"/>
    </row>
    <row r="1732" spans="1:12" ht="24.95" customHeight="1">
      <c r="A1732" s="460"/>
      <c r="E1732" s="154"/>
      <c r="F1732" s="460"/>
      <c r="K1732" s="154"/>
      <c r="L1732" s="269"/>
    </row>
    <row r="1733" spans="1:12" ht="24.95" customHeight="1">
      <c r="A1733" s="460"/>
      <c r="E1733" s="154"/>
      <c r="F1733" s="460"/>
      <c r="K1733" s="154"/>
      <c r="L1733" s="269"/>
    </row>
    <row r="1734" spans="1:12" ht="24.95" customHeight="1">
      <c r="A1734" s="460"/>
      <c r="E1734" s="154"/>
      <c r="F1734" s="460"/>
      <c r="K1734" s="154"/>
      <c r="L1734" s="269"/>
    </row>
    <row r="1735" spans="1:12" ht="24.95" customHeight="1">
      <c r="A1735" s="460"/>
      <c r="E1735" s="154"/>
      <c r="F1735" s="460"/>
      <c r="K1735" s="154"/>
      <c r="L1735" s="269"/>
    </row>
    <row r="1736" spans="1:12" ht="24.95" customHeight="1">
      <c r="A1736" s="460"/>
      <c r="E1736" s="154"/>
      <c r="F1736" s="460"/>
      <c r="K1736" s="154"/>
      <c r="L1736" s="269"/>
    </row>
    <row r="1737" spans="1:12" ht="24.95" customHeight="1">
      <c r="A1737" s="460"/>
      <c r="E1737" s="154"/>
      <c r="F1737" s="460"/>
      <c r="K1737" s="154"/>
      <c r="L1737" s="269"/>
    </row>
    <row r="1738" spans="1:12" ht="24.95" customHeight="1">
      <c r="A1738" s="460"/>
      <c r="E1738" s="154"/>
      <c r="F1738" s="460"/>
      <c r="K1738" s="154"/>
      <c r="L1738" s="269"/>
    </row>
    <row r="1739" spans="1:12" ht="24.95" customHeight="1">
      <c r="A1739" s="460"/>
      <c r="E1739" s="154"/>
      <c r="F1739" s="460"/>
      <c r="K1739" s="154"/>
      <c r="L1739" s="269"/>
    </row>
    <row r="1740" spans="1:12" ht="24.95" customHeight="1">
      <c r="A1740" s="460"/>
      <c r="E1740" s="154"/>
      <c r="F1740" s="460"/>
      <c r="K1740" s="154"/>
      <c r="L1740" s="269"/>
    </row>
    <row r="1741" spans="1:12" ht="24.95" customHeight="1">
      <c r="A1741" s="460"/>
      <c r="E1741" s="154"/>
      <c r="F1741" s="460"/>
      <c r="K1741" s="154"/>
      <c r="L1741" s="269"/>
    </row>
    <row r="1742" spans="1:12" ht="24.95" customHeight="1">
      <c r="A1742" s="460"/>
      <c r="E1742" s="154"/>
      <c r="F1742" s="460"/>
      <c r="K1742" s="154"/>
      <c r="L1742" s="269"/>
    </row>
    <row r="1743" spans="1:12" ht="24.95" customHeight="1">
      <c r="A1743" s="460"/>
      <c r="E1743" s="154"/>
      <c r="F1743" s="460"/>
      <c r="K1743" s="154"/>
      <c r="L1743" s="269"/>
    </row>
    <row r="1744" spans="1:12" ht="24.95" customHeight="1">
      <c r="A1744" s="460"/>
      <c r="E1744" s="154"/>
      <c r="F1744" s="460"/>
      <c r="K1744" s="154"/>
      <c r="L1744" s="269"/>
    </row>
    <row r="1745" spans="1:12" ht="24.95" customHeight="1">
      <c r="A1745" s="460"/>
      <c r="E1745" s="154"/>
      <c r="F1745" s="460"/>
      <c r="K1745" s="154"/>
      <c r="L1745" s="269"/>
    </row>
    <row r="1746" spans="1:12" ht="24.95" customHeight="1">
      <c r="A1746" s="460"/>
      <c r="E1746" s="154"/>
      <c r="F1746" s="460"/>
      <c r="K1746" s="154"/>
      <c r="L1746" s="269"/>
    </row>
    <row r="1747" spans="1:12" ht="24.95" customHeight="1">
      <c r="A1747" s="460"/>
      <c r="E1747" s="154"/>
      <c r="F1747" s="460"/>
      <c r="K1747" s="154"/>
      <c r="L1747" s="269"/>
    </row>
    <row r="1748" spans="1:12" ht="24.95" customHeight="1">
      <c r="A1748" s="460"/>
      <c r="E1748" s="154"/>
      <c r="F1748" s="460"/>
      <c r="K1748" s="154"/>
      <c r="L1748" s="269"/>
    </row>
    <row r="1749" spans="1:12" ht="24.95" customHeight="1">
      <c r="A1749" s="460"/>
      <c r="E1749" s="154"/>
      <c r="F1749" s="460"/>
      <c r="K1749" s="154"/>
      <c r="L1749" s="269"/>
    </row>
    <row r="1750" spans="1:12" ht="24.95" customHeight="1">
      <c r="A1750" s="460"/>
      <c r="E1750" s="154"/>
      <c r="F1750" s="460"/>
      <c r="K1750" s="154"/>
      <c r="L1750" s="269"/>
    </row>
    <row r="1751" spans="1:12" ht="24.95" customHeight="1">
      <c r="A1751" s="460"/>
      <c r="E1751" s="154"/>
      <c r="F1751" s="460"/>
      <c r="K1751" s="154"/>
      <c r="L1751" s="269"/>
    </row>
    <row r="1752" spans="1:12" ht="24.95" customHeight="1">
      <c r="A1752" s="460"/>
      <c r="E1752" s="154"/>
      <c r="F1752" s="460"/>
      <c r="K1752" s="154"/>
      <c r="L1752" s="269"/>
    </row>
    <row r="1753" spans="1:12" ht="24.95" customHeight="1">
      <c r="A1753" s="460"/>
      <c r="E1753" s="154"/>
      <c r="F1753" s="460"/>
      <c r="K1753" s="154"/>
      <c r="L1753" s="269"/>
    </row>
    <row r="1754" spans="1:12" ht="24.95" customHeight="1">
      <c r="A1754" s="460"/>
      <c r="E1754" s="154"/>
      <c r="F1754" s="460"/>
      <c r="K1754" s="154"/>
      <c r="L1754" s="269"/>
    </row>
    <row r="1755" spans="1:12" ht="24.95" customHeight="1">
      <c r="A1755" s="460"/>
      <c r="E1755" s="154"/>
      <c r="F1755" s="460"/>
      <c r="K1755" s="154"/>
      <c r="L1755" s="269"/>
    </row>
    <row r="1756" spans="1:12" ht="24.95" customHeight="1">
      <c r="A1756" s="460"/>
      <c r="E1756" s="154"/>
      <c r="F1756" s="460"/>
      <c r="K1756" s="154"/>
      <c r="L1756" s="269"/>
    </row>
    <row r="1757" spans="1:12" ht="24.95" customHeight="1">
      <c r="A1757" s="460"/>
      <c r="E1757" s="154"/>
      <c r="F1757" s="460"/>
      <c r="K1757" s="154"/>
      <c r="L1757" s="269"/>
    </row>
    <row r="1758" spans="1:12" ht="24.95" customHeight="1">
      <c r="A1758" s="460"/>
      <c r="E1758" s="154"/>
      <c r="F1758" s="460"/>
      <c r="K1758" s="154"/>
      <c r="L1758" s="269"/>
    </row>
    <row r="1759" spans="1:12" ht="24.95" customHeight="1">
      <c r="A1759" s="460"/>
      <c r="E1759" s="154"/>
      <c r="F1759" s="460"/>
      <c r="K1759" s="154"/>
      <c r="L1759" s="269"/>
    </row>
    <row r="1760" spans="1:12" ht="24.95" customHeight="1">
      <c r="A1760" s="460"/>
      <c r="E1760" s="154"/>
      <c r="F1760" s="460"/>
      <c r="K1760" s="154"/>
      <c r="L1760" s="269"/>
    </row>
    <row r="1761" spans="1:12" ht="24.95" customHeight="1">
      <c r="A1761" s="460"/>
      <c r="E1761" s="154"/>
      <c r="F1761" s="460"/>
      <c r="K1761" s="154"/>
      <c r="L1761" s="269"/>
    </row>
    <row r="1762" spans="1:12" ht="24.95" customHeight="1">
      <c r="A1762" s="460"/>
      <c r="E1762" s="154"/>
      <c r="F1762" s="460"/>
      <c r="K1762" s="154"/>
      <c r="L1762" s="269"/>
    </row>
    <row r="1763" spans="1:12" ht="24.95" customHeight="1">
      <c r="A1763" s="460"/>
      <c r="E1763" s="154"/>
      <c r="F1763" s="460"/>
      <c r="K1763" s="154"/>
      <c r="L1763" s="269"/>
    </row>
    <row r="1764" spans="1:12" ht="24.95" customHeight="1">
      <c r="A1764" s="460"/>
      <c r="E1764" s="154"/>
      <c r="F1764" s="460"/>
      <c r="K1764" s="154"/>
      <c r="L1764" s="269"/>
    </row>
    <row r="1765" spans="1:12" ht="24.95" customHeight="1">
      <c r="A1765" s="460"/>
      <c r="E1765" s="154"/>
      <c r="F1765" s="460"/>
      <c r="K1765" s="154"/>
      <c r="L1765" s="269"/>
    </row>
    <row r="1766" spans="1:12" ht="24.95" customHeight="1">
      <c r="A1766" s="460"/>
      <c r="E1766" s="154"/>
      <c r="F1766" s="460"/>
      <c r="K1766" s="154"/>
      <c r="L1766" s="269"/>
    </row>
    <row r="1767" spans="1:12" ht="24.95" customHeight="1">
      <c r="A1767" s="460"/>
      <c r="E1767" s="154"/>
      <c r="F1767" s="460"/>
      <c r="K1767" s="154"/>
      <c r="L1767" s="269"/>
    </row>
    <row r="1768" spans="1:12" ht="24.95" customHeight="1">
      <c r="A1768" s="460"/>
      <c r="E1768" s="154"/>
      <c r="F1768" s="460"/>
      <c r="K1768" s="154"/>
      <c r="L1768" s="269"/>
    </row>
    <row r="1769" spans="1:12" ht="24.95" customHeight="1">
      <c r="A1769" s="460"/>
      <c r="E1769" s="154"/>
      <c r="F1769" s="460"/>
      <c r="K1769" s="154"/>
      <c r="L1769" s="269"/>
    </row>
    <row r="1770" spans="1:12" ht="24.95" customHeight="1">
      <c r="A1770" s="460"/>
      <c r="E1770" s="154"/>
      <c r="F1770" s="460"/>
      <c r="K1770" s="154"/>
      <c r="L1770" s="269"/>
    </row>
    <row r="1771" spans="1:12" ht="24.95" customHeight="1">
      <c r="A1771" s="460"/>
      <c r="E1771" s="154"/>
      <c r="F1771" s="460"/>
      <c r="K1771" s="154"/>
      <c r="L1771" s="269"/>
    </row>
    <row r="1772" spans="1:12" ht="24.95" customHeight="1">
      <c r="A1772" s="460"/>
      <c r="E1772" s="154"/>
      <c r="K1772" s="154"/>
    </row>
    <row r="1773" spans="1:12" ht="24.95" customHeight="1">
      <c r="A1773" s="460"/>
      <c r="E1773" s="154"/>
      <c r="K1773" s="154"/>
    </row>
    <row r="1774" spans="1:12" ht="24.95" customHeight="1">
      <c r="K1774" s="154"/>
    </row>
    <row r="1775" spans="1:12" ht="24.95" customHeight="1">
      <c r="K1775" s="154"/>
    </row>
  </sheetData>
  <mergeCells count="23">
    <mergeCell ref="S13:T13"/>
    <mergeCell ref="V13:W13"/>
    <mergeCell ref="M10:N10"/>
    <mergeCell ref="M15:N15"/>
    <mergeCell ref="A1:E1"/>
    <mergeCell ref="M1:Q1"/>
    <mergeCell ref="O6:Q6"/>
    <mergeCell ref="G1:K1"/>
    <mergeCell ref="M6:N6"/>
    <mergeCell ref="I11:K11"/>
    <mergeCell ref="I7:K7"/>
    <mergeCell ref="A16:B16"/>
    <mergeCell ref="A9:B9"/>
    <mergeCell ref="G7:H7"/>
    <mergeCell ref="G11:H11"/>
    <mergeCell ref="C16:E16"/>
    <mergeCell ref="C9:E9"/>
    <mergeCell ref="O20:Q20"/>
    <mergeCell ref="O15:Q15"/>
    <mergeCell ref="O10:Q10"/>
    <mergeCell ref="M20:N20"/>
    <mergeCell ref="G18:H18"/>
    <mergeCell ref="I18:K18"/>
  </mergeCells>
  <phoneticPr fontId="25" type="noConversion"/>
  <printOptions horizontalCentered="1"/>
  <pageMargins left="0" right="0" top="0" bottom="0" header="0" footer="0"/>
  <pageSetup paperSize="9" scale="75" orientation="portrait" r:id="rId1"/>
  <rowBreaks count="1" manualBreakCount="1">
    <brk id="21" max="16383" man="1"/>
  </rowBreaks>
  <colBreaks count="1" manualBreakCount="1">
    <brk id="11" max="17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AJ25"/>
  <sheetViews>
    <sheetView view="pageBreakPreview" topLeftCell="A4" zoomScale="60" workbookViewId="0">
      <selection activeCell="J15" sqref="J15"/>
    </sheetView>
  </sheetViews>
  <sheetFormatPr defaultRowHeight="26.25"/>
  <cols>
    <col min="1" max="1" width="17.85546875" style="282" customWidth="1"/>
    <col min="2" max="2" width="38.7109375" style="167" customWidth="1"/>
    <col min="3" max="3" width="24.85546875" style="167" customWidth="1"/>
    <col min="4" max="4" width="17.7109375" style="167" customWidth="1"/>
    <col min="5" max="5" width="22.42578125" style="317" customWidth="1"/>
    <col min="6" max="6" width="2.7109375" style="477" customWidth="1"/>
    <col min="7" max="7" width="22.140625" style="167" customWidth="1"/>
    <col min="8" max="8" width="47.28515625" style="167" customWidth="1"/>
    <col min="9" max="9" width="15.28515625" style="167" customWidth="1"/>
    <col min="10" max="10" width="14.7109375" style="167" customWidth="1"/>
    <col min="11" max="11" width="19.28515625" style="283" customWidth="1"/>
    <col min="12" max="12" width="1.5703125" style="477" customWidth="1"/>
    <col min="13" max="13" width="21" customWidth="1"/>
    <col min="14" max="14" width="53.42578125" customWidth="1"/>
    <col min="15" max="15" width="16.85546875" customWidth="1"/>
    <col min="16" max="16" width="16.5703125" customWidth="1"/>
    <col min="17" max="17" width="17.42578125" customWidth="1"/>
    <col min="18" max="19" width="2.7109375"/>
    <col min="20" max="20" width="21" customWidth="1"/>
    <col min="21" max="21" width="45.140625" customWidth="1"/>
    <col min="22" max="22" width="16.85546875" customWidth="1"/>
    <col min="23" max="23" width="16.5703125" customWidth="1"/>
    <col min="24" max="24" width="17.42578125" customWidth="1"/>
    <col min="26" max="26" width="22.28515625" customWidth="1"/>
    <col min="27" max="27" width="52.85546875" customWidth="1"/>
    <col min="28" max="28" width="20.7109375" customWidth="1"/>
    <col min="29" max="29" width="18.7109375" customWidth="1"/>
    <col min="30" max="30" width="17.42578125" customWidth="1"/>
    <col min="31" max="31" width="9.140625" customWidth="1"/>
    <col min="32" max="32" width="22.28515625" style="538" customWidth="1"/>
    <col min="33" max="33" width="59.28515625" style="16" customWidth="1"/>
    <col min="34" max="34" width="22.7109375" style="16" customWidth="1"/>
    <col min="35" max="35" width="16.5703125" style="16" customWidth="1"/>
    <col min="36" max="36" width="17.42578125" style="16" customWidth="1"/>
  </cols>
  <sheetData>
    <row r="1" spans="1:36" ht="56.25" customHeight="1">
      <c r="A1" s="635" t="s">
        <v>49</v>
      </c>
      <c r="B1" s="636"/>
      <c r="C1" s="636"/>
      <c r="D1" s="636"/>
      <c r="E1" s="637"/>
      <c r="G1" s="638" t="s">
        <v>50</v>
      </c>
      <c r="H1" s="636"/>
      <c r="I1" s="636"/>
      <c r="J1" s="636"/>
      <c r="K1" s="639"/>
      <c r="M1" s="638" t="s">
        <v>51</v>
      </c>
      <c r="N1" s="636"/>
      <c r="O1" s="636"/>
      <c r="P1" s="636"/>
      <c r="Q1" s="639"/>
      <c r="T1" s="638" t="s">
        <v>52</v>
      </c>
      <c r="U1" s="636"/>
      <c r="V1" s="636"/>
      <c r="W1" s="636"/>
      <c r="X1" s="639"/>
      <c r="Z1" s="638" t="s">
        <v>316</v>
      </c>
      <c r="AA1" s="636"/>
      <c r="AB1" s="636"/>
      <c r="AC1" s="636"/>
      <c r="AD1" s="639"/>
      <c r="AF1" s="638" t="s">
        <v>377</v>
      </c>
      <c r="AG1" s="636"/>
      <c r="AH1" s="636"/>
      <c r="AI1" s="636"/>
      <c r="AJ1" s="639"/>
    </row>
    <row r="2" spans="1:36" ht="43.5" customHeight="1">
      <c r="A2" s="274" t="s">
        <v>4</v>
      </c>
      <c r="B2" s="275" t="s">
        <v>3</v>
      </c>
      <c r="C2" s="275" t="s">
        <v>0</v>
      </c>
      <c r="D2" s="276" t="s">
        <v>64</v>
      </c>
      <c r="E2" s="438" t="s">
        <v>60</v>
      </c>
      <c r="G2" s="274" t="s">
        <v>4</v>
      </c>
      <c r="H2" s="278" t="s">
        <v>3</v>
      </c>
      <c r="I2" s="275" t="s">
        <v>0</v>
      </c>
      <c r="J2" s="275" t="s">
        <v>1</v>
      </c>
      <c r="K2" s="275" t="s">
        <v>60</v>
      </c>
      <c r="M2" s="274" t="s">
        <v>4</v>
      </c>
      <c r="N2" s="278" t="s">
        <v>3</v>
      </c>
      <c r="O2" s="275" t="s">
        <v>0</v>
      </c>
      <c r="P2" s="438" t="s">
        <v>1</v>
      </c>
      <c r="Q2" s="438" t="s">
        <v>60</v>
      </c>
      <c r="T2" s="274" t="s">
        <v>4</v>
      </c>
      <c r="U2" s="278" t="s">
        <v>3</v>
      </c>
      <c r="V2" s="275" t="s">
        <v>0</v>
      </c>
      <c r="W2" s="438" t="s">
        <v>1</v>
      </c>
      <c r="X2" s="438" t="s">
        <v>60</v>
      </c>
      <c r="Z2" s="274" t="s">
        <v>4</v>
      </c>
      <c r="AA2" s="278" t="s">
        <v>3</v>
      </c>
      <c r="AB2" s="275" t="s">
        <v>0</v>
      </c>
      <c r="AC2" s="438" t="s">
        <v>1</v>
      </c>
      <c r="AD2" s="438" t="s">
        <v>60</v>
      </c>
      <c r="AF2" s="274" t="s">
        <v>4</v>
      </c>
      <c r="AG2" s="278" t="s">
        <v>3</v>
      </c>
      <c r="AH2" s="275" t="s">
        <v>0</v>
      </c>
      <c r="AI2" s="438" t="s">
        <v>1</v>
      </c>
      <c r="AJ2" s="438" t="s">
        <v>60</v>
      </c>
    </row>
    <row r="3" spans="1:36" ht="54" customHeight="1">
      <c r="A3" s="157">
        <v>70</v>
      </c>
      <c r="B3" s="270" t="s">
        <v>351</v>
      </c>
      <c r="C3" s="156">
        <v>80</v>
      </c>
      <c r="D3" s="271">
        <v>80</v>
      </c>
      <c r="E3" s="156">
        <f>+SUM(C3-D3)</f>
        <v>0</v>
      </c>
      <c r="G3" s="157">
        <v>80</v>
      </c>
      <c r="H3" s="270" t="s">
        <v>368</v>
      </c>
      <c r="I3" s="156">
        <v>80</v>
      </c>
      <c r="J3" s="156">
        <v>8</v>
      </c>
      <c r="K3" s="156">
        <f t="shared" ref="K3:K16" si="0">SUM(I3-J3)</f>
        <v>72</v>
      </c>
      <c r="M3" s="157">
        <v>90</v>
      </c>
      <c r="N3" s="156" t="s">
        <v>370</v>
      </c>
      <c r="O3" s="156">
        <v>80</v>
      </c>
      <c r="P3" s="519">
        <v>80</v>
      </c>
      <c r="Q3" s="156">
        <f>SUM(O3-P3)</f>
        <v>0</v>
      </c>
      <c r="T3" s="157">
        <v>100</v>
      </c>
      <c r="U3" s="156" t="s">
        <v>372</v>
      </c>
      <c r="V3" s="156">
        <v>80</v>
      </c>
      <c r="W3" s="519">
        <v>80</v>
      </c>
      <c r="X3" s="156">
        <f>SUM(V3-W3)</f>
        <v>0</v>
      </c>
      <c r="Z3" s="157">
        <v>110</v>
      </c>
      <c r="AA3" s="156" t="s">
        <v>376</v>
      </c>
      <c r="AB3" s="156">
        <v>80</v>
      </c>
      <c r="AC3" s="519">
        <v>80</v>
      </c>
      <c r="AD3" s="156">
        <f>SUM(AB3-AC3)</f>
        <v>0</v>
      </c>
      <c r="AF3" s="157">
        <v>120</v>
      </c>
      <c r="AG3" s="156" t="s">
        <v>344</v>
      </c>
      <c r="AH3" s="156">
        <v>60</v>
      </c>
      <c r="AI3" s="519">
        <v>60</v>
      </c>
      <c r="AJ3" s="156">
        <f>SUM(AH3-AI3)</f>
        <v>0</v>
      </c>
    </row>
    <row r="4" spans="1:36" ht="57" customHeight="1">
      <c r="A4" s="157">
        <v>69</v>
      </c>
      <c r="B4" s="270" t="s">
        <v>351</v>
      </c>
      <c r="C4" s="156">
        <v>80</v>
      </c>
      <c r="D4" s="271">
        <v>0</v>
      </c>
      <c r="E4" s="156">
        <f>+SUM(C4-D4)</f>
        <v>80</v>
      </c>
      <c r="G4" s="157">
        <v>79</v>
      </c>
      <c r="H4" s="270" t="s">
        <v>368</v>
      </c>
      <c r="I4" s="156">
        <v>80</v>
      </c>
      <c r="J4" s="156">
        <v>0</v>
      </c>
      <c r="K4" s="156">
        <f t="shared" si="0"/>
        <v>80</v>
      </c>
      <c r="M4" s="318">
        <v>89</v>
      </c>
      <c r="N4" s="156" t="s">
        <v>370</v>
      </c>
      <c r="O4" s="156">
        <v>80</v>
      </c>
      <c r="P4" s="520">
        <v>80</v>
      </c>
      <c r="Q4" s="156">
        <f>SUM(O4-P4)</f>
        <v>0</v>
      </c>
      <c r="T4" s="157">
        <v>99</v>
      </c>
      <c r="U4" s="156" t="s">
        <v>372</v>
      </c>
      <c r="V4" s="156">
        <v>80</v>
      </c>
      <c r="W4" s="519">
        <v>80</v>
      </c>
      <c r="X4" s="156">
        <f>SUM(V4-W4)</f>
        <v>0</v>
      </c>
      <c r="Z4" s="157">
        <v>109</v>
      </c>
      <c r="AA4" s="156" t="s">
        <v>376</v>
      </c>
      <c r="AB4" s="156">
        <v>80</v>
      </c>
      <c r="AC4" s="519">
        <v>80</v>
      </c>
      <c r="AD4" s="156">
        <f>SUM(AB4-AC4)</f>
        <v>0</v>
      </c>
      <c r="AF4" s="157">
        <v>119</v>
      </c>
      <c r="AG4" s="156" t="s">
        <v>344</v>
      </c>
      <c r="AH4" s="156">
        <v>60</v>
      </c>
      <c r="AI4" s="519">
        <v>60</v>
      </c>
      <c r="AJ4" s="156">
        <f t="shared" ref="AJ4:AJ8" si="1">SUM(AH4-AI4)</f>
        <v>0</v>
      </c>
    </row>
    <row r="5" spans="1:36" ht="44.25" customHeight="1">
      <c r="A5" s="157">
        <v>68</v>
      </c>
      <c r="B5" s="270" t="s">
        <v>351</v>
      </c>
      <c r="C5" s="156">
        <v>80</v>
      </c>
      <c r="D5" s="271">
        <v>0</v>
      </c>
      <c r="E5" s="156">
        <f>+SUM(C5-D5)</f>
        <v>80</v>
      </c>
      <c r="G5" s="158" t="s">
        <v>83</v>
      </c>
      <c r="H5" s="151">
        <f>+J5*32</f>
        <v>256</v>
      </c>
      <c r="I5" s="152">
        <f>SUM(I3:I4)</f>
        <v>160</v>
      </c>
      <c r="J5" s="156">
        <f>SUM(J3:J4)</f>
        <v>8</v>
      </c>
      <c r="K5" s="152">
        <f>SUM(K3:K4)</f>
        <v>152</v>
      </c>
      <c r="M5" s="273">
        <v>88</v>
      </c>
      <c r="N5" s="156" t="s">
        <v>370</v>
      </c>
      <c r="O5" s="156">
        <v>80</v>
      </c>
      <c r="P5" s="521">
        <v>80</v>
      </c>
      <c r="Q5" s="156">
        <f>SUM(O5-P5)</f>
        <v>0</v>
      </c>
      <c r="T5" s="318">
        <v>98</v>
      </c>
      <c r="U5" s="156" t="s">
        <v>372</v>
      </c>
      <c r="V5" s="156">
        <v>80</v>
      </c>
      <c r="W5" s="520">
        <v>80</v>
      </c>
      <c r="X5" s="156">
        <f>SUM(V5-W5)</f>
        <v>0</v>
      </c>
      <c r="Z5" s="157">
        <v>108</v>
      </c>
      <c r="AA5" s="156" t="s">
        <v>376</v>
      </c>
      <c r="AB5" s="156">
        <v>80</v>
      </c>
      <c r="AC5" s="519">
        <v>80</v>
      </c>
      <c r="AD5" s="156">
        <f>SUM(AB5-AC5)</f>
        <v>0</v>
      </c>
      <c r="AF5" s="157">
        <v>118</v>
      </c>
      <c r="AG5" s="156" t="s">
        <v>344</v>
      </c>
      <c r="AH5" s="156">
        <v>60</v>
      </c>
      <c r="AI5" s="519">
        <v>60</v>
      </c>
      <c r="AJ5" s="156">
        <f t="shared" si="1"/>
        <v>0</v>
      </c>
    </row>
    <row r="6" spans="1:36" ht="53.25" customHeight="1">
      <c r="A6" s="157">
        <v>67</v>
      </c>
      <c r="B6" s="270" t="s">
        <v>351</v>
      </c>
      <c r="C6" s="156">
        <v>80</v>
      </c>
      <c r="D6" s="271">
        <v>63</v>
      </c>
      <c r="E6" s="156">
        <f>+SUM(C6-D6)</f>
        <v>17</v>
      </c>
      <c r="G6" s="625" t="s">
        <v>84</v>
      </c>
      <c r="H6" s="626"/>
      <c r="I6" s="622">
        <f>+H5/6</f>
        <v>42.666666666666664</v>
      </c>
      <c r="J6" s="623"/>
      <c r="K6" s="624"/>
      <c r="M6" s="273">
        <v>87</v>
      </c>
      <c r="N6" s="156" t="s">
        <v>370</v>
      </c>
      <c r="O6" s="156">
        <v>80</v>
      </c>
      <c r="P6" s="521">
        <v>80</v>
      </c>
      <c r="Q6" s="156">
        <v>0</v>
      </c>
      <c r="T6" s="273">
        <v>97</v>
      </c>
      <c r="U6" s="156" t="s">
        <v>372</v>
      </c>
      <c r="V6" s="156">
        <v>80</v>
      </c>
      <c r="W6" s="521">
        <v>80</v>
      </c>
      <c r="X6" s="156">
        <f>SUM(V6-W6)</f>
        <v>0</v>
      </c>
      <c r="Z6" s="532" t="s">
        <v>83</v>
      </c>
      <c r="AA6" s="533">
        <f>AC6*32</f>
        <v>7680</v>
      </c>
      <c r="AB6" s="151">
        <f>SUM(AB3:AB5)</f>
        <v>240</v>
      </c>
      <c r="AC6" s="152">
        <f>SUM(AC3:AC5)</f>
        <v>240</v>
      </c>
      <c r="AD6" s="369">
        <f>SUM(AD3:AD5)</f>
        <v>0</v>
      </c>
      <c r="AF6" s="530">
        <v>117</v>
      </c>
      <c r="AG6" s="156" t="s">
        <v>344</v>
      </c>
      <c r="AH6" s="530">
        <v>60</v>
      </c>
      <c r="AI6" s="530">
        <v>60</v>
      </c>
      <c r="AJ6" s="156">
        <f t="shared" si="1"/>
        <v>0</v>
      </c>
    </row>
    <row r="7" spans="1:36" ht="58.5" customHeight="1">
      <c r="A7" s="157">
        <v>66</v>
      </c>
      <c r="B7" s="270" t="s">
        <v>351</v>
      </c>
      <c r="C7" s="156">
        <v>80</v>
      </c>
      <c r="D7" s="271">
        <v>80</v>
      </c>
      <c r="E7" s="156">
        <f t="shared" ref="E7" si="2">+SUM(C7-D7)</f>
        <v>0</v>
      </c>
      <c r="G7" s="317">
        <v>78</v>
      </c>
      <c r="H7" s="270" t="s">
        <v>355</v>
      </c>
      <c r="I7" s="156">
        <v>80</v>
      </c>
      <c r="J7" s="156">
        <v>0</v>
      </c>
      <c r="K7" s="156">
        <f>SUM(I7-J7)</f>
        <v>80</v>
      </c>
      <c r="M7" s="157">
        <v>86</v>
      </c>
      <c r="N7" s="156" t="s">
        <v>370</v>
      </c>
      <c r="O7" s="156">
        <v>80</v>
      </c>
      <c r="P7" s="521">
        <v>80</v>
      </c>
      <c r="Q7" s="156">
        <f>SUM(O7-P7)</f>
        <v>0</v>
      </c>
      <c r="T7" s="157">
        <v>96</v>
      </c>
      <c r="U7" s="156" t="s">
        <v>372</v>
      </c>
      <c r="V7" s="156">
        <v>80</v>
      </c>
      <c r="W7" s="521">
        <v>80</v>
      </c>
      <c r="X7" s="156">
        <f>SUM(V7-W7)</f>
        <v>0</v>
      </c>
      <c r="Y7" s="528"/>
      <c r="Z7" s="642" t="s">
        <v>84</v>
      </c>
      <c r="AA7" s="642"/>
      <c r="AB7" s="642"/>
      <c r="AC7" s="648">
        <f>AA6/4</f>
        <v>1920</v>
      </c>
      <c r="AD7" s="649"/>
      <c r="AF7" s="530">
        <v>116</v>
      </c>
      <c r="AG7" s="156" t="s">
        <v>344</v>
      </c>
      <c r="AH7" s="531">
        <v>60</v>
      </c>
      <c r="AI7" s="531">
        <v>60</v>
      </c>
      <c r="AJ7" s="156">
        <f t="shared" si="1"/>
        <v>0</v>
      </c>
    </row>
    <row r="8" spans="1:36" ht="48" customHeight="1">
      <c r="A8" s="158" t="s">
        <v>83</v>
      </c>
      <c r="B8" s="151">
        <f>+D8*32</f>
        <v>7136</v>
      </c>
      <c r="C8" s="152">
        <f>SUM(C3:C7)</f>
        <v>400</v>
      </c>
      <c r="D8" s="156">
        <f>SUM(D3:D7)</f>
        <v>223</v>
      </c>
      <c r="E8" s="152">
        <f>SUM(E4:E7)</f>
        <v>177</v>
      </c>
      <c r="G8" s="273">
        <v>77</v>
      </c>
      <c r="H8" s="270" t="s">
        <v>355</v>
      </c>
      <c r="I8" s="156">
        <v>80</v>
      </c>
      <c r="J8" s="156">
        <v>0</v>
      </c>
      <c r="K8" s="156">
        <f>SUM(I8-J8)</f>
        <v>80</v>
      </c>
      <c r="M8" s="157">
        <v>85</v>
      </c>
      <c r="N8" s="156" t="s">
        <v>370</v>
      </c>
      <c r="O8" s="156">
        <v>80</v>
      </c>
      <c r="P8" s="521">
        <v>71</v>
      </c>
      <c r="Q8" s="156">
        <f>SUM(O8-P8)</f>
        <v>9</v>
      </c>
      <c r="T8" s="532" t="s">
        <v>83</v>
      </c>
      <c r="U8" s="533">
        <f>W8*32</f>
        <v>12800</v>
      </c>
      <c r="V8" s="151">
        <f>SUM(V3:V7)</f>
        <v>400</v>
      </c>
      <c r="W8" s="152">
        <f>SUM(W3:W7)</f>
        <v>400</v>
      </c>
      <c r="X8" s="369">
        <f>SUM(X3:X7)</f>
        <v>0</v>
      </c>
      <c r="Z8" s="273">
        <v>107</v>
      </c>
      <c r="AA8" s="156" t="s">
        <v>375</v>
      </c>
      <c r="AB8" s="156">
        <v>80</v>
      </c>
      <c r="AC8" s="521">
        <v>80</v>
      </c>
      <c r="AD8" s="156">
        <f>SUM(AB8-AC8)</f>
        <v>0</v>
      </c>
      <c r="AF8" s="530">
        <v>115</v>
      </c>
      <c r="AG8" s="156" t="s">
        <v>344</v>
      </c>
      <c r="AH8" s="531">
        <v>60</v>
      </c>
      <c r="AI8" s="531">
        <v>60</v>
      </c>
      <c r="AJ8" s="156">
        <f t="shared" si="1"/>
        <v>0</v>
      </c>
    </row>
    <row r="9" spans="1:36" ht="57.75" customHeight="1">
      <c r="A9" s="625" t="s">
        <v>84</v>
      </c>
      <c r="B9" s="626"/>
      <c r="C9" s="622">
        <f>+B8/6</f>
        <v>1189.3333333333333</v>
      </c>
      <c r="D9" s="623"/>
      <c r="E9" s="624"/>
      <c r="G9" s="273">
        <v>76</v>
      </c>
      <c r="H9" s="270" t="s">
        <v>355</v>
      </c>
      <c r="I9" s="156">
        <v>80</v>
      </c>
      <c r="J9" s="156">
        <v>0</v>
      </c>
      <c r="K9" s="156">
        <f t="shared" si="0"/>
        <v>80</v>
      </c>
      <c r="M9" s="476" t="s">
        <v>83</v>
      </c>
      <c r="N9" s="151">
        <f>+P9*32</f>
        <v>15072</v>
      </c>
      <c r="O9" s="152">
        <f>SUM(O3:O8)</f>
        <v>480</v>
      </c>
      <c r="P9" s="152">
        <f>SUM(P3:P8)</f>
        <v>471</v>
      </c>
      <c r="Q9" s="152">
        <f>SUM(Q3:Q8)</f>
        <v>9</v>
      </c>
      <c r="T9" s="642" t="s">
        <v>84</v>
      </c>
      <c r="U9" s="642"/>
      <c r="V9" s="642"/>
      <c r="W9" s="648">
        <f>U8/4</f>
        <v>3200</v>
      </c>
      <c r="X9" s="649"/>
      <c r="Y9" s="495"/>
      <c r="Z9" s="157">
        <v>106</v>
      </c>
      <c r="AA9" s="156" t="s">
        <v>375</v>
      </c>
      <c r="AB9" s="156">
        <v>80</v>
      </c>
      <c r="AC9" s="521">
        <v>80</v>
      </c>
      <c r="AD9" s="156">
        <f>SUM(AB9-AC9)</f>
        <v>0</v>
      </c>
      <c r="AF9" s="537" t="s">
        <v>83</v>
      </c>
      <c r="AG9" s="533">
        <f>AI9*32</f>
        <v>11520</v>
      </c>
      <c r="AH9" s="151">
        <f>SUM(AH3:AH8)</f>
        <v>360</v>
      </c>
      <c r="AI9" s="152">
        <f>SUM(AI3:AI8)</f>
        <v>360</v>
      </c>
      <c r="AJ9" s="369">
        <f>SUM(AJ3:AJ8)</f>
        <v>0</v>
      </c>
    </row>
    <row r="10" spans="1:36" ht="64.5" customHeight="1">
      <c r="A10" s="157">
        <v>65</v>
      </c>
      <c r="B10" s="270" t="s">
        <v>350</v>
      </c>
      <c r="C10" s="156">
        <v>80</v>
      </c>
      <c r="D10" s="581">
        <v>0</v>
      </c>
      <c r="E10" s="156">
        <f>+SUM(C10-D10)</f>
        <v>80</v>
      </c>
      <c r="G10" s="157">
        <v>75</v>
      </c>
      <c r="H10" s="270" t="s">
        <v>355</v>
      </c>
      <c r="I10" s="156">
        <v>80</v>
      </c>
      <c r="J10" s="156">
        <v>0</v>
      </c>
      <c r="K10" s="156">
        <f t="shared" si="0"/>
        <v>80</v>
      </c>
      <c r="M10" s="647" t="s">
        <v>84</v>
      </c>
      <c r="N10" s="626"/>
      <c r="O10" s="648">
        <f>+N9/4</f>
        <v>3768</v>
      </c>
      <c r="P10" s="653"/>
      <c r="Q10" s="649"/>
      <c r="T10" s="157">
        <v>95</v>
      </c>
      <c r="U10" s="156" t="s">
        <v>371</v>
      </c>
      <c r="V10" s="156">
        <v>80</v>
      </c>
      <c r="W10" s="521">
        <v>80</v>
      </c>
      <c r="X10" s="156">
        <f>SUM(V10-W10)</f>
        <v>0</v>
      </c>
      <c r="Y10" s="496"/>
      <c r="Z10" s="532" t="s">
        <v>83</v>
      </c>
      <c r="AA10" s="533">
        <f>AC10*32</f>
        <v>5120</v>
      </c>
      <c r="AB10" s="151">
        <f>SUM(AB8:AB9)</f>
        <v>160</v>
      </c>
      <c r="AC10" s="152">
        <f>SUM(AC8:AC9)</f>
        <v>160</v>
      </c>
      <c r="AD10" s="369">
        <f>SUM(AD8:AD9)</f>
        <v>0</v>
      </c>
      <c r="AE10" s="650" t="s">
        <v>84</v>
      </c>
      <c r="AF10" s="651"/>
      <c r="AG10" s="651"/>
      <c r="AH10" s="511"/>
      <c r="AI10" s="648">
        <f>AG9/4</f>
        <v>2880</v>
      </c>
      <c r="AJ10" s="649"/>
    </row>
    <row r="11" spans="1:36" ht="56.25" customHeight="1">
      <c r="A11" s="157">
        <v>64</v>
      </c>
      <c r="B11" s="270" t="s">
        <v>350</v>
      </c>
      <c r="C11" s="156">
        <v>80</v>
      </c>
      <c r="D11" s="271">
        <v>0</v>
      </c>
      <c r="E11" s="156">
        <f>+SUM(C11-D11)</f>
        <v>80</v>
      </c>
      <c r="G11" s="157">
        <v>74</v>
      </c>
      <c r="H11" s="270" t="s">
        <v>355</v>
      </c>
      <c r="I11" s="156">
        <v>80</v>
      </c>
      <c r="J11" s="280">
        <v>0</v>
      </c>
      <c r="K11" s="156">
        <f t="shared" si="0"/>
        <v>80</v>
      </c>
      <c r="M11" s="273">
        <v>84</v>
      </c>
      <c r="N11" s="156" t="s">
        <v>369</v>
      </c>
      <c r="O11" s="156">
        <v>80</v>
      </c>
      <c r="P11" s="156">
        <v>80</v>
      </c>
      <c r="Q11" s="156">
        <f>SUM(O11-P11)</f>
        <v>0</v>
      </c>
      <c r="T11" s="273">
        <v>94</v>
      </c>
      <c r="U11" s="156" t="s">
        <v>371</v>
      </c>
      <c r="V11" s="156">
        <v>80</v>
      </c>
      <c r="W11" s="156">
        <v>80</v>
      </c>
      <c r="X11" s="156">
        <f>SUM(V11-W11)</f>
        <v>0</v>
      </c>
      <c r="Z11" s="642" t="s">
        <v>84</v>
      </c>
      <c r="AA11" s="642"/>
      <c r="AB11" s="642"/>
      <c r="AC11" s="648">
        <f>AA10/4</f>
        <v>1280</v>
      </c>
      <c r="AD11" s="649"/>
      <c r="AF11" s="273">
        <v>114</v>
      </c>
      <c r="AG11" s="156" t="s">
        <v>379</v>
      </c>
      <c r="AH11" s="156">
        <v>80</v>
      </c>
      <c r="AI11" s="156">
        <v>80</v>
      </c>
      <c r="AJ11" s="156">
        <f>SUM(AH11-AI11)</f>
        <v>0</v>
      </c>
    </row>
    <row r="12" spans="1:36" ht="57" customHeight="1">
      <c r="A12" s="157">
        <v>63</v>
      </c>
      <c r="B12" s="270" t="s">
        <v>350</v>
      </c>
      <c r="C12" s="156">
        <v>80</v>
      </c>
      <c r="D12" s="271">
        <v>0</v>
      </c>
      <c r="E12" s="156">
        <f>+SUM(C12-D12)</f>
        <v>80</v>
      </c>
      <c r="G12" s="158" t="s">
        <v>83</v>
      </c>
      <c r="H12" s="151">
        <f>+J12*32</f>
        <v>0</v>
      </c>
      <c r="I12" s="152">
        <f>SUM(I7:I11)</f>
        <v>400</v>
      </c>
      <c r="J12" s="156">
        <f>SUM(J7:J11)</f>
        <v>0</v>
      </c>
      <c r="K12" s="152">
        <f>SUM(K7:K11)</f>
        <v>400</v>
      </c>
      <c r="M12" s="273">
        <v>83</v>
      </c>
      <c r="N12" s="156" t="s">
        <v>369</v>
      </c>
      <c r="O12" s="156">
        <v>80</v>
      </c>
      <c r="P12" s="156">
        <v>40</v>
      </c>
      <c r="Q12" s="156">
        <f>SUM(O12-P12)</f>
        <v>40</v>
      </c>
      <c r="T12" s="273">
        <v>93</v>
      </c>
      <c r="U12" s="156" t="s">
        <v>371</v>
      </c>
      <c r="V12" s="156">
        <v>80</v>
      </c>
      <c r="W12" s="156">
        <v>80</v>
      </c>
      <c r="X12" s="156">
        <f>SUM(V12-W12)</f>
        <v>0</v>
      </c>
      <c r="Z12" s="157">
        <v>105</v>
      </c>
      <c r="AA12" s="156" t="s">
        <v>374</v>
      </c>
      <c r="AB12" s="156">
        <v>80</v>
      </c>
      <c r="AC12" s="521">
        <v>80</v>
      </c>
      <c r="AD12" s="156">
        <f>SUM(AB12-AC12)</f>
        <v>0</v>
      </c>
      <c r="AF12" s="273">
        <v>113</v>
      </c>
      <c r="AG12" s="156" t="s">
        <v>379</v>
      </c>
      <c r="AH12" s="156">
        <v>80</v>
      </c>
      <c r="AI12" s="156">
        <v>80</v>
      </c>
      <c r="AJ12" s="156">
        <f>SUM(AH12-AI12)</f>
        <v>0</v>
      </c>
    </row>
    <row r="13" spans="1:36" ht="72.75" customHeight="1">
      <c r="A13" s="157">
        <v>62</v>
      </c>
      <c r="B13" s="270" t="s">
        <v>350</v>
      </c>
      <c r="C13" s="156">
        <v>80</v>
      </c>
      <c r="D13" s="271">
        <v>0</v>
      </c>
      <c r="E13" s="156">
        <f>+SUM(C13-D13)</f>
        <v>80</v>
      </c>
      <c r="G13" s="625" t="s">
        <v>84</v>
      </c>
      <c r="H13" s="626"/>
      <c r="I13" s="622">
        <f>+H12/6</f>
        <v>0</v>
      </c>
      <c r="J13" s="623"/>
      <c r="K13" s="624"/>
      <c r="M13" s="279" t="s">
        <v>83</v>
      </c>
      <c r="N13" s="151">
        <f>+P13*32</f>
        <v>3840</v>
      </c>
      <c r="O13" s="152">
        <f>SUM(O11:O12)</f>
        <v>160</v>
      </c>
      <c r="P13" s="152">
        <f>SUM(P11:P12)</f>
        <v>120</v>
      </c>
      <c r="Q13" s="152">
        <f>SUM(Q11:Q12)</f>
        <v>40</v>
      </c>
      <c r="T13" s="318">
        <v>92</v>
      </c>
      <c r="U13" s="156" t="s">
        <v>371</v>
      </c>
      <c r="V13" s="156">
        <v>80</v>
      </c>
      <c r="W13" s="367">
        <v>80</v>
      </c>
      <c r="X13" s="156">
        <f>SUM(V13-W13)</f>
        <v>0</v>
      </c>
      <c r="Z13" s="273">
        <v>104</v>
      </c>
      <c r="AA13" s="156" t="s">
        <v>374</v>
      </c>
      <c r="AB13" s="156">
        <v>80</v>
      </c>
      <c r="AC13" s="156">
        <v>80</v>
      </c>
      <c r="AD13" s="156">
        <f>SUM(AB13-AC13)</f>
        <v>0</v>
      </c>
      <c r="AF13" s="537" t="s">
        <v>83</v>
      </c>
      <c r="AG13" s="533">
        <f>AI13*32</f>
        <v>5120</v>
      </c>
      <c r="AH13" s="151">
        <f>SUM(AH11:AH12)</f>
        <v>160</v>
      </c>
      <c r="AI13" s="152">
        <f>SUM(AI11:AI12)</f>
        <v>160</v>
      </c>
      <c r="AJ13" s="369">
        <f>SUM(AJ11:AJ12)</f>
        <v>0</v>
      </c>
    </row>
    <row r="14" spans="1:36" ht="75" customHeight="1">
      <c r="A14" s="157">
        <v>61</v>
      </c>
      <c r="B14" s="270" t="s">
        <v>350</v>
      </c>
      <c r="C14" s="156">
        <v>80</v>
      </c>
      <c r="D14" s="271">
        <v>23</v>
      </c>
      <c r="E14" s="156">
        <f>+SUM(C14-D14)</f>
        <v>57</v>
      </c>
      <c r="G14" s="157">
        <v>73</v>
      </c>
      <c r="H14" s="270" t="s">
        <v>367</v>
      </c>
      <c r="I14" s="156">
        <v>80</v>
      </c>
      <c r="J14" s="280">
        <v>27</v>
      </c>
      <c r="K14" s="156">
        <f>SUM(I14-J14)</f>
        <v>53</v>
      </c>
      <c r="M14" s="647" t="s">
        <v>84</v>
      </c>
      <c r="N14" s="626"/>
      <c r="O14" s="648">
        <f>+N13/6</f>
        <v>640</v>
      </c>
      <c r="P14" s="653"/>
      <c r="Q14" s="649"/>
      <c r="T14" s="273">
        <v>91</v>
      </c>
      <c r="U14" s="156" t="s">
        <v>371</v>
      </c>
      <c r="V14" s="156">
        <v>80</v>
      </c>
      <c r="W14" s="368">
        <v>80</v>
      </c>
      <c r="X14" s="156">
        <f>SUM(V14-W14)</f>
        <v>0</v>
      </c>
      <c r="Z14" s="273">
        <v>103</v>
      </c>
      <c r="AA14" s="156" t="s">
        <v>374</v>
      </c>
      <c r="AB14" s="156">
        <v>80</v>
      </c>
      <c r="AC14" s="156">
        <v>80</v>
      </c>
      <c r="AD14" s="156">
        <f>SUM(AB14-AC14)</f>
        <v>0</v>
      </c>
      <c r="AE14" s="152"/>
      <c r="AF14" s="539" t="s">
        <v>84</v>
      </c>
      <c r="AG14" s="512"/>
      <c r="AH14" s="511"/>
      <c r="AI14" s="648">
        <f>AG13/4</f>
        <v>1280</v>
      </c>
      <c r="AJ14" s="649"/>
    </row>
    <row r="15" spans="1:36" ht="47.25" customHeight="1">
      <c r="A15" s="279" t="s">
        <v>83</v>
      </c>
      <c r="B15" s="151">
        <f>+D15*32</f>
        <v>736</v>
      </c>
      <c r="C15" s="152">
        <f>SUM(C10:C14)</f>
        <v>400</v>
      </c>
      <c r="D15" s="582">
        <f>SUM(D10:D14)</f>
        <v>23</v>
      </c>
      <c r="E15" s="152">
        <f>SUM(E10:E14)</f>
        <v>377</v>
      </c>
      <c r="G15" s="157">
        <v>72</v>
      </c>
      <c r="H15" s="270" t="s">
        <v>367</v>
      </c>
      <c r="I15" s="156">
        <v>80</v>
      </c>
      <c r="J15" s="280">
        <v>0</v>
      </c>
      <c r="K15" s="156">
        <f>SUM(I15-J15)</f>
        <v>80</v>
      </c>
      <c r="M15" s="318">
        <v>82</v>
      </c>
      <c r="N15" s="156" t="s">
        <v>353</v>
      </c>
      <c r="O15" s="156">
        <v>80</v>
      </c>
      <c r="P15" s="367">
        <v>0</v>
      </c>
      <c r="Q15" s="156">
        <f>SUM(O15-P15)</f>
        <v>80</v>
      </c>
      <c r="T15" s="279" t="s">
        <v>83</v>
      </c>
      <c r="U15" s="151">
        <f>+W15*32</f>
        <v>12800</v>
      </c>
      <c r="V15" s="152">
        <f>SUM(V10:V14)</f>
        <v>400</v>
      </c>
      <c r="W15" s="534">
        <f>SUM(W10:W14)</f>
        <v>400</v>
      </c>
      <c r="X15" s="152">
        <f>SUM(X10:X14)</f>
        <v>0</v>
      </c>
      <c r="Y15" s="527"/>
      <c r="Z15" s="532" t="s">
        <v>83</v>
      </c>
      <c r="AA15" s="533">
        <f>AC15*32</f>
        <v>7680</v>
      </c>
      <c r="AB15" s="151">
        <f>SUM(AB12:AB14)</f>
        <v>240</v>
      </c>
      <c r="AC15" s="535">
        <f>SUM(AC12:AC14)</f>
        <v>240</v>
      </c>
      <c r="AD15" s="369">
        <f>SUM(AD12:AD14)</f>
        <v>0</v>
      </c>
      <c r="AE15" s="526"/>
      <c r="AF15" s="273">
        <v>112</v>
      </c>
      <c r="AG15" s="156" t="s">
        <v>378</v>
      </c>
      <c r="AH15" s="156">
        <v>80</v>
      </c>
      <c r="AI15" s="367">
        <v>80</v>
      </c>
      <c r="AJ15" s="156">
        <f>SUM(AH15-AI15)</f>
        <v>0</v>
      </c>
    </row>
    <row r="16" spans="1:36" ht="60" customHeight="1" thickBot="1">
      <c r="A16" s="640" t="s">
        <v>84</v>
      </c>
      <c r="B16" s="641"/>
      <c r="C16" s="644">
        <f>+B15/6</f>
        <v>122.66666666666667</v>
      </c>
      <c r="D16" s="645"/>
      <c r="E16" s="646"/>
      <c r="G16" s="157">
        <v>71</v>
      </c>
      <c r="H16" s="270" t="s">
        <v>367</v>
      </c>
      <c r="I16" s="156">
        <v>80</v>
      </c>
      <c r="J16" s="156">
        <v>0</v>
      </c>
      <c r="K16" s="156">
        <f t="shared" si="0"/>
        <v>80</v>
      </c>
      <c r="M16" s="273">
        <v>81</v>
      </c>
      <c r="N16" s="156" t="s">
        <v>353</v>
      </c>
      <c r="O16" s="156">
        <v>80</v>
      </c>
      <c r="P16" s="368">
        <v>0</v>
      </c>
      <c r="Q16" s="156">
        <f>SUM(O16-P16)</f>
        <v>80</v>
      </c>
      <c r="T16" s="652" t="s">
        <v>84</v>
      </c>
      <c r="U16" s="626"/>
      <c r="V16" s="648">
        <f>+U15/4</f>
        <v>3200</v>
      </c>
      <c r="W16" s="653"/>
      <c r="X16" s="649"/>
      <c r="Z16" s="642" t="s">
        <v>84</v>
      </c>
      <c r="AA16" s="642"/>
      <c r="AB16" s="642"/>
      <c r="AC16" s="648">
        <f>AA15/4</f>
        <v>1920</v>
      </c>
      <c r="AD16" s="649"/>
      <c r="AF16" s="273">
        <v>111</v>
      </c>
      <c r="AG16" s="156" t="s">
        <v>378</v>
      </c>
      <c r="AH16" s="156">
        <v>80</v>
      </c>
      <c r="AI16" s="368">
        <v>80</v>
      </c>
      <c r="AJ16" s="156">
        <f>SUM(AH16-AI16)</f>
        <v>0</v>
      </c>
    </row>
    <row r="17" spans="7:36" ht="43.5" customHeight="1" thickBot="1">
      <c r="G17" s="279" t="s">
        <v>83</v>
      </c>
      <c r="H17" s="151">
        <f>+J17*32</f>
        <v>864</v>
      </c>
      <c r="I17" s="152">
        <f>SUM(I14:I16)</f>
        <v>240</v>
      </c>
      <c r="J17" s="152">
        <f>SUM(J14:J16)</f>
        <v>27</v>
      </c>
      <c r="K17" s="152">
        <f>SUM(K14:K16)</f>
        <v>213</v>
      </c>
      <c r="M17" s="279" t="s">
        <v>83</v>
      </c>
      <c r="N17" s="151">
        <f>+P17*32</f>
        <v>0</v>
      </c>
      <c r="O17" s="152">
        <f>SUM(O15:O16)</f>
        <v>160</v>
      </c>
      <c r="P17" s="369">
        <f>SUM(P15:P16)</f>
        <v>0</v>
      </c>
      <c r="Q17" s="152">
        <f>SUM(Q15:Q16)</f>
        <v>160</v>
      </c>
      <c r="S17" s="583"/>
      <c r="Y17" s="513"/>
      <c r="Z17" s="318">
        <v>102</v>
      </c>
      <c r="AA17" s="156" t="s">
        <v>373</v>
      </c>
      <c r="AB17" s="156">
        <v>80</v>
      </c>
      <c r="AC17" s="367">
        <v>80</v>
      </c>
      <c r="AD17" s="156">
        <f>SUM(AB17-AC17)</f>
        <v>0</v>
      </c>
      <c r="AF17" s="537" t="s">
        <v>83</v>
      </c>
      <c r="AG17" s="533">
        <f>AI17*32</f>
        <v>5120</v>
      </c>
      <c r="AH17" s="151">
        <f>SUM(AH15:AH16)</f>
        <v>160</v>
      </c>
      <c r="AI17" s="152">
        <f>SUM(AI15:AI16)</f>
        <v>160</v>
      </c>
      <c r="AJ17" s="369">
        <f>SUM(AJ15:AJ16)</f>
        <v>0</v>
      </c>
    </row>
    <row r="18" spans="7:36" ht="43.5" customHeight="1" thickBot="1">
      <c r="G18" s="642" t="s">
        <v>84</v>
      </c>
      <c r="H18" s="642"/>
      <c r="I18" s="643">
        <f>+H17/6</f>
        <v>144</v>
      </c>
      <c r="J18" s="643"/>
      <c r="K18" s="643"/>
      <c r="M18" s="640" t="s">
        <v>84</v>
      </c>
      <c r="N18" s="641"/>
      <c r="O18" s="643">
        <f>+N17/6</f>
        <v>0</v>
      </c>
      <c r="P18" s="643"/>
      <c r="Q18" s="643"/>
      <c r="Z18" s="273">
        <v>101</v>
      </c>
      <c r="AA18" s="156" t="s">
        <v>373</v>
      </c>
      <c r="AB18" s="156">
        <v>80</v>
      </c>
      <c r="AC18" s="368">
        <v>80</v>
      </c>
      <c r="AD18" s="156">
        <f>SUM(AB18-AC18)</f>
        <v>0</v>
      </c>
      <c r="AE18" s="152"/>
      <c r="AF18" s="647" t="s">
        <v>84</v>
      </c>
      <c r="AG18" s="652"/>
      <c r="AH18" s="511"/>
      <c r="AI18" s="648">
        <f>AG17/4</f>
        <v>1280</v>
      </c>
      <c r="AJ18" s="649"/>
    </row>
    <row r="19" spans="7:36" ht="54.75" customHeight="1">
      <c r="K19" s="167"/>
      <c r="Z19" s="532" t="s">
        <v>83</v>
      </c>
      <c r="AA19" s="533">
        <f>AC19*32</f>
        <v>5120</v>
      </c>
      <c r="AB19" s="151">
        <f>SUM(AB17:AB18)</f>
        <v>160</v>
      </c>
      <c r="AC19" s="152">
        <f>SUM(AC17:AC18)</f>
        <v>160</v>
      </c>
      <c r="AD19" s="369">
        <f>SUM(AD17:AD18)</f>
        <v>0</v>
      </c>
      <c r="AE19" s="281"/>
    </row>
    <row r="20" spans="7:36" ht="36" customHeight="1">
      <c r="K20" s="167"/>
      <c r="T20" s="318"/>
      <c r="U20" s="318"/>
      <c r="V20" s="273"/>
      <c r="W20" s="273"/>
      <c r="X20" s="273"/>
      <c r="Z20" s="642" t="s">
        <v>84</v>
      </c>
      <c r="AA20" s="642"/>
      <c r="AB20" s="642"/>
      <c r="AC20" s="648">
        <f>AA19/4</f>
        <v>1280</v>
      </c>
      <c r="AD20" s="649"/>
    </row>
    <row r="21" spans="7:36" ht="39" customHeight="1">
      <c r="K21" s="167"/>
      <c r="M21" s="318"/>
      <c r="N21" s="318"/>
      <c r="O21" s="273"/>
      <c r="P21" s="273"/>
      <c r="Q21" s="273"/>
    </row>
    <row r="22" spans="7:36">
      <c r="K22" s="167"/>
    </row>
    <row r="23" spans="7:36">
      <c r="K23" s="167"/>
    </row>
    <row r="24" spans="7:36">
      <c r="Z24" s="318"/>
      <c r="AA24" s="318"/>
      <c r="AB24" s="273"/>
      <c r="AC24" s="273"/>
      <c r="AD24" s="273"/>
    </row>
    <row r="25" spans="7:36">
      <c r="AF25" s="273"/>
      <c r="AG25" s="318"/>
      <c r="AH25" s="273"/>
      <c r="AI25" s="273"/>
      <c r="AJ25" s="273"/>
    </row>
  </sheetData>
  <mergeCells count="39">
    <mergeCell ref="O18:Q18"/>
    <mergeCell ref="O14:Q14"/>
    <mergeCell ref="Z1:AD1"/>
    <mergeCell ref="Z16:AB16"/>
    <mergeCell ref="W9:X9"/>
    <mergeCell ref="V16:X16"/>
    <mergeCell ref="AC16:AD16"/>
    <mergeCell ref="AC11:AD11"/>
    <mergeCell ref="AC7:AD7"/>
    <mergeCell ref="T1:X1"/>
    <mergeCell ref="T9:V9"/>
    <mergeCell ref="T16:U16"/>
    <mergeCell ref="O10:Q10"/>
    <mergeCell ref="Z20:AB20"/>
    <mergeCell ref="AF1:AJ1"/>
    <mergeCell ref="Z7:AB7"/>
    <mergeCell ref="Z11:AB11"/>
    <mergeCell ref="AC20:AD20"/>
    <mergeCell ref="AI18:AJ18"/>
    <mergeCell ref="AI14:AJ14"/>
    <mergeCell ref="AI10:AJ10"/>
    <mergeCell ref="AE10:AG10"/>
    <mergeCell ref="AF18:AG18"/>
    <mergeCell ref="A1:E1"/>
    <mergeCell ref="G1:K1"/>
    <mergeCell ref="M1:Q1"/>
    <mergeCell ref="C9:E9"/>
    <mergeCell ref="M18:N18"/>
    <mergeCell ref="A16:B16"/>
    <mergeCell ref="I6:K6"/>
    <mergeCell ref="G18:H18"/>
    <mergeCell ref="A9:B9"/>
    <mergeCell ref="G6:H6"/>
    <mergeCell ref="G13:H13"/>
    <mergeCell ref="I18:K18"/>
    <mergeCell ref="I13:K13"/>
    <mergeCell ref="C16:E16"/>
    <mergeCell ref="M14:N14"/>
    <mergeCell ref="M10:N10"/>
  </mergeCells>
  <pageMargins left="0" right="0" top="0" bottom="0" header="0" footer="0"/>
  <pageSetup scale="85" orientation="portrait" horizontalDpi="300" verticalDpi="300" r:id="rId1"/>
  <colBreaks count="1" manualBreakCount="1">
    <brk id="12" max="17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L22"/>
  <sheetViews>
    <sheetView view="pageBreakPreview" topLeftCell="A7" zoomScale="60" workbookViewId="0">
      <selection activeCell="I7" sqref="I7"/>
    </sheetView>
  </sheetViews>
  <sheetFormatPr defaultRowHeight="20.100000000000001" customHeight="1"/>
  <cols>
    <col min="1" max="1" width="19.140625" style="538" customWidth="1"/>
    <col min="2" max="2" width="71.42578125" style="16" customWidth="1"/>
    <col min="3" max="3" width="26.28515625" style="16" customWidth="1"/>
    <col min="4" max="4" width="19.85546875" style="16" customWidth="1"/>
    <col min="5" max="5" width="17.42578125" style="16" customWidth="1"/>
    <col min="6" max="6" width="0.28515625" style="540" customWidth="1"/>
    <col min="7" max="7" width="2" style="549" customWidth="1"/>
    <col min="8" max="8" width="32.28515625" style="538" customWidth="1"/>
    <col min="9" max="9" width="49" style="16" customWidth="1"/>
    <col min="10" max="10" width="22.7109375" style="16" customWidth="1"/>
    <col min="11" max="11" width="21.140625" style="16" customWidth="1"/>
    <col min="12" max="12" width="17.42578125" style="16" customWidth="1"/>
    <col min="13" max="16384" width="9.140625" style="542"/>
  </cols>
  <sheetData>
    <row r="1" spans="1:12" ht="96.75" customHeight="1">
      <c r="A1" s="638" t="s">
        <v>81</v>
      </c>
      <c r="B1" s="636"/>
      <c r="C1" s="636"/>
      <c r="D1" s="636"/>
      <c r="E1" s="639"/>
      <c r="F1" s="541"/>
      <c r="G1" s="545"/>
      <c r="H1" s="638" t="s">
        <v>82</v>
      </c>
      <c r="I1" s="636"/>
      <c r="J1" s="636"/>
      <c r="K1" s="636"/>
      <c r="L1" s="639"/>
    </row>
    <row r="2" spans="1:12" ht="46.5" customHeight="1">
      <c r="A2" s="274" t="s">
        <v>4</v>
      </c>
      <c r="B2" s="278" t="s">
        <v>3</v>
      </c>
      <c r="C2" s="275" t="s">
        <v>0</v>
      </c>
      <c r="D2" s="438" t="s">
        <v>1</v>
      </c>
      <c r="E2" s="438" t="s">
        <v>60</v>
      </c>
      <c r="G2" s="546"/>
      <c r="H2" s="274" t="s">
        <v>4</v>
      </c>
      <c r="I2" s="278" t="s">
        <v>3</v>
      </c>
      <c r="J2" s="275" t="s">
        <v>0</v>
      </c>
      <c r="K2" s="438" t="s">
        <v>1</v>
      </c>
      <c r="L2" s="438" t="s">
        <v>60</v>
      </c>
    </row>
    <row r="3" spans="1:12" ht="35.25" customHeight="1">
      <c r="A3" s="530">
        <v>130</v>
      </c>
      <c r="B3" s="444" t="s">
        <v>347</v>
      </c>
      <c r="C3" s="444">
        <v>60</v>
      </c>
      <c r="D3" s="543">
        <v>60</v>
      </c>
      <c r="E3" s="444">
        <f>+SUM(C3-D3)</f>
        <v>0</v>
      </c>
      <c r="G3" s="546"/>
      <c r="H3" s="530">
        <v>140</v>
      </c>
      <c r="I3" s="444" t="s">
        <v>349</v>
      </c>
      <c r="J3" s="444">
        <v>60</v>
      </c>
      <c r="K3" s="543">
        <v>60</v>
      </c>
      <c r="L3" s="444">
        <f>+SUM(J3-K3)</f>
        <v>0</v>
      </c>
    </row>
    <row r="4" spans="1:12" ht="35.25" customHeight="1">
      <c r="A4" s="530">
        <v>129</v>
      </c>
      <c r="B4" s="444" t="s">
        <v>347</v>
      </c>
      <c r="C4" s="530">
        <v>60</v>
      </c>
      <c r="D4" s="530">
        <v>60</v>
      </c>
      <c r="E4" s="444">
        <f t="shared" ref="E4:E6" si="0">+SUM(C4-D4)</f>
        <v>0</v>
      </c>
      <c r="G4" s="547"/>
      <c r="H4" s="530">
        <v>139</v>
      </c>
      <c r="I4" s="444" t="s">
        <v>349</v>
      </c>
      <c r="J4" s="444">
        <v>60</v>
      </c>
      <c r="K4" s="543">
        <v>60</v>
      </c>
      <c r="L4" s="444">
        <f t="shared" ref="L4:L6" si="1">+SUM(J4-K4)</f>
        <v>0</v>
      </c>
    </row>
    <row r="5" spans="1:12" ht="35.25" customHeight="1">
      <c r="A5" s="530">
        <v>128</v>
      </c>
      <c r="B5" s="444" t="s">
        <v>347</v>
      </c>
      <c r="C5" s="531">
        <v>60</v>
      </c>
      <c r="D5" s="531">
        <v>60</v>
      </c>
      <c r="E5" s="444">
        <f t="shared" si="0"/>
        <v>0</v>
      </c>
      <c r="G5" s="548"/>
      <c r="H5" s="530">
        <v>138</v>
      </c>
      <c r="I5" s="444" t="s">
        <v>349</v>
      </c>
      <c r="J5" s="444">
        <v>60</v>
      </c>
      <c r="K5" s="543">
        <v>60</v>
      </c>
      <c r="L5" s="444">
        <f t="shared" si="1"/>
        <v>0</v>
      </c>
    </row>
    <row r="6" spans="1:12" ht="35.25" customHeight="1">
      <c r="A6" s="530">
        <v>127</v>
      </c>
      <c r="B6" s="444" t="s">
        <v>347</v>
      </c>
      <c r="C6" s="536">
        <v>60</v>
      </c>
      <c r="D6" s="531">
        <v>60</v>
      </c>
      <c r="E6" s="444">
        <f t="shared" si="0"/>
        <v>0</v>
      </c>
      <c r="G6" s="546"/>
      <c r="H6" s="530">
        <v>137</v>
      </c>
      <c r="I6" s="444" t="s">
        <v>349</v>
      </c>
      <c r="J6" s="444">
        <v>60</v>
      </c>
      <c r="K6" s="543">
        <v>60</v>
      </c>
      <c r="L6" s="444">
        <f t="shared" si="1"/>
        <v>0</v>
      </c>
    </row>
    <row r="7" spans="1:12" ht="155.25" customHeight="1">
      <c r="A7" s="537" t="s">
        <v>83</v>
      </c>
      <c r="B7" s="533">
        <f>D7*28</f>
        <v>6720</v>
      </c>
      <c r="C7" s="151">
        <f>SUM(C3:C6)</f>
        <v>240</v>
      </c>
      <c r="D7" s="152">
        <f>SUM(D3:D6)</f>
        <v>240</v>
      </c>
      <c r="E7" s="369">
        <f>SUM(E1:E2)</f>
        <v>0</v>
      </c>
      <c r="G7" s="546"/>
      <c r="H7" s="537" t="s">
        <v>83</v>
      </c>
      <c r="I7" s="533">
        <f>K7*28</f>
        <v>6720</v>
      </c>
      <c r="J7" s="151">
        <f>SUM(J3:J6)</f>
        <v>240</v>
      </c>
      <c r="K7" s="152">
        <f>SUM(K3:K6)</f>
        <v>240</v>
      </c>
      <c r="L7" s="369">
        <f>SUM(L3:L6)</f>
        <v>0</v>
      </c>
    </row>
    <row r="8" spans="1:12" ht="67.5" customHeight="1">
      <c r="A8" s="647" t="s">
        <v>84</v>
      </c>
      <c r="B8" s="652"/>
      <c r="C8" s="511"/>
      <c r="D8" s="648">
        <f>B7/4</f>
        <v>1680</v>
      </c>
      <c r="E8" s="649"/>
      <c r="G8" s="547"/>
      <c r="H8" s="647" t="s">
        <v>84</v>
      </c>
      <c r="I8" s="652"/>
      <c r="J8" s="511"/>
      <c r="K8" s="648">
        <f>I7/4</f>
        <v>1680</v>
      </c>
      <c r="L8" s="649"/>
    </row>
    <row r="9" spans="1:12" ht="35.25" customHeight="1">
      <c r="A9" s="530">
        <v>126</v>
      </c>
      <c r="B9" s="444" t="s">
        <v>346</v>
      </c>
      <c r="C9" s="531">
        <v>60</v>
      </c>
      <c r="D9" s="531">
        <v>60</v>
      </c>
      <c r="E9" s="584">
        <f>+SUM(C9-D9)</f>
        <v>0</v>
      </c>
      <c r="G9" s="548"/>
      <c r="H9" s="530">
        <v>136</v>
      </c>
      <c r="I9" s="444" t="s">
        <v>392</v>
      </c>
      <c r="J9" s="531">
        <v>60</v>
      </c>
      <c r="K9" s="531">
        <v>60</v>
      </c>
      <c r="L9" s="584">
        <f>+SUM(J9-K9)</f>
        <v>0</v>
      </c>
    </row>
    <row r="10" spans="1:12" ht="35.25" customHeight="1">
      <c r="A10" s="530">
        <v>125</v>
      </c>
      <c r="B10" s="444" t="s">
        <v>346</v>
      </c>
      <c r="C10" s="536">
        <v>60</v>
      </c>
      <c r="D10" s="531">
        <v>60</v>
      </c>
      <c r="E10" s="584">
        <f t="shared" ref="E10:E11" si="2">+SUM(C10-D10)</f>
        <v>0</v>
      </c>
      <c r="G10" s="546"/>
      <c r="H10" s="530">
        <v>135</v>
      </c>
      <c r="I10" s="444" t="s">
        <v>392</v>
      </c>
      <c r="J10" s="536">
        <v>60</v>
      </c>
      <c r="K10" s="531">
        <v>60</v>
      </c>
      <c r="L10" s="584">
        <f t="shared" ref="L10:L11" si="3">+SUM(J10-K10)</f>
        <v>0</v>
      </c>
    </row>
    <row r="11" spans="1:12" ht="35.25" customHeight="1">
      <c r="A11" s="530">
        <v>124</v>
      </c>
      <c r="B11" s="444" t="s">
        <v>346</v>
      </c>
      <c r="C11" s="444">
        <v>60</v>
      </c>
      <c r="D11" s="444">
        <v>60</v>
      </c>
      <c r="E11" s="584">
        <f t="shared" si="2"/>
        <v>0</v>
      </c>
      <c r="G11" s="546"/>
      <c r="H11" s="530">
        <v>134</v>
      </c>
      <c r="I11" s="444" t="s">
        <v>392</v>
      </c>
      <c r="J11" s="444">
        <v>60</v>
      </c>
      <c r="K11" s="444">
        <v>60</v>
      </c>
      <c r="L11" s="584">
        <f t="shared" si="3"/>
        <v>0</v>
      </c>
    </row>
    <row r="12" spans="1:12" ht="173.25" customHeight="1">
      <c r="A12" s="537" t="s">
        <v>83</v>
      </c>
      <c r="B12" s="533">
        <f>D12*28</f>
        <v>5040</v>
      </c>
      <c r="C12" s="585">
        <f>SUM(C9:C11)</f>
        <v>180</v>
      </c>
      <c r="D12" s="586">
        <f>SUM(D9:D11)</f>
        <v>180</v>
      </c>
      <c r="E12" s="369">
        <f>SUM(E6:E7)</f>
        <v>0</v>
      </c>
      <c r="G12" s="547"/>
      <c r="H12" s="537" t="s">
        <v>83</v>
      </c>
      <c r="I12" s="533">
        <f>K12*28</f>
        <v>5040</v>
      </c>
      <c r="J12" s="585">
        <f>SUM(J9:J11)</f>
        <v>180</v>
      </c>
      <c r="K12" s="586">
        <f>SUM(K9:K11)</f>
        <v>180</v>
      </c>
      <c r="L12" s="589">
        <f>SUM(L9:L11)</f>
        <v>0</v>
      </c>
    </row>
    <row r="13" spans="1:12" ht="70.5" customHeight="1">
      <c r="A13" s="647" t="s">
        <v>84</v>
      </c>
      <c r="B13" s="652"/>
      <c r="C13" s="511"/>
      <c r="D13" s="648">
        <f>B12/4</f>
        <v>1260</v>
      </c>
      <c r="E13" s="649"/>
      <c r="G13" s="548"/>
      <c r="H13" s="647" t="s">
        <v>84</v>
      </c>
      <c r="I13" s="652"/>
      <c r="J13" s="511"/>
      <c r="K13" s="648">
        <f>I12/4</f>
        <v>1260</v>
      </c>
      <c r="L13" s="649"/>
    </row>
    <row r="14" spans="1:12" ht="35.25" customHeight="1">
      <c r="A14" s="530">
        <v>123</v>
      </c>
      <c r="B14" s="444" t="s">
        <v>345</v>
      </c>
      <c r="C14" s="444">
        <v>60</v>
      </c>
      <c r="D14" s="544">
        <v>60</v>
      </c>
      <c r="E14" s="544">
        <f>+SUM(C14-D14)</f>
        <v>0</v>
      </c>
      <c r="G14" s="546"/>
      <c r="H14" s="530">
        <v>133</v>
      </c>
      <c r="I14" s="444" t="s">
        <v>348</v>
      </c>
      <c r="J14" s="444">
        <v>60</v>
      </c>
      <c r="K14" s="544">
        <v>60</v>
      </c>
      <c r="L14" s="544">
        <f>+SUM(J14-K14)</f>
        <v>0</v>
      </c>
    </row>
    <row r="15" spans="1:12" ht="35.25" customHeight="1">
      <c r="A15" s="530">
        <v>122</v>
      </c>
      <c r="B15" s="444" t="s">
        <v>345</v>
      </c>
      <c r="C15" s="529">
        <v>60</v>
      </c>
      <c r="D15" s="530">
        <v>60</v>
      </c>
      <c r="E15" s="544">
        <f t="shared" ref="E15:E16" si="4">+SUM(C15-D15)</f>
        <v>0</v>
      </c>
      <c r="G15" s="546"/>
      <c r="H15" s="530">
        <v>132</v>
      </c>
      <c r="I15" s="444" t="s">
        <v>348</v>
      </c>
      <c r="J15" s="444">
        <v>60</v>
      </c>
      <c r="K15" s="544">
        <v>60</v>
      </c>
      <c r="L15" s="544">
        <f t="shared" ref="L15:L16" si="5">+SUM(J15-K15)</f>
        <v>0</v>
      </c>
    </row>
    <row r="16" spans="1:12" ht="35.25" customHeight="1">
      <c r="A16" s="530">
        <v>121</v>
      </c>
      <c r="B16" s="444" t="s">
        <v>345</v>
      </c>
      <c r="C16" s="536">
        <v>60</v>
      </c>
      <c r="D16" s="531">
        <v>60</v>
      </c>
      <c r="E16" s="544">
        <f t="shared" si="4"/>
        <v>0</v>
      </c>
      <c r="G16" s="547"/>
      <c r="H16" s="530">
        <v>131</v>
      </c>
      <c r="I16" s="444" t="s">
        <v>348</v>
      </c>
      <c r="J16" s="444">
        <v>60</v>
      </c>
      <c r="K16" s="544">
        <v>60</v>
      </c>
      <c r="L16" s="544">
        <f t="shared" si="5"/>
        <v>0</v>
      </c>
    </row>
    <row r="17" spans="1:12" ht="151.5" customHeight="1">
      <c r="A17" s="537" t="s">
        <v>83</v>
      </c>
      <c r="B17" s="533">
        <f>D17*28</f>
        <v>5040</v>
      </c>
      <c r="C17" s="151">
        <f>SUM(C14:C16)</f>
        <v>180</v>
      </c>
      <c r="D17" s="588">
        <f>SUM(D14:D16)</f>
        <v>180</v>
      </c>
      <c r="E17" s="587">
        <f>SUM(E14:E16)</f>
        <v>0</v>
      </c>
      <c r="G17" s="548"/>
      <c r="H17" s="537" t="s">
        <v>83</v>
      </c>
      <c r="I17" s="533">
        <f>K17*28</f>
        <v>5040</v>
      </c>
      <c r="J17" s="151">
        <f>SUM(J14:J16)</f>
        <v>180</v>
      </c>
      <c r="K17" s="588">
        <f>SUM(K14:K16)</f>
        <v>180</v>
      </c>
      <c r="L17" s="587">
        <f>SUM(L14:L16)</f>
        <v>0</v>
      </c>
    </row>
    <row r="18" spans="1:12" ht="76.5" customHeight="1">
      <c r="A18" s="647" t="s">
        <v>84</v>
      </c>
      <c r="B18" s="652"/>
      <c r="C18" s="511"/>
      <c r="D18" s="648">
        <f>B17/4</f>
        <v>1260</v>
      </c>
      <c r="E18" s="649"/>
      <c r="G18" s="546"/>
      <c r="H18" s="647" t="s">
        <v>84</v>
      </c>
      <c r="I18" s="652"/>
      <c r="J18" s="511"/>
      <c r="K18" s="648">
        <f>I17/4</f>
        <v>1260</v>
      </c>
      <c r="L18" s="649"/>
    </row>
    <row r="19" spans="1:12" ht="35.25" customHeight="1">
      <c r="A19" s="273"/>
      <c r="B19" s="318"/>
      <c r="C19" s="273"/>
      <c r="D19" s="273"/>
      <c r="E19" s="273"/>
      <c r="G19" s="546"/>
    </row>
    <row r="20" spans="1:12" ht="35.25" customHeight="1">
      <c r="G20" s="547"/>
    </row>
    <row r="21" spans="1:12" ht="54.75" customHeight="1">
      <c r="G21" s="548"/>
      <c r="H21" s="273"/>
      <c r="I21" s="318"/>
      <c r="J21" s="273"/>
      <c r="K21" s="273"/>
      <c r="L21" s="273"/>
    </row>
    <row r="22" spans="1:12" ht="33" customHeight="1"/>
  </sheetData>
  <mergeCells count="14">
    <mergeCell ref="A18:B18"/>
    <mergeCell ref="D13:E13"/>
    <mergeCell ref="D18:E18"/>
    <mergeCell ref="K8:L8"/>
    <mergeCell ref="H8:I8"/>
    <mergeCell ref="H13:I13"/>
    <mergeCell ref="H18:I18"/>
    <mergeCell ref="K13:L13"/>
    <mergeCell ref="K18:L18"/>
    <mergeCell ref="H1:L1"/>
    <mergeCell ref="A1:E1"/>
    <mergeCell ref="D8:E8"/>
    <mergeCell ref="A8:B8"/>
    <mergeCell ref="A13:B13"/>
  </mergeCells>
  <pageMargins left="0" right="0" top="0" bottom="0" header="0" footer="0"/>
  <pageSetup paperSize="9" scale="6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</sheetPr>
  <dimension ref="A1:X18"/>
  <sheetViews>
    <sheetView view="pageBreakPreview" zoomScale="50" zoomScaleNormal="47" zoomScaleSheetLayoutView="50" workbookViewId="0">
      <selection activeCell="P10" sqref="P10"/>
    </sheetView>
  </sheetViews>
  <sheetFormatPr defaultColWidth="5.85546875" defaultRowHeight="20.100000000000001" customHeight="1"/>
  <cols>
    <col min="1" max="1" width="20.85546875" style="167" customWidth="1"/>
    <col min="2" max="2" width="76.5703125" style="167" customWidth="1"/>
    <col min="3" max="3" width="25.28515625" style="167" customWidth="1"/>
    <col min="4" max="4" width="23.42578125" style="167" customWidth="1"/>
    <col min="5" max="5" width="34" style="167" customWidth="1"/>
    <col min="6" max="6" width="1.28515625" style="167" customWidth="1"/>
    <col min="7" max="7" width="22.7109375" style="167" customWidth="1"/>
    <col min="8" max="8" width="65" style="167" customWidth="1"/>
    <col min="9" max="9" width="22.7109375" style="167" customWidth="1"/>
    <col min="10" max="10" width="21.7109375" style="167" customWidth="1"/>
    <col min="11" max="11" width="25.85546875" style="167" customWidth="1"/>
    <col min="12" max="12" width="2.28515625" style="310" customWidth="1"/>
    <col min="13" max="13" width="31.140625" style="310" customWidth="1"/>
    <col min="14" max="14" width="59.7109375" style="310" customWidth="1"/>
    <col min="15" max="15" width="24.85546875" style="316" customWidth="1"/>
    <col min="16" max="16" width="23.85546875" style="316" customWidth="1"/>
    <col min="17" max="17" width="21.140625" style="310" customWidth="1"/>
    <col min="18" max="18" width="2.28515625" style="310" customWidth="1"/>
    <col min="19" max="19" width="31.42578125" style="310" customWidth="1"/>
    <col min="20" max="20" width="79.42578125" style="310" customWidth="1"/>
    <col min="21" max="21" width="33.7109375" style="316" customWidth="1"/>
    <col min="22" max="22" width="28.7109375" style="316" customWidth="1"/>
    <col min="23" max="23" width="27.5703125" style="310" customWidth="1"/>
    <col min="24" max="24" width="2.28515625" style="310" customWidth="1"/>
    <col min="25" max="16384" width="5.85546875" style="310"/>
  </cols>
  <sheetData>
    <row r="1" spans="1:24" s="306" customFormat="1" ht="138" customHeight="1">
      <c r="A1" s="635" t="s">
        <v>323</v>
      </c>
      <c r="B1" s="636"/>
      <c r="C1" s="636"/>
      <c r="D1" s="636"/>
      <c r="E1" s="637"/>
      <c r="F1" s="304"/>
      <c r="G1" s="638" t="s">
        <v>92</v>
      </c>
      <c r="H1" s="636"/>
      <c r="I1" s="636"/>
      <c r="J1" s="636"/>
      <c r="K1" s="639"/>
      <c r="L1" s="305"/>
      <c r="M1" s="638" t="s">
        <v>93</v>
      </c>
      <c r="N1" s="636"/>
      <c r="O1" s="636"/>
      <c r="P1" s="636"/>
      <c r="Q1" s="639"/>
      <c r="R1" s="305"/>
      <c r="S1" s="638" t="s">
        <v>332</v>
      </c>
      <c r="T1" s="636"/>
      <c r="U1" s="636"/>
      <c r="V1" s="636"/>
      <c r="W1" s="639"/>
      <c r="X1" s="305"/>
    </row>
    <row r="2" spans="1:24" ht="66.75" customHeight="1">
      <c r="A2" s="307" t="s">
        <v>4</v>
      </c>
      <c r="B2" s="275" t="s">
        <v>3</v>
      </c>
      <c r="C2" s="275" t="s">
        <v>0</v>
      </c>
      <c r="D2" s="276" t="s">
        <v>1</v>
      </c>
      <c r="E2" s="276" t="s">
        <v>2</v>
      </c>
      <c r="F2" s="308"/>
      <c r="G2" s="274" t="s">
        <v>4</v>
      </c>
      <c r="H2" s="278" t="s">
        <v>3</v>
      </c>
      <c r="I2" s="275" t="s">
        <v>0</v>
      </c>
      <c r="J2" s="275" t="s">
        <v>1</v>
      </c>
      <c r="K2" s="275" t="s">
        <v>2</v>
      </c>
      <c r="L2" s="309"/>
      <c r="M2" s="274" t="s">
        <v>4</v>
      </c>
      <c r="N2" s="278" t="s">
        <v>3</v>
      </c>
      <c r="O2" s="275" t="s">
        <v>0</v>
      </c>
      <c r="P2" s="275" t="s">
        <v>1</v>
      </c>
      <c r="Q2" s="275" t="s">
        <v>2</v>
      </c>
      <c r="R2" s="309"/>
      <c r="S2" s="274" t="s">
        <v>4</v>
      </c>
      <c r="T2" s="278" t="s">
        <v>3</v>
      </c>
      <c r="U2" s="275" t="s">
        <v>0</v>
      </c>
      <c r="V2" s="275" t="s">
        <v>1</v>
      </c>
      <c r="W2" s="275" t="s">
        <v>2</v>
      </c>
      <c r="X2" s="309"/>
    </row>
    <row r="3" spans="1:24" ht="72" customHeight="1">
      <c r="A3" s="155">
        <v>150</v>
      </c>
      <c r="B3" s="270" t="s">
        <v>319</v>
      </c>
      <c r="C3" s="156">
        <v>60</v>
      </c>
      <c r="D3" s="271">
        <v>0</v>
      </c>
      <c r="E3" s="271">
        <f t="shared" ref="E3:E6" si="0">SUM(C3-D3)</f>
        <v>60</v>
      </c>
      <c r="F3" s="277"/>
      <c r="G3" s="157">
        <v>160</v>
      </c>
      <c r="H3" s="270" t="s">
        <v>380</v>
      </c>
      <c r="I3" s="156">
        <v>60</v>
      </c>
      <c r="J3" s="156">
        <v>60</v>
      </c>
      <c r="K3" s="156">
        <f t="shared" ref="K3:K12" si="1">SUM(I3-J3)</f>
        <v>0</v>
      </c>
      <c r="L3" s="309"/>
      <c r="M3" s="157">
        <v>170</v>
      </c>
      <c r="N3" s="270" t="s">
        <v>352</v>
      </c>
      <c r="O3" s="156">
        <v>60</v>
      </c>
      <c r="P3" s="156">
        <v>60</v>
      </c>
      <c r="Q3" s="156">
        <f t="shared" ref="Q3:Q12" si="2">SUM(O3-P3)</f>
        <v>0</v>
      </c>
      <c r="R3" s="309"/>
      <c r="S3" s="157">
        <v>180</v>
      </c>
      <c r="T3" s="270" t="s">
        <v>321</v>
      </c>
      <c r="U3" s="156">
        <v>60</v>
      </c>
      <c r="V3" s="156">
        <v>0</v>
      </c>
      <c r="W3" s="156">
        <f>SUM(U3-V3)</f>
        <v>60</v>
      </c>
      <c r="X3" s="309"/>
    </row>
    <row r="4" spans="1:24" ht="77.25" customHeight="1">
      <c r="A4" s="155">
        <v>149</v>
      </c>
      <c r="B4" s="270" t="s">
        <v>319</v>
      </c>
      <c r="C4" s="156">
        <v>60</v>
      </c>
      <c r="D4" s="271">
        <v>0</v>
      </c>
      <c r="E4" s="271">
        <f t="shared" si="0"/>
        <v>60</v>
      </c>
      <c r="F4" s="277"/>
      <c r="G4" s="157">
        <v>159</v>
      </c>
      <c r="H4" s="270" t="s">
        <v>380</v>
      </c>
      <c r="I4" s="156">
        <v>60</v>
      </c>
      <c r="J4" s="156">
        <v>28</v>
      </c>
      <c r="K4" s="156">
        <f t="shared" si="1"/>
        <v>32</v>
      </c>
      <c r="L4" s="309"/>
      <c r="M4" s="157">
        <v>169</v>
      </c>
      <c r="N4" s="270" t="s">
        <v>352</v>
      </c>
      <c r="O4" s="156">
        <v>60</v>
      </c>
      <c r="P4" s="156">
        <v>60</v>
      </c>
      <c r="Q4" s="156">
        <f t="shared" si="2"/>
        <v>0</v>
      </c>
      <c r="R4" s="309"/>
      <c r="S4" s="157">
        <v>179</v>
      </c>
      <c r="T4" s="270" t="s">
        <v>321</v>
      </c>
      <c r="U4" s="156">
        <v>60</v>
      </c>
      <c r="V4" s="156">
        <v>0</v>
      </c>
      <c r="W4" s="156">
        <f t="shared" ref="W4:W5" si="3">SUM(U4-V4)</f>
        <v>60</v>
      </c>
      <c r="X4" s="309"/>
    </row>
    <row r="5" spans="1:24" ht="84.75" customHeight="1">
      <c r="A5" s="155">
        <v>148</v>
      </c>
      <c r="B5" s="270" t="s">
        <v>319</v>
      </c>
      <c r="C5" s="156">
        <v>60</v>
      </c>
      <c r="D5" s="271">
        <v>0</v>
      </c>
      <c r="E5" s="271">
        <f t="shared" si="0"/>
        <v>60</v>
      </c>
      <c r="F5" s="277"/>
      <c r="G5" s="157">
        <v>158</v>
      </c>
      <c r="H5" s="270" t="s">
        <v>380</v>
      </c>
      <c r="I5" s="156">
        <v>60</v>
      </c>
      <c r="J5" s="156">
        <v>0</v>
      </c>
      <c r="K5" s="156">
        <f t="shared" si="1"/>
        <v>60</v>
      </c>
      <c r="L5" s="309"/>
      <c r="M5" s="157">
        <v>168</v>
      </c>
      <c r="N5" s="270" t="s">
        <v>352</v>
      </c>
      <c r="O5" s="156">
        <v>60</v>
      </c>
      <c r="P5" s="156">
        <v>60</v>
      </c>
      <c r="Q5" s="156">
        <f t="shared" si="2"/>
        <v>0</v>
      </c>
      <c r="R5" s="309"/>
      <c r="S5" s="157">
        <v>178</v>
      </c>
      <c r="T5" s="270" t="s">
        <v>321</v>
      </c>
      <c r="U5" s="156">
        <v>60</v>
      </c>
      <c r="V5" s="156">
        <v>0</v>
      </c>
      <c r="W5" s="156">
        <f t="shared" si="3"/>
        <v>60</v>
      </c>
      <c r="X5" s="309"/>
    </row>
    <row r="6" spans="1:24" ht="86.25" customHeight="1">
      <c r="A6" s="155">
        <v>147</v>
      </c>
      <c r="B6" s="270" t="s">
        <v>319</v>
      </c>
      <c r="C6" s="156">
        <v>60</v>
      </c>
      <c r="D6" s="271">
        <v>0</v>
      </c>
      <c r="E6" s="271">
        <f t="shared" si="0"/>
        <v>60</v>
      </c>
      <c r="F6" s="277"/>
      <c r="G6" s="157">
        <v>157</v>
      </c>
      <c r="H6" s="270" t="s">
        <v>380</v>
      </c>
      <c r="I6" s="156">
        <v>60</v>
      </c>
      <c r="J6" s="156">
        <v>0</v>
      </c>
      <c r="K6" s="156">
        <f t="shared" si="1"/>
        <v>60</v>
      </c>
      <c r="L6" s="309"/>
      <c r="M6" s="157">
        <v>167</v>
      </c>
      <c r="N6" s="270" t="s">
        <v>352</v>
      </c>
      <c r="O6" s="156">
        <v>60</v>
      </c>
      <c r="P6" s="156">
        <v>60</v>
      </c>
      <c r="Q6" s="156">
        <f t="shared" si="2"/>
        <v>0</v>
      </c>
      <c r="R6" s="309"/>
      <c r="S6" s="313" t="s">
        <v>83</v>
      </c>
      <c r="T6" s="151">
        <f>+V6*26</f>
        <v>0</v>
      </c>
      <c r="U6" s="152">
        <f>SUM(U3:U5)</f>
        <v>180</v>
      </c>
      <c r="V6" s="152">
        <f>SUM(V3:V5)</f>
        <v>0</v>
      </c>
      <c r="W6" s="152">
        <f>SUM(W3:W5)</f>
        <v>180</v>
      </c>
      <c r="X6" s="309"/>
    </row>
    <row r="7" spans="1:24" ht="97.5" customHeight="1">
      <c r="A7" s="313" t="s">
        <v>83</v>
      </c>
      <c r="B7" s="151">
        <f>+D7*26</f>
        <v>0</v>
      </c>
      <c r="C7" s="152">
        <f>+SUM(C3:C6)</f>
        <v>240</v>
      </c>
      <c r="D7" s="152">
        <f>+SUM(D3:D6)</f>
        <v>0</v>
      </c>
      <c r="E7" s="152">
        <f>+SUM(E3:E6)</f>
        <v>240</v>
      </c>
      <c r="F7" s="277"/>
      <c r="G7" s="157">
        <v>156</v>
      </c>
      <c r="H7" s="270" t="s">
        <v>380</v>
      </c>
      <c r="I7" s="156">
        <v>60</v>
      </c>
      <c r="J7" s="156">
        <v>0</v>
      </c>
      <c r="K7" s="156">
        <f t="shared" si="1"/>
        <v>60</v>
      </c>
      <c r="L7" s="309"/>
      <c r="M7" s="157">
        <v>166</v>
      </c>
      <c r="N7" s="270" t="s">
        <v>352</v>
      </c>
      <c r="O7" s="156">
        <v>60</v>
      </c>
      <c r="P7" s="156">
        <v>60</v>
      </c>
      <c r="Q7" s="156">
        <f t="shared" si="2"/>
        <v>0</v>
      </c>
      <c r="R7" s="309"/>
      <c r="S7" s="625" t="s">
        <v>84</v>
      </c>
      <c r="T7" s="626"/>
      <c r="U7" s="314"/>
      <c r="V7" s="654">
        <f>+T6/4</f>
        <v>0</v>
      </c>
      <c r="W7" s="655"/>
      <c r="X7" s="309"/>
    </row>
    <row r="8" spans="1:24" ht="99.75" customHeight="1">
      <c r="A8" s="625" t="s">
        <v>84</v>
      </c>
      <c r="B8" s="626"/>
      <c r="C8" s="315"/>
      <c r="D8" s="660">
        <f>+B7/4</f>
        <v>0</v>
      </c>
      <c r="E8" s="661"/>
      <c r="F8" s="277"/>
      <c r="G8" s="157">
        <v>155</v>
      </c>
      <c r="H8" s="270" t="s">
        <v>380</v>
      </c>
      <c r="I8" s="156">
        <v>60</v>
      </c>
      <c r="J8" s="156">
        <v>0</v>
      </c>
      <c r="K8" s="156">
        <f t="shared" si="1"/>
        <v>60</v>
      </c>
      <c r="L8" s="309"/>
      <c r="M8" s="157">
        <v>165</v>
      </c>
      <c r="N8" s="270" t="s">
        <v>352</v>
      </c>
      <c r="O8" s="156">
        <v>60</v>
      </c>
      <c r="P8" s="156">
        <v>60</v>
      </c>
      <c r="Q8" s="156">
        <f t="shared" si="2"/>
        <v>0</v>
      </c>
      <c r="R8" s="309"/>
      <c r="S8" s="157">
        <v>177</v>
      </c>
      <c r="T8" s="270" t="s">
        <v>320</v>
      </c>
      <c r="U8" s="156">
        <v>60</v>
      </c>
      <c r="V8" s="156">
        <v>0</v>
      </c>
      <c r="W8" s="156">
        <f t="shared" ref="W8:W16" si="4">SUM(U8-V8)</f>
        <v>60</v>
      </c>
      <c r="X8" s="309"/>
    </row>
    <row r="9" spans="1:24" ht="93" customHeight="1">
      <c r="A9" s="155">
        <v>146</v>
      </c>
      <c r="B9" s="270" t="s">
        <v>318</v>
      </c>
      <c r="C9" s="156">
        <v>60</v>
      </c>
      <c r="D9" s="271">
        <v>60</v>
      </c>
      <c r="E9" s="271">
        <f>+SUM(C9-D9)</f>
        <v>0</v>
      </c>
      <c r="F9" s="277"/>
      <c r="G9" s="157">
        <v>154</v>
      </c>
      <c r="H9" s="270" t="s">
        <v>380</v>
      </c>
      <c r="I9" s="156">
        <v>60</v>
      </c>
      <c r="J9" s="156">
        <v>0</v>
      </c>
      <c r="K9" s="156">
        <f t="shared" si="1"/>
        <v>60</v>
      </c>
      <c r="L9" s="309"/>
      <c r="M9" s="157">
        <v>164</v>
      </c>
      <c r="N9" s="270" t="s">
        <v>352</v>
      </c>
      <c r="O9" s="156">
        <v>60</v>
      </c>
      <c r="P9" s="156">
        <v>60</v>
      </c>
      <c r="Q9" s="156">
        <f t="shared" si="2"/>
        <v>0</v>
      </c>
      <c r="R9" s="309"/>
      <c r="S9" s="157">
        <v>176</v>
      </c>
      <c r="T9" s="270" t="s">
        <v>320</v>
      </c>
      <c r="U9" s="156">
        <v>60</v>
      </c>
      <c r="V9" s="156">
        <v>0</v>
      </c>
      <c r="W9" s="156">
        <f t="shared" si="4"/>
        <v>60</v>
      </c>
      <c r="X9" s="309"/>
    </row>
    <row r="10" spans="1:24" ht="87" customHeight="1">
      <c r="A10" s="155">
        <v>145</v>
      </c>
      <c r="B10" s="270" t="s">
        <v>318</v>
      </c>
      <c r="C10" s="156">
        <v>60</v>
      </c>
      <c r="D10" s="271">
        <v>60</v>
      </c>
      <c r="E10" s="271">
        <f t="shared" ref="E10:E14" si="5">+SUM(C10-D10)</f>
        <v>0</v>
      </c>
      <c r="F10" s="277"/>
      <c r="G10" s="157">
        <v>153</v>
      </c>
      <c r="H10" s="270" t="s">
        <v>380</v>
      </c>
      <c r="I10" s="156">
        <v>60</v>
      </c>
      <c r="J10" s="156">
        <v>0</v>
      </c>
      <c r="K10" s="156">
        <f t="shared" si="1"/>
        <v>60</v>
      </c>
      <c r="L10" s="309"/>
      <c r="M10" s="157">
        <v>163</v>
      </c>
      <c r="N10" s="270" t="s">
        <v>352</v>
      </c>
      <c r="O10" s="156">
        <v>60</v>
      </c>
      <c r="P10" s="156">
        <v>0</v>
      </c>
      <c r="Q10" s="156">
        <f t="shared" si="2"/>
        <v>60</v>
      </c>
      <c r="R10" s="309"/>
      <c r="S10" s="313" t="s">
        <v>83</v>
      </c>
      <c r="T10" s="151">
        <f>+V10*26</f>
        <v>0</v>
      </c>
      <c r="U10" s="152">
        <f>+SUM(U8:U9)</f>
        <v>120</v>
      </c>
      <c r="V10" s="152">
        <f>+SUM(V8:V9)</f>
        <v>0</v>
      </c>
      <c r="W10" s="152">
        <f>+SUM(W8:W9)</f>
        <v>120</v>
      </c>
      <c r="X10" s="309"/>
    </row>
    <row r="11" spans="1:24" ht="79.5" customHeight="1">
      <c r="A11" s="155">
        <v>144</v>
      </c>
      <c r="B11" s="270" t="s">
        <v>318</v>
      </c>
      <c r="C11" s="156">
        <v>60</v>
      </c>
      <c r="D11" s="271">
        <v>60</v>
      </c>
      <c r="E11" s="271">
        <f t="shared" si="5"/>
        <v>0</v>
      </c>
      <c r="F11" s="277"/>
      <c r="G11" s="157">
        <v>152</v>
      </c>
      <c r="H11" s="270" t="s">
        <v>380</v>
      </c>
      <c r="I11" s="156">
        <v>60</v>
      </c>
      <c r="J11" s="156">
        <v>0</v>
      </c>
      <c r="K11" s="156">
        <f t="shared" si="1"/>
        <v>60</v>
      </c>
      <c r="L11" s="309"/>
      <c r="M11" s="157">
        <v>162</v>
      </c>
      <c r="N11" s="270" t="s">
        <v>352</v>
      </c>
      <c r="O11" s="156">
        <v>60</v>
      </c>
      <c r="P11" s="156">
        <v>41</v>
      </c>
      <c r="Q11" s="156">
        <f t="shared" si="2"/>
        <v>19</v>
      </c>
      <c r="R11" s="309"/>
      <c r="S11" s="625" t="s">
        <v>84</v>
      </c>
      <c r="T11" s="626"/>
      <c r="U11" s="314"/>
      <c r="V11" s="654">
        <f>+T10/4</f>
        <v>0</v>
      </c>
      <c r="W11" s="655"/>
      <c r="X11" s="309"/>
    </row>
    <row r="12" spans="1:24" ht="76.5" customHeight="1">
      <c r="A12" s="155">
        <v>143</v>
      </c>
      <c r="B12" s="270" t="s">
        <v>318</v>
      </c>
      <c r="C12" s="156">
        <v>60</v>
      </c>
      <c r="D12" s="271">
        <v>5</v>
      </c>
      <c r="E12" s="271">
        <f t="shared" si="5"/>
        <v>55</v>
      </c>
      <c r="F12" s="277"/>
      <c r="G12" s="157">
        <v>151</v>
      </c>
      <c r="H12" s="270" t="s">
        <v>380</v>
      </c>
      <c r="I12" s="156">
        <v>60</v>
      </c>
      <c r="J12" s="156">
        <v>0</v>
      </c>
      <c r="K12" s="156">
        <f t="shared" si="1"/>
        <v>60</v>
      </c>
      <c r="L12" s="312"/>
      <c r="M12" s="157">
        <v>161</v>
      </c>
      <c r="N12" s="270" t="s">
        <v>352</v>
      </c>
      <c r="O12" s="156">
        <v>60</v>
      </c>
      <c r="P12" s="156">
        <v>0</v>
      </c>
      <c r="Q12" s="156">
        <f t="shared" si="2"/>
        <v>60</v>
      </c>
      <c r="R12" s="312"/>
      <c r="S12" s="157">
        <v>175</v>
      </c>
      <c r="T12" s="270" t="s">
        <v>317</v>
      </c>
      <c r="U12" s="156">
        <v>60</v>
      </c>
      <c r="V12" s="156">
        <v>60</v>
      </c>
      <c r="W12" s="156">
        <f t="shared" si="4"/>
        <v>0</v>
      </c>
      <c r="X12" s="312"/>
    </row>
    <row r="13" spans="1:24" ht="153" customHeight="1">
      <c r="A13" s="155">
        <v>142</v>
      </c>
      <c r="B13" s="270" t="s">
        <v>318</v>
      </c>
      <c r="C13" s="156">
        <v>60</v>
      </c>
      <c r="D13" s="271">
        <v>0</v>
      </c>
      <c r="E13" s="271">
        <f t="shared" si="5"/>
        <v>60</v>
      </c>
      <c r="F13" s="168"/>
      <c r="G13" s="313" t="s">
        <v>83</v>
      </c>
      <c r="H13" s="151">
        <f>+J13*26</f>
        <v>2288</v>
      </c>
      <c r="I13" s="152">
        <f>+SUM(I3:I12)</f>
        <v>600</v>
      </c>
      <c r="J13" s="152">
        <f>+SUM(J3:J12)</f>
        <v>88</v>
      </c>
      <c r="K13" s="152">
        <f>+SUM(K3:K12)</f>
        <v>512</v>
      </c>
      <c r="L13" s="312"/>
      <c r="M13" s="313" t="s">
        <v>83</v>
      </c>
      <c r="N13" s="151">
        <f>+P13*26</f>
        <v>11986</v>
      </c>
      <c r="O13" s="152">
        <f>+SUM(O3:O12)</f>
        <v>600</v>
      </c>
      <c r="P13" s="152">
        <f>+SUM(P3:P12)</f>
        <v>461</v>
      </c>
      <c r="Q13" s="152">
        <f>+SUM(Q3:Q12)</f>
        <v>139</v>
      </c>
      <c r="R13" s="312"/>
      <c r="S13" s="157">
        <v>174</v>
      </c>
      <c r="T13" s="270" t="s">
        <v>317</v>
      </c>
      <c r="U13" s="156">
        <v>60</v>
      </c>
      <c r="V13" s="156">
        <v>60</v>
      </c>
      <c r="W13" s="156">
        <f t="shared" si="4"/>
        <v>0</v>
      </c>
      <c r="X13" s="312"/>
    </row>
    <row r="14" spans="1:24" ht="108" customHeight="1">
      <c r="A14" s="155">
        <v>141</v>
      </c>
      <c r="B14" s="270" t="s">
        <v>318</v>
      </c>
      <c r="C14" s="156">
        <v>60</v>
      </c>
      <c r="D14" s="271">
        <v>0</v>
      </c>
      <c r="E14" s="271">
        <f t="shared" si="5"/>
        <v>60</v>
      </c>
      <c r="F14" s="168"/>
      <c r="G14" s="625" t="s">
        <v>84</v>
      </c>
      <c r="H14" s="626"/>
      <c r="I14" s="315"/>
      <c r="J14" s="660">
        <f>+H13/4</f>
        <v>572</v>
      </c>
      <c r="K14" s="661"/>
      <c r="L14" s="312"/>
      <c r="M14" s="625" t="s">
        <v>84</v>
      </c>
      <c r="N14" s="626"/>
      <c r="O14" s="314"/>
      <c r="P14" s="654">
        <f>+N13/4</f>
        <v>2996.5</v>
      </c>
      <c r="Q14" s="655"/>
      <c r="R14" s="312"/>
      <c r="S14" s="157">
        <v>173</v>
      </c>
      <c r="T14" s="270" t="s">
        <v>317</v>
      </c>
      <c r="U14" s="156">
        <v>60</v>
      </c>
      <c r="V14" s="156">
        <v>60</v>
      </c>
      <c r="W14" s="156">
        <f t="shared" si="4"/>
        <v>0</v>
      </c>
      <c r="X14" s="312"/>
    </row>
    <row r="15" spans="1:24" ht="134.25" customHeight="1">
      <c r="A15" s="313" t="s">
        <v>83</v>
      </c>
      <c r="B15" s="151">
        <f>+D15*26</f>
        <v>4810</v>
      </c>
      <c r="C15" s="152">
        <f>+SUM(C9:C14)</f>
        <v>360</v>
      </c>
      <c r="D15" s="152">
        <f>+SUM(D9:D14)</f>
        <v>185</v>
      </c>
      <c r="E15" s="152">
        <f>+SUM(E9:E14)</f>
        <v>175</v>
      </c>
      <c r="F15" s="277"/>
      <c r="L15" s="309"/>
      <c r="M15" s="319"/>
      <c r="N15" s="318"/>
      <c r="O15" s="273"/>
      <c r="P15" s="273"/>
      <c r="Q15" s="273"/>
      <c r="R15" s="309"/>
      <c r="S15" s="157">
        <v>172</v>
      </c>
      <c r="T15" s="270" t="s">
        <v>317</v>
      </c>
      <c r="U15" s="156">
        <v>60</v>
      </c>
      <c r="V15" s="156">
        <v>18</v>
      </c>
      <c r="W15" s="156">
        <f t="shared" si="4"/>
        <v>42</v>
      </c>
      <c r="X15" s="309"/>
    </row>
    <row r="16" spans="1:24" ht="102" customHeight="1">
      <c r="A16" s="625" t="s">
        <v>84</v>
      </c>
      <c r="B16" s="626"/>
      <c r="C16" s="315"/>
      <c r="D16" s="660">
        <f>+B15/4</f>
        <v>1202.5</v>
      </c>
      <c r="E16" s="661"/>
      <c r="F16" s="277"/>
      <c r="L16" s="309"/>
      <c r="M16" s="656"/>
      <c r="N16" s="657"/>
      <c r="O16" s="320"/>
      <c r="P16" s="658"/>
      <c r="Q16" s="659"/>
      <c r="R16" s="309"/>
      <c r="S16" s="157">
        <v>171</v>
      </c>
      <c r="T16" s="270" t="s">
        <v>317</v>
      </c>
      <c r="U16" s="156">
        <v>60</v>
      </c>
      <c r="V16" s="156">
        <v>0</v>
      </c>
      <c r="W16" s="156">
        <f t="shared" si="4"/>
        <v>60</v>
      </c>
      <c r="X16" s="309"/>
    </row>
    <row r="17" spans="2:23" ht="69.75" customHeight="1">
      <c r="B17" s="151"/>
      <c r="C17" s="152"/>
      <c r="D17" s="152"/>
      <c r="E17" s="152"/>
      <c r="S17" s="313" t="s">
        <v>83</v>
      </c>
      <c r="T17" s="151">
        <f>+V17*26</f>
        <v>5148</v>
      </c>
      <c r="U17" s="152">
        <f>+SUM(U12:U16)</f>
        <v>300</v>
      </c>
      <c r="V17" s="152">
        <f>+SUM(V12:V16)</f>
        <v>198</v>
      </c>
      <c r="W17" s="152">
        <f>+SUM(W12:W16)</f>
        <v>102</v>
      </c>
    </row>
    <row r="18" spans="2:23" ht="51.75" customHeight="1">
      <c r="B18" s="511"/>
      <c r="C18" s="314"/>
      <c r="D18" s="654"/>
      <c r="E18" s="655"/>
      <c r="S18" s="625" t="s">
        <v>84</v>
      </c>
      <c r="T18" s="626"/>
      <c r="U18" s="314"/>
      <c r="V18" s="654">
        <f>+T17/4</f>
        <v>1287</v>
      </c>
      <c r="W18" s="655"/>
    </row>
  </sheetData>
  <mergeCells count="21">
    <mergeCell ref="M1:Q1"/>
    <mergeCell ref="M16:N16"/>
    <mergeCell ref="P16:Q16"/>
    <mergeCell ref="D18:E18"/>
    <mergeCell ref="J14:K14"/>
    <mergeCell ref="A1:E1"/>
    <mergeCell ref="G1:K1"/>
    <mergeCell ref="G14:H14"/>
    <mergeCell ref="M14:N14"/>
    <mergeCell ref="P14:Q14"/>
    <mergeCell ref="A16:B16"/>
    <mergeCell ref="D16:E16"/>
    <mergeCell ref="A8:B8"/>
    <mergeCell ref="D8:E8"/>
    <mergeCell ref="S1:W1"/>
    <mergeCell ref="S18:T18"/>
    <mergeCell ref="V18:W18"/>
    <mergeCell ref="S11:T11"/>
    <mergeCell ref="V11:W11"/>
    <mergeCell ref="S7:T7"/>
    <mergeCell ref="V7:W7"/>
  </mergeCells>
  <pageMargins left="0" right="0" top="0" bottom="0" header="0" footer="0"/>
  <pageSetup paperSize="9" scale="54" fitToHeight="0" orientation="portrait" horizontalDpi="300" verticalDpi="300" r:id="rId1"/>
  <rowBreaks count="1" manualBreakCount="1">
    <brk id="16" max="4" man="1"/>
  </rowBreaks>
  <colBreaks count="1" manualBreakCount="1">
    <brk id="5" max="19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AK22"/>
  <sheetViews>
    <sheetView view="pageBreakPreview" topLeftCell="A7" zoomScale="60" workbookViewId="0">
      <selection activeCell="M12" sqref="M12"/>
    </sheetView>
  </sheetViews>
  <sheetFormatPr defaultColWidth="4.140625" defaultRowHeight="20.100000000000001" customHeight="1" thickBottom="1"/>
  <cols>
    <col min="1" max="1" width="22.42578125" style="167" customWidth="1"/>
    <col min="2" max="2" width="45.5703125" style="167" customWidth="1"/>
    <col min="3" max="3" width="23.42578125" style="167" customWidth="1"/>
    <col min="4" max="4" width="24.140625" style="167" customWidth="1"/>
    <col min="5" max="5" width="26.28515625" style="167" customWidth="1"/>
    <col min="6" max="6" width="0.28515625" style="470" customWidth="1"/>
    <col min="7" max="7" width="0.28515625" style="154" customWidth="1"/>
    <col min="8" max="8" width="4.140625" style="167"/>
    <col min="9" max="9" width="16" style="578" customWidth="1"/>
    <col min="10" max="10" width="35.140625" style="167" customWidth="1"/>
    <col min="11" max="11" width="20.85546875" style="167" customWidth="1"/>
    <col min="12" max="12" width="20.140625" style="167" customWidth="1"/>
    <col min="13" max="13" width="26.28515625" style="167" customWidth="1"/>
    <col min="14" max="14" width="4.140625" style="167"/>
    <col min="15" max="15" width="7.140625" style="167" customWidth="1"/>
    <col min="16" max="16" width="4.42578125" style="167" customWidth="1"/>
    <col min="17" max="17" width="5.28515625" style="167" customWidth="1"/>
    <col min="18" max="18" width="4.5703125" style="167" customWidth="1"/>
    <col min="19" max="19" width="0.42578125" style="370" customWidth="1"/>
    <col min="20" max="20" width="5.7109375" style="167" customWidth="1"/>
    <col min="21" max="21" width="5.5703125" style="167" customWidth="1"/>
    <col min="22" max="22" width="5" style="167" customWidth="1"/>
    <col min="23" max="23" width="4.140625" style="167" customWidth="1"/>
    <col min="24" max="24" width="3.7109375" style="167" customWidth="1"/>
    <col min="25" max="25" width="0.28515625" style="516" customWidth="1"/>
    <col min="26" max="26" width="5.7109375" style="167" customWidth="1"/>
    <col min="27" max="27" width="5.5703125" style="167" customWidth="1"/>
    <col min="28" max="28" width="5" style="167" customWidth="1"/>
    <col min="29" max="29" width="3.5703125" style="167" customWidth="1"/>
    <col min="30" max="30" width="3.140625" style="167" customWidth="1"/>
    <col min="31" max="31" width="0.42578125" style="516" customWidth="1"/>
    <col min="32" max="32" width="0" hidden="1" customWidth="1"/>
    <col min="33" max="33" width="5.7109375" style="167" customWidth="1"/>
    <col min="34" max="34" width="5.5703125" style="167" customWidth="1"/>
    <col min="35" max="35" width="5" style="167" customWidth="1"/>
    <col min="36" max="36" width="3.5703125" style="167" customWidth="1"/>
    <col min="37" max="37" width="3.140625" style="167" customWidth="1"/>
  </cols>
  <sheetData>
    <row r="1" spans="1:37" s="146" customFormat="1" ht="67.5" customHeight="1">
      <c r="A1" s="662" t="s">
        <v>381</v>
      </c>
      <c r="B1" s="663"/>
      <c r="C1" s="663"/>
      <c r="D1" s="663"/>
      <c r="E1" s="664"/>
      <c r="F1" s="468"/>
      <c r="G1" s="170"/>
      <c r="H1" s="515"/>
      <c r="I1" s="662" t="s">
        <v>340</v>
      </c>
      <c r="J1" s="663"/>
      <c r="K1" s="663"/>
      <c r="L1" s="663"/>
      <c r="M1" s="664"/>
    </row>
    <row r="2" spans="1:37" ht="54" customHeight="1">
      <c r="A2" s="307" t="s">
        <v>4</v>
      </c>
      <c r="B2" s="275" t="s">
        <v>3</v>
      </c>
      <c r="C2" s="275" t="s">
        <v>0</v>
      </c>
      <c r="D2" s="276" t="s">
        <v>1</v>
      </c>
      <c r="E2" s="276" t="s">
        <v>2</v>
      </c>
      <c r="F2" s="469"/>
      <c r="G2" s="171"/>
      <c r="H2" s="307"/>
      <c r="I2" s="307" t="s">
        <v>4</v>
      </c>
      <c r="J2" s="275" t="s">
        <v>3</v>
      </c>
      <c r="K2" s="275" t="s">
        <v>0</v>
      </c>
      <c r="L2" s="276" t="s">
        <v>1</v>
      </c>
      <c r="M2" s="276" t="s">
        <v>2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G2"/>
      <c r="AH2"/>
      <c r="AI2"/>
      <c r="AJ2"/>
      <c r="AK2"/>
    </row>
    <row r="3" spans="1:37" ht="54" customHeight="1">
      <c r="A3" s="307">
        <v>190</v>
      </c>
      <c r="B3" s="317" t="s">
        <v>356</v>
      </c>
      <c r="C3" s="275">
        <v>35</v>
      </c>
      <c r="D3" s="276">
        <v>0</v>
      </c>
      <c r="E3" s="276">
        <f>+SUM(C3-D3)</f>
        <v>35</v>
      </c>
      <c r="F3" s="469"/>
      <c r="G3" s="171"/>
      <c r="H3" s="575"/>
      <c r="I3" s="530">
        <v>200</v>
      </c>
      <c r="J3" s="536" t="s">
        <v>343</v>
      </c>
      <c r="K3" s="574">
        <v>35</v>
      </c>
      <c r="L3" s="574">
        <v>35</v>
      </c>
      <c r="M3" s="574">
        <f>SUM(K3-L3)</f>
        <v>0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G3"/>
      <c r="AH3"/>
      <c r="AI3"/>
      <c r="AJ3"/>
      <c r="AK3"/>
    </row>
    <row r="4" spans="1:37" ht="54" customHeight="1">
      <c r="A4" s="155">
        <v>189</v>
      </c>
      <c r="B4" s="317" t="s">
        <v>356</v>
      </c>
      <c r="C4" s="275">
        <v>35</v>
      </c>
      <c r="D4" s="276">
        <v>0</v>
      </c>
      <c r="E4" s="276">
        <f t="shared" ref="E4:E5" si="0">+SUM(C4-D4)</f>
        <v>35</v>
      </c>
      <c r="F4" s="469"/>
      <c r="G4" s="171"/>
      <c r="H4" s="576"/>
      <c r="I4" s="530">
        <v>199</v>
      </c>
      <c r="J4" s="536" t="s">
        <v>343</v>
      </c>
      <c r="K4" s="574">
        <v>35</v>
      </c>
      <c r="L4" s="574">
        <v>35</v>
      </c>
      <c r="M4" s="574">
        <f t="shared" ref="M4:M7" si="1">SUM(K4-L4)</f>
        <v>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G4"/>
      <c r="AH4"/>
      <c r="AI4"/>
      <c r="AJ4"/>
      <c r="AK4"/>
    </row>
    <row r="5" spans="1:37" ht="54" customHeight="1">
      <c r="A5" s="155">
        <v>188</v>
      </c>
      <c r="B5" s="317" t="s">
        <v>356</v>
      </c>
      <c r="C5" s="275">
        <v>35</v>
      </c>
      <c r="D5" s="276">
        <v>0</v>
      </c>
      <c r="E5" s="276">
        <f t="shared" si="0"/>
        <v>35</v>
      </c>
      <c r="F5" s="469"/>
      <c r="G5" s="171"/>
      <c r="H5" s="576"/>
      <c r="I5" s="530">
        <v>198</v>
      </c>
      <c r="J5" s="536" t="s">
        <v>343</v>
      </c>
      <c r="K5" s="574">
        <v>35</v>
      </c>
      <c r="L5" s="574">
        <v>35</v>
      </c>
      <c r="M5" s="574">
        <f t="shared" si="1"/>
        <v>0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G5"/>
      <c r="AH5"/>
      <c r="AI5"/>
      <c r="AJ5"/>
      <c r="AK5"/>
    </row>
    <row r="6" spans="1:37" ht="54" customHeight="1">
      <c r="A6" s="313" t="s">
        <v>83</v>
      </c>
      <c r="B6" s="151">
        <f>SUM(D6*16)</f>
        <v>0</v>
      </c>
      <c r="C6" s="152">
        <f>SUM(C3:C5)</f>
        <v>105</v>
      </c>
      <c r="D6" s="152">
        <f>SUM(D3:D5)</f>
        <v>0</v>
      </c>
      <c r="E6" s="152">
        <f>SUM(E3:E5)</f>
        <v>105</v>
      </c>
      <c r="F6" s="469"/>
      <c r="G6" s="171"/>
      <c r="H6" s="576"/>
      <c r="I6" s="577">
        <v>197</v>
      </c>
      <c r="J6" s="536" t="s">
        <v>343</v>
      </c>
      <c r="K6" s="574">
        <v>35</v>
      </c>
      <c r="L6" s="574">
        <v>35</v>
      </c>
      <c r="M6" s="574">
        <f t="shared" si="1"/>
        <v>0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G6"/>
      <c r="AH6"/>
      <c r="AI6"/>
      <c r="AJ6"/>
      <c r="AK6"/>
    </row>
    <row r="7" spans="1:37" ht="54" customHeight="1">
      <c r="A7" s="625" t="s">
        <v>84</v>
      </c>
      <c r="B7" s="626"/>
      <c r="C7" s="654">
        <f>+B6/2</f>
        <v>0</v>
      </c>
      <c r="D7" s="665"/>
      <c r="E7" s="655"/>
      <c r="F7" s="469"/>
      <c r="G7" s="171"/>
      <c r="H7" s="576"/>
      <c r="I7" s="530">
        <v>196</v>
      </c>
      <c r="J7" s="536" t="s">
        <v>343</v>
      </c>
      <c r="K7" s="574">
        <v>35</v>
      </c>
      <c r="L7" s="574">
        <v>10</v>
      </c>
      <c r="M7" s="574">
        <f t="shared" si="1"/>
        <v>25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G7"/>
      <c r="AH7"/>
      <c r="AI7"/>
      <c r="AJ7"/>
      <c r="AK7"/>
    </row>
    <row r="8" spans="1:37" ht="54" customHeight="1">
      <c r="A8" s="155">
        <v>187</v>
      </c>
      <c r="B8" s="317" t="s">
        <v>385</v>
      </c>
      <c r="C8" s="317">
        <v>35</v>
      </c>
      <c r="D8" s="317">
        <v>35</v>
      </c>
      <c r="E8" s="317">
        <f>+SUM(C8-D8)</f>
        <v>0</v>
      </c>
      <c r="F8" s="469"/>
      <c r="G8" s="171"/>
      <c r="H8" s="576"/>
      <c r="I8" s="313" t="s">
        <v>83</v>
      </c>
      <c r="J8" s="591">
        <f>SUM(L8*16)</f>
        <v>2400</v>
      </c>
      <c r="K8" s="590">
        <f>SUM(K3:K7)</f>
        <v>175</v>
      </c>
      <c r="L8" s="590">
        <f>SUM(L3:L7)</f>
        <v>150</v>
      </c>
      <c r="M8" s="590">
        <f>SUM(M3:M7)</f>
        <v>25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G8"/>
      <c r="AH8"/>
      <c r="AI8"/>
      <c r="AJ8"/>
      <c r="AK8"/>
    </row>
    <row r="9" spans="1:37" ht="54" customHeight="1">
      <c r="A9" s="155">
        <v>186</v>
      </c>
      <c r="B9" s="317" t="s">
        <v>386</v>
      </c>
      <c r="C9" s="317">
        <v>35</v>
      </c>
      <c r="D9" s="317">
        <v>35</v>
      </c>
      <c r="E9" s="317">
        <f>+SUM(C9-D9)</f>
        <v>0</v>
      </c>
      <c r="F9" s="469"/>
      <c r="G9" s="171"/>
      <c r="H9" s="576"/>
      <c r="I9" s="625" t="s">
        <v>84</v>
      </c>
      <c r="J9" s="626"/>
      <c r="K9" s="654">
        <f>SUM(J8/2)</f>
        <v>1200</v>
      </c>
      <c r="L9" s="665"/>
      <c r="M9" s="655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G9"/>
      <c r="AH9"/>
      <c r="AI9"/>
      <c r="AJ9"/>
      <c r="AK9"/>
    </row>
    <row r="10" spans="1:37" ht="54" customHeight="1">
      <c r="A10" s="313" t="s">
        <v>83</v>
      </c>
      <c r="B10" s="151">
        <f>SUM(D10*16)</f>
        <v>1120</v>
      </c>
      <c r="C10" s="152">
        <f>SUM(C8:C9)</f>
        <v>70</v>
      </c>
      <c r="D10" s="152">
        <f>SUM(D8:D9)</f>
        <v>70</v>
      </c>
      <c r="E10" s="152">
        <f>SUM(E8:E9)</f>
        <v>0</v>
      </c>
      <c r="F10" s="469"/>
      <c r="G10" s="171"/>
      <c r="H10" s="576"/>
      <c r="I10" s="530">
        <v>195</v>
      </c>
      <c r="J10" s="540" t="s">
        <v>342</v>
      </c>
      <c r="K10" s="540">
        <v>35</v>
      </c>
      <c r="L10" s="540">
        <v>35</v>
      </c>
      <c r="M10" s="540">
        <f>+SUM(K10-L10)</f>
        <v>0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G10"/>
      <c r="AH10"/>
      <c r="AI10"/>
      <c r="AJ10"/>
      <c r="AK10"/>
    </row>
    <row r="11" spans="1:37" ht="54" customHeight="1">
      <c r="A11" s="625" t="s">
        <v>84</v>
      </c>
      <c r="B11" s="626"/>
      <c r="C11" s="654">
        <f>+B10/2</f>
        <v>560</v>
      </c>
      <c r="D11" s="665"/>
      <c r="E11" s="655"/>
      <c r="F11" s="469"/>
      <c r="G11" s="171"/>
      <c r="H11" s="576"/>
      <c r="I11" s="577">
        <v>194</v>
      </c>
      <c r="J11" s="540" t="s">
        <v>342</v>
      </c>
      <c r="K11" s="540">
        <v>35</v>
      </c>
      <c r="L11" s="540">
        <v>35</v>
      </c>
      <c r="M11" s="540">
        <f t="shared" ref="M11:M14" si="2">+SUM(K11-L11)</f>
        <v>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G11"/>
      <c r="AH11"/>
      <c r="AI11"/>
      <c r="AJ11"/>
      <c r="AK11"/>
    </row>
    <row r="12" spans="1:37" ht="54" customHeight="1">
      <c r="A12" s="155">
        <v>185</v>
      </c>
      <c r="B12" s="317" t="s">
        <v>384</v>
      </c>
      <c r="C12" s="317">
        <v>35</v>
      </c>
      <c r="D12" s="317">
        <v>0</v>
      </c>
      <c r="E12" s="317">
        <f>C12-D12</f>
        <v>35</v>
      </c>
      <c r="F12" s="469"/>
      <c r="G12" s="171"/>
      <c r="H12" s="576"/>
      <c r="I12" s="530">
        <v>193</v>
      </c>
      <c r="J12" s="540" t="s">
        <v>342</v>
      </c>
      <c r="K12" s="540">
        <v>35</v>
      </c>
      <c r="L12" s="540">
        <v>6</v>
      </c>
      <c r="M12" s="540">
        <f t="shared" si="2"/>
        <v>29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G12"/>
      <c r="AH12"/>
      <c r="AI12"/>
      <c r="AJ12"/>
      <c r="AK12"/>
    </row>
    <row r="13" spans="1:37" ht="56.25" customHeight="1">
      <c r="A13" s="155">
        <v>184</v>
      </c>
      <c r="B13" s="317" t="s">
        <v>384</v>
      </c>
      <c r="C13" s="317">
        <v>35</v>
      </c>
      <c r="D13" s="317">
        <v>0</v>
      </c>
      <c r="E13" s="317">
        <f t="shared" ref="E13:E14" si="3">C13-D13</f>
        <v>35</v>
      </c>
      <c r="F13" s="469"/>
      <c r="G13" s="171"/>
      <c r="H13" s="576"/>
      <c r="I13" s="530">
        <v>192</v>
      </c>
      <c r="J13" s="540" t="s">
        <v>342</v>
      </c>
      <c r="K13" s="540">
        <v>35</v>
      </c>
      <c r="L13" s="540">
        <v>0</v>
      </c>
      <c r="M13" s="540">
        <f t="shared" si="2"/>
        <v>35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G13"/>
      <c r="AH13"/>
      <c r="AI13"/>
      <c r="AJ13"/>
      <c r="AK13"/>
    </row>
    <row r="14" spans="1:37" ht="56.25" customHeight="1">
      <c r="A14" s="155">
        <v>183</v>
      </c>
      <c r="B14" s="317" t="s">
        <v>384</v>
      </c>
      <c r="C14" s="317">
        <v>35</v>
      </c>
      <c r="D14" s="317">
        <v>0</v>
      </c>
      <c r="E14" s="317">
        <f t="shared" si="3"/>
        <v>35</v>
      </c>
      <c r="F14" s="469"/>
      <c r="G14" s="171"/>
      <c r="H14" s="576"/>
      <c r="I14" s="530">
        <v>191</v>
      </c>
      <c r="J14" s="540" t="s">
        <v>342</v>
      </c>
      <c r="K14" s="540">
        <v>35</v>
      </c>
      <c r="L14" s="540">
        <v>0</v>
      </c>
      <c r="M14" s="540">
        <f t="shared" si="2"/>
        <v>35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G14"/>
      <c r="AH14"/>
      <c r="AI14"/>
      <c r="AJ14"/>
      <c r="AK14"/>
    </row>
    <row r="15" spans="1:37" ht="56.25" customHeight="1">
      <c r="A15" s="313" t="s">
        <v>83</v>
      </c>
      <c r="B15" s="151">
        <f>SUM(D15*16)</f>
        <v>0</v>
      </c>
      <c r="C15" s="152">
        <f>SUM(C12:C14)</f>
        <v>105</v>
      </c>
      <c r="D15" s="152">
        <f>SUM(D12:D14)</f>
        <v>0</v>
      </c>
      <c r="E15" s="152">
        <f>SUM(E1:E14)</f>
        <v>315</v>
      </c>
      <c r="F15" s="469"/>
      <c r="G15" s="171"/>
      <c r="H15" s="576"/>
      <c r="I15" s="313" t="s">
        <v>83</v>
      </c>
      <c r="J15" s="151">
        <f>SUM(L15*16)</f>
        <v>1216</v>
      </c>
      <c r="K15" s="152">
        <f>SUM(K10:K14)</f>
        <v>175</v>
      </c>
      <c r="L15" s="152">
        <f>SUM(L10:L14)</f>
        <v>76</v>
      </c>
      <c r="M15" s="152">
        <f>SUM(M10:M14)</f>
        <v>99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G15"/>
      <c r="AH15"/>
      <c r="AI15"/>
      <c r="AJ15"/>
      <c r="AK15"/>
    </row>
    <row r="16" spans="1:37" ht="54" customHeight="1">
      <c r="A16" s="625" t="s">
        <v>84</v>
      </c>
      <c r="B16" s="626"/>
      <c r="C16" s="654">
        <f>B15/2</f>
        <v>0</v>
      </c>
      <c r="D16" s="665"/>
      <c r="E16" s="655"/>
      <c r="F16" s="469"/>
      <c r="G16" s="171"/>
      <c r="H16" s="576"/>
      <c r="I16" s="625" t="s">
        <v>84</v>
      </c>
      <c r="J16" s="626"/>
      <c r="K16" s="654">
        <f>SUM(J15/2)</f>
        <v>608</v>
      </c>
      <c r="L16" s="665"/>
      <c r="M16" s="655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G16"/>
      <c r="AH16"/>
      <c r="AI16"/>
      <c r="AJ16"/>
      <c r="AK16"/>
    </row>
    <row r="17" spans="1:37" ht="54" customHeight="1">
      <c r="A17" s="155">
        <v>182</v>
      </c>
      <c r="B17" s="317" t="s">
        <v>341</v>
      </c>
      <c r="C17" s="317">
        <v>30</v>
      </c>
      <c r="D17" s="317">
        <v>30</v>
      </c>
      <c r="E17" s="317">
        <f t="shared" ref="E17:E18" si="4">C17-D17</f>
        <v>0</v>
      </c>
      <c r="F17" s="469"/>
      <c r="G17" s="171"/>
      <c r="H17" s="57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G17"/>
      <c r="AH17"/>
      <c r="AI17"/>
      <c r="AJ17"/>
      <c r="AK17"/>
    </row>
    <row r="18" spans="1:37" ht="54" customHeight="1">
      <c r="A18" s="155">
        <v>181</v>
      </c>
      <c r="B18" s="317" t="s">
        <v>341</v>
      </c>
      <c r="C18" s="317">
        <v>30</v>
      </c>
      <c r="D18" s="317">
        <v>14</v>
      </c>
      <c r="E18" s="317">
        <f t="shared" si="4"/>
        <v>16</v>
      </c>
      <c r="F18" s="469"/>
      <c r="G18" s="171"/>
      <c r="H18" s="57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G18"/>
      <c r="AH18"/>
      <c r="AI18"/>
      <c r="AJ18"/>
      <c r="AK18"/>
    </row>
    <row r="19" spans="1:37" ht="54" customHeight="1">
      <c r="A19" s="313" t="s">
        <v>83</v>
      </c>
      <c r="B19" s="151">
        <f>SUM(D19*16)</f>
        <v>704</v>
      </c>
      <c r="C19" s="152">
        <f>SUM(C17:C18)</f>
        <v>60</v>
      </c>
      <c r="D19" s="152">
        <f>SUM(D17:D18)</f>
        <v>44</v>
      </c>
      <c r="E19" s="152">
        <f>SUM(E17:E18)</f>
        <v>16</v>
      </c>
      <c r="F19" s="469"/>
      <c r="G19" s="171"/>
      <c r="H19" s="313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G19"/>
      <c r="AH19"/>
      <c r="AI19"/>
      <c r="AJ19"/>
      <c r="AK19"/>
    </row>
    <row r="20" spans="1:37" ht="54" customHeight="1" thickBot="1">
      <c r="A20" s="625" t="s">
        <v>84</v>
      </c>
      <c r="B20" s="626"/>
      <c r="C20" s="654">
        <f>+B19/2</f>
        <v>352</v>
      </c>
      <c r="D20" s="665"/>
      <c r="E20" s="655"/>
      <c r="F20" s="469"/>
      <c r="G20" s="171"/>
      <c r="H20" s="514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G20"/>
      <c r="AH20"/>
      <c r="AI20"/>
      <c r="AJ20"/>
      <c r="AK20"/>
    </row>
    <row r="21" spans="1:37" ht="20.100000000000001" customHeight="1" thickBot="1"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G21"/>
      <c r="AH21"/>
      <c r="AI21"/>
      <c r="AJ21"/>
      <c r="AK21"/>
    </row>
    <row r="22" spans="1:37" ht="20.100000000000001" customHeight="1"/>
  </sheetData>
  <mergeCells count="14">
    <mergeCell ref="A1:E1"/>
    <mergeCell ref="I1:M1"/>
    <mergeCell ref="I9:J9"/>
    <mergeCell ref="C20:E20"/>
    <mergeCell ref="C16:E16"/>
    <mergeCell ref="C11:E11"/>
    <mergeCell ref="C7:E7"/>
    <mergeCell ref="K16:M16"/>
    <mergeCell ref="K9:M9"/>
    <mergeCell ref="A7:B7"/>
    <mergeCell ref="A11:B11"/>
    <mergeCell ref="A16:B16"/>
    <mergeCell ref="A20:B20"/>
    <mergeCell ref="I16:J16"/>
  </mergeCells>
  <pageMargins left="0" right="0" top="0" bottom="0" header="0" footer="0"/>
  <pageSetup scale="72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A1:X18"/>
  <sheetViews>
    <sheetView showWhiteSpace="0" view="pageBreakPreview" zoomScale="60" zoomScaleNormal="60" zoomScalePageLayoutView="42" workbookViewId="0">
      <selection activeCell="V13" sqref="V13"/>
    </sheetView>
  </sheetViews>
  <sheetFormatPr defaultColWidth="4.140625" defaultRowHeight="20.100000000000001" customHeight="1"/>
  <cols>
    <col min="1" max="1" width="18.85546875" style="569" customWidth="1"/>
    <col min="2" max="2" width="42.42578125" style="569" customWidth="1"/>
    <col min="3" max="3" width="22" style="569" customWidth="1"/>
    <col min="4" max="4" width="19.85546875" style="569" customWidth="1"/>
    <col min="5" max="5" width="21.140625" style="569" customWidth="1"/>
    <col min="6" max="6" width="10.140625" style="569" customWidth="1"/>
    <col min="7" max="7" width="22.85546875" style="569" customWidth="1"/>
    <col min="8" max="8" width="41" style="569" customWidth="1"/>
    <col min="9" max="9" width="19.140625" style="569" customWidth="1"/>
    <col min="10" max="10" width="21.5703125" style="569" customWidth="1"/>
    <col min="11" max="11" width="25.28515625" style="569" customWidth="1"/>
    <col min="12" max="12" width="10.5703125" style="570" customWidth="1"/>
    <col min="13" max="13" width="25" style="569" customWidth="1"/>
    <col min="14" max="14" width="36.42578125" style="569" customWidth="1"/>
    <col min="15" max="15" width="17.7109375" style="569" customWidth="1"/>
    <col min="16" max="16" width="22.140625" style="569" customWidth="1"/>
    <col min="17" max="17" width="23.7109375" style="569" customWidth="1"/>
    <col min="18" max="18" width="16.140625" style="559" customWidth="1"/>
    <col min="19" max="19" width="23.42578125" style="569" customWidth="1"/>
    <col min="20" max="20" width="43.85546875" style="569" customWidth="1"/>
    <col min="21" max="21" width="26" style="569" customWidth="1"/>
    <col min="22" max="22" width="25.140625" style="569" customWidth="1"/>
    <col min="23" max="23" width="36.85546875" style="561" customWidth="1"/>
    <col min="24" max="24" width="0.42578125" style="573" customWidth="1"/>
    <col min="25" max="26" width="4.140625" style="299"/>
    <col min="27" max="27" width="11.5703125" style="299" bestFit="1" customWidth="1"/>
    <col min="28" max="16384" width="4.140625" style="299"/>
  </cols>
  <sheetData>
    <row r="1" spans="1:24" s="553" customFormat="1" ht="120" customHeight="1">
      <c r="A1" s="666" t="s">
        <v>382</v>
      </c>
      <c r="B1" s="667"/>
      <c r="C1" s="667"/>
      <c r="D1" s="667"/>
      <c r="E1" s="668"/>
      <c r="F1" s="550"/>
      <c r="G1" s="666" t="s">
        <v>383</v>
      </c>
      <c r="H1" s="667"/>
      <c r="I1" s="667"/>
      <c r="J1" s="667"/>
      <c r="K1" s="669"/>
      <c r="L1" s="551"/>
      <c r="M1" s="666" t="s">
        <v>387</v>
      </c>
      <c r="N1" s="667"/>
      <c r="O1" s="667"/>
      <c r="P1" s="667"/>
      <c r="Q1" s="669"/>
      <c r="R1" s="552"/>
      <c r="S1" s="672" t="s">
        <v>388</v>
      </c>
      <c r="T1" s="667"/>
      <c r="U1" s="667"/>
      <c r="V1" s="667"/>
      <c r="W1" s="669"/>
      <c r="X1" s="571"/>
    </row>
    <row r="2" spans="1:24" ht="75" customHeight="1">
      <c r="A2" s="554" t="s">
        <v>4</v>
      </c>
      <c r="B2" s="555" t="s">
        <v>3</v>
      </c>
      <c r="C2" s="555" t="s">
        <v>0</v>
      </c>
      <c r="D2" s="556" t="s">
        <v>1</v>
      </c>
      <c r="E2" s="556" t="s">
        <v>2</v>
      </c>
      <c r="F2" s="557"/>
      <c r="G2" s="554" t="s">
        <v>4</v>
      </c>
      <c r="H2" s="555" t="s">
        <v>3</v>
      </c>
      <c r="I2" s="555" t="s">
        <v>0</v>
      </c>
      <c r="J2" s="556" t="s">
        <v>1</v>
      </c>
      <c r="K2" s="556" t="s">
        <v>2</v>
      </c>
      <c r="L2" s="558"/>
      <c r="M2" s="554" t="s">
        <v>4</v>
      </c>
      <c r="N2" s="555" t="s">
        <v>3</v>
      </c>
      <c r="O2" s="555" t="s">
        <v>0</v>
      </c>
      <c r="P2" s="556" t="s">
        <v>1</v>
      </c>
      <c r="Q2" s="556" t="s">
        <v>2</v>
      </c>
      <c r="S2" s="563">
        <v>240</v>
      </c>
      <c r="T2" s="561" t="s">
        <v>389</v>
      </c>
      <c r="U2" s="561">
        <v>30</v>
      </c>
      <c r="V2" s="562">
        <v>30</v>
      </c>
      <c r="W2" s="561">
        <f>U2-V2</f>
        <v>0</v>
      </c>
      <c r="X2" s="572"/>
    </row>
    <row r="3" spans="1:24" ht="65.25" customHeight="1">
      <c r="A3" s="560">
        <v>210</v>
      </c>
      <c r="B3" s="561" t="s">
        <v>322</v>
      </c>
      <c r="C3" s="561">
        <v>30</v>
      </c>
      <c r="D3" s="561">
        <v>0</v>
      </c>
      <c r="E3" s="561">
        <f>C3-D3</f>
        <v>30</v>
      </c>
      <c r="F3" s="557"/>
      <c r="G3" s="560">
        <v>220</v>
      </c>
      <c r="H3" s="561" t="s">
        <v>324</v>
      </c>
      <c r="I3" s="561">
        <v>30</v>
      </c>
      <c r="J3" s="561">
        <v>3</v>
      </c>
      <c r="K3" s="561">
        <f>I3-J3</f>
        <v>27</v>
      </c>
      <c r="L3" s="558"/>
      <c r="M3" s="560">
        <v>230</v>
      </c>
      <c r="N3" s="561" t="s">
        <v>325</v>
      </c>
      <c r="O3" s="561">
        <v>30</v>
      </c>
      <c r="P3" s="561">
        <v>0</v>
      </c>
      <c r="Q3" s="561">
        <f>O3-P3</f>
        <v>30</v>
      </c>
      <c r="S3" s="563">
        <v>239</v>
      </c>
      <c r="T3" s="561" t="s">
        <v>389</v>
      </c>
      <c r="U3" s="561">
        <v>30</v>
      </c>
      <c r="V3" s="562">
        <v>1</v>
      </c>
      <c r="W3" s="561">
        <f>U3-V3</f>
        <v>29</v>
      </c>
      <c r="X3" s="572"/>
    </row>
    <row r="4" spans="1:24" ht="63" customHeight="1">
      <c r="A4" s="560">
        <v>209</v>
      </c>
      <c r="B4" s="561" t="s">
        <v>322</v>
      </c>
      <c r="C4" s="561">
        <v>30</v>
      </c>
      <c r="D4" s="561">
        <v>0</v>
      </c>
      <c r="E4" s="561">
        <f t="shared" ref="E4:E12" si="0">C4-D4</f>
        <v>30</v>
      </c>
      <c r="F4" s="557"/>
      <c r="G4" s="560">
        <v>219</v>
      </c>
      <c r="H4" s="561" t="s">
        <v>324</v>
      </c>
      <c r="I4" s="561">
        <v>30</v>
      </c>
      <c r="J4" s="561">
        <v>0</v>
      </c>
      <c r="K4" s="561">
        <f t="shared" ref="K4:K12" si="1">I4-J4</f>
        <v>30</v>
      </c>
      <c r="L4" s="558"/>
      <c r="M4" s="560">
        <v>229</v>
      </c>
      <c r="N4" s="561" t="s">
        <v>325</v>
      </c>
      <c r="O4" s="561">
        <v>30</v>
      </c>
      <c r="P4" s="561">
        <v>0</v>
      </c>
      <c r="Q4" s="561">
        <f t="shared" ref="Q4:Q12" si="2">O4-P4</f>
        <v>30</v>
      </c>
      <c r="S4" s="564" t="s">
        <v>83</v>
      </c>
      <c r="T4" s="565">
        <f>V4*18</f>
        <v>558</v>
      </c>
      <c r="U4" s="566">
        <f>SUM(U2:U3)</f>
        <v>60</v>
      </c>
      <c r="V4" s="568">
        <f>SUM(V2:V3)</f>
        <v>31</v>
      </c>
      <c r="W4" s="566">
        <f>SUM(W2:W3)</f>
        <v>29</v>
      </c>
      <c r="X4" s="572"/>
    </row>
    <row r="5" spans="1:24" ht="69.75" customHeight="1">
      <c r="A5" s="560">
        <v>208</v>
      </c>
      <c r="B5" s="561" t="s">
        <v>322</v>
      </c>
      <c r="C5" s="561">
        <v>30</v>
      </c>
      <c r="D5" s="561">
        <v>0</v>
      </c>
      <c r="E5" s="561">
        <f t="shared" si="0"/>
        <v>30</v>
      </c>
      <c r="F5" s="557"/>
      <c r="G5" s="560">
        <v>218</v>
      </c>
      <c r="H5" s="561" t="s">
        <v>324</v>
      </c>
      <c r="I5" s="561">
        <v>30</v>
      </c>
      <c r="J5" s="561">
        <v>0</v>
      </c>
      <c r="K5" s="561">
        <f t="shared" si="1"/>
        <v>30</v>
      </c>
      <c r="L5" s="558"/>
      <c r="M5" s="560">
        <v>228</v>
      </c>
      <c r="N5" s="561" t="s">
        <v>325</v>
      </c>
      <c r="O5" s="561">
        <v>30</v>
      </c>
      <c r="P5" s="561">
        <v>0</v>
      </c>
      <c r="Q5" s="561">
        <f t="shared" si="2"/>
        <v>30</v>
      </c>
      <c r="S5" s="670" t="s">
        <v>84</v>
      </c>
      <c r="T5" s="671"/>
      <c r="U5" s="673">
        <f>(T4/2)</f>
        <v>279</v>
      </c>
      <c r="V5" s="674"/>
      <c r="W5" s="675"/>
      <c r="X5" s="572"/>
    </row>
    <row r="6" spans="1:24" ht="64.5" customHeight="1">
      <c r="A6" s="560">
        <v>207</v>
      </c>
      <c r="B6" s="561" t="s">
        <v>322</v>
      </c>
      <c r="C6" s="561">
        <v>30</v>
      </c>
      <c r="D6" s="561">
        <v>0</v>
      </c>
      <c r="E6" s="561">
        <f t="shared" si="0"/>
        <v>30</v>
      </c>
      <c r="F6" s="557"/>
      <c r="G6" s="560">
        <v>217</v>
      </c>
      <c r="H6" s="561" t="s">
        <v>324</v>
      </c>
      <c r="I6" s="561">
        <v>30</v>
      </c>
      <c r="J6" s="561">
        <v>0</v>
      </c>
      <c r="K6" s="561">
        <f t="shared" si="1"/>
        <v>30</v>
      </c>
      <c r="L6" s="558"/>
      <c r="M6" s="560">
        <v>227</v>
      </c>
      <c r="N6" s="561" t="s">
        <v>325</v>
      </c>
      <c r="O6" s="561">
        <v>30</v>
      </c>
      <c r="P6" s="561">
        <v>0</v>
      </c>
      <c r="Q6" s="561">
        <f t="shared" si="2"/>
        <v>30</v>
      </c>
      <c r="S6" s="563">
        <v>238</v>
      </c>
      <c r="T6" s="561" t="s">
        <v>326</v>
      </c>
      <c r="U6" s="561">
        <v>30</v>
      </c>
      <c r="V6" s="562">
        <v>0</v>
      </c>
      <c r="W6" s="561">
        <f>U6-V6</f>
        <v>30</v>
      </c>
      <c r="X6" s="572"/>
    </row>
    <row r="7" spans="1:24" ht="67.5" customHeight="1">
      <c r="A7" s="560">
        <v>206</v>
      </c>
      <c r="B7" s="561" t="s">
        <v>322</v>
      </c>
      <c r="C7" s="561">
        <v>30</v>
      </c>
      <c r="D7" s="561">
        <v>0</v>
      </c>
      <c r="E7" s="561">
        <f t="shared" si="0"/>
        <v>30</v>
      </c>
      <c r="F7" s="557"/>
      <c r="G7" s="560">
        <v>216</v>
      </c>
      <c r="H7" s="561" t="s">
        <v>324</v>
      </c>
      <c r="I7" s="561">
        <v>30</v>
      </c>
      <c r="J7" s="561">
        <v>0</v>
      </c>
      <c r="K7" s="561">
        <f t="shared" si="1"/>
        <v>30</v>
      </c>
      <c r="L7" s="558"/>
      <c r="M7" s="560">
        <v>226</v>
      </c>
      <c r="N7" s="561" t="s">
        <v>325</v>
      </c>
      <c r="O7" s="561">
        <v>30</v>
      </c>
      <c r="P7" s="561">
        <v>0</v>
      </c>
      <c r="Q7" s="561">
        <f t="shared" si="2"/>
        <v>30</v>
      </c>
      <c r="S7" s="563">
        <v>237</v>
      </c>
      <c r="T7" s="561" t="s">
        <v>326</v>
      </c>
      <c r="U7" s="561">
        <v>30</v>
      </c>
      <c r="V7" s="562">
        <v>0</v>
      </c>
      <c r="W7" s="561">
        <f>U7-V7</f>
        <v>30</v>
      </c>
      <c r="X7" s="572"/>
    </row>
    <row r="8" spans="1:24" ht="75" customHeight="1">
      <c r="A8" s="560">
        <v>205</v>
      </c>
      <c r="B8" s="561" t="s">
        <v>322</v>
      </c>
      <c r="C8" s="561">
        <v>30</v>
      </c>
      <c r="D8" s="561">
        <v>0</v>
      </c>
      <c r="E8" s="561">
        <f t="shared" si="0"/>
        <v>30</v>
      </c>
      <c r="F8" s="557"/>
      <c r="G8" s="560">
        <v>215</v>
      </c>
      <c r="H8" s="561" t="s">
        <v>324</v>
      </c>
      <c r="I8" s="561">
        <v>30</v>
      </c>
      <c r="J8" s="561">
        <v>0</v>
      </c>
      <c r="K8" s="561">
        <f t="shared" si="1"/>
        <v>30</v>
      </c>
      <c r="L8" s="558"/>
      <c r="M8" s="560">
        <v>225</v>
      </c>
      <c r="N8" s="561" t="s">
        <v>325</v>
      </c>
      <c r="O8" s="561">
        <v>30</v>
      </c>
      <c r="P8" s="561">
        <v>0</v>
      </c>
      <c r="Q8" s="561">
        <f t="shared" si="2"/>
        <v>30</v>
      </c>
      <c r="S8" s="563">
        <v>236</v>
      </c>
      <c r="T8" s="561" t="s">
        <v>326</v>
      </c>
      <c r="U8" s="561">
        <v>30</v>
      </c>
      <c r="V8" s="562">
        <v>0</v>
      </c>
      <c r="W8" s="561">
        <f>U8-V8</f>
        <v>30</v>
      </c>
      <c r="X8" s="572"/>
    </row>
    <row r="9" spans="1:24" ht="80.25" customHeight="1">
      <c r="A9" s="560">
        <v>204</v>
      </c>
      <c r="B9" s="561" t="s">
        <v>322</v>
      </c>
      <c r="C9" s="561">
        <v>30</v>
      </c>
      <c r="D9" s="561">
        <v>0</v>
      </c>
      <c r="E9" s="561">
        <f t="shared" si="0"/>
        <v>30</v>
      </c>
      <c r="F9" s="557"/>
      <c r="G9" s="560">
        <v>214</v>
      </c>
      <c r="H9" s="561" t="s">
        <v>324</v>
      </c>
      <c r="I9" s="561">
        <v>30</v>
      </c>
      <c r="J9" s="561">
        <v>0</v>
      </c>
      <c r="K9" s="561">
        <f t="shared" si="1"/>
        <v>30</v>
      </c>
      <c r="L9" s="558"/>
      <c r="M9" s="560">
        <v>224</v>
      </c>
      <c r="N9" s="561" t="s">
        <v>325</v>
      </c>
      <c r="O9" s="561">
        <v>30</v>
      </c>
      <c r="P9" s="561">
        <v>0</v>
      </c>
      <c r="Q9" s="561">
        <f t="shared" si="2"/>
        <v>30</v>
      </c>
      <c r="S9" s="563">
        <v>235</v>
      </c>
      <c r="T9" s="561" t="s">
        <v>326</v>
      </c>
      <c r="U9" s="561">
        <v>30</v>
      </c>
      <c r="V9" s="562">
        <v>0</v>
      </c>
      <c r="W9" s="561">
        <f>U9-V9</f>
        <v>30</v>
      </c>
      <c r="X9" s="569"/>
    </row>
    <row r="10" spans="1:24" ht="84" customHeight="1">
      <c r="A10" s="560">
        <v>203</v>
      </c>
      <c r="B10" s="561" t="s">
        <v>322</v>
      </c>
      <c r="C10" s="561">
        <v>30</v>
      </c>
      <c r="D10" s="561">
        <v>0</v>
      </c>
      <c r="E10" s="561">
        <f t="shared" si="0"/>
        <v>30</v>
      </c>
      <c r="F10" s="557"/>
      <c r="G10" s="560">
        <v>213</v>
      </c>
      <c r="H10" s="561" t="s">
        <v>324</v>
      </c>
      <c r="I10" s="561">
        <v>30</v>
      </c>
      <c r="J10" s="561">
        <v>0</v>
      </c>
      <c r="K10" s="561">
        <f t="shared" si="1"/>
        <v>30</v>
      </c>
      <c r="L10" s="558"/>
      <c r="M10" s="560">
        <v>223</v>
      </c>
      <c r="N10" s="561" t="s">
        <v>325</v>
      </c>
      <c r="O10" s="561">
        <v>30</v>
      </c>
      <c r="P10" s="561">
        <v>0</v>
      </c>
      <c r="Q10" s="561">
        <f t="shared" si="2"/>
        <v>30</v>
      </c>
      <c r="S10" s="564" t="s">
        <v>83</v>
      </c>
      <c r="T10" s="565">
        <f>+V10*18</f>
        <v>0</v>
      </c>
      <c r="U10" s="566">
        <f>SUM(U6:U9)</f>
        <v>120</v>
      </c>
      <c r="V10" s="568">
        <f>SUM(V6:V9)</f>
        <v>0</v>
      </c>
      <c r="W10" s="566">
        <f>SUM(W6:W9)</f>
        <v>120</v>
      </c>
      <c r="X10" s="569"/>
    </row>
    <row r="11" spans="1:24" ht="76.5" customHeight="1">
      <c r="A11" s="560">
        <v>202</v>
      </c>
      <c r="B11" s="561" t="s">
        <v>322</v>
      </c>
      <c r="C11" s="561">
        <v>30</v>
      </c>
      <c r="D11" s="561">
        <v>0</v>
      </c>
      <c r="E11" s="561">
        <f t="shared" si="0"/>
        <v>30</v>
      </c>
      <c r="F11" s="557"/>
      <c r="G11" s="560">
        <v>212</v>
      </c>
      <c r="H11" s="561" t="s">
        <v>324</v>
      </c>
      <c r="I11" s="561">
        <v>30</v>
      </c>
      <c r="J11" s="561">
        <v>0</v>
      </c>
      <c r="K11" s="561">
        <f t="shared" si="1"/>
        <v>30</v>
      </c>
      <c r="L11" s="558"/>
      <c r="M11" s="560">
        <v>222</v>
      </c>
      <c r="N11" s="561" t="s">
        <v>325</v>
      </c>
      <c r="O11" s="561">
        <v>30</v>
      </c>
      <c r="P11" s="561">
        <v>0</v>
      </c>
      <c r="Q11" s="561">
        <f t="shared" si="2"/>
        <v>30</v>
      </c>
      <c r="S11" s="670" t="s">
        <v>84</v>
      </c>
      <c r="T11" s="671"/>
      <c r="U11" s="673">
        <f>U10*2</f>
        <v>240</v>
      </c>
      <c r="V11" s="674"/>
      <c r="W11" s="675"/>
      <c r="X11" s="569"/>
    </row>
    <row r="12" spans="1:24" ht="65.25" customHeight="1">
      <c r="A12" s="560">
        <v>201</v>
      </c>
      <c r="B12" s="561" t="s">
        <v>322</v>
      </c>
      <c r="C12" s="561">
        <v>30</v>
      </c>
      <c r="D12" s="561">
        <v>0</v>
      </c>
      <c r="E12" s="561">
        <f t="shared" si="0"/>
        <v>30</v>
      </c>
      <c r="F12" s="557"/>
      <c r="G12" s="560">
        <v>211</v>
      </c>
      <c r="H12" s="561" t="s">
        <v>324</v>
      </c>
      <c r="I12" s="561">
        <v>30</v>
      </c>
      <c r="J12" s="561">
        <v>0</v>
      </c>
      <c r="K12" s="561">
        <f t="shared" si="1"/>
        <v>30</v>
      </c>
      <c r="L12" s="558"/>
      <c r="M12" s="560">
        <v>221</v>
      </c>
      <c r="N12" s="561" t="s">
        <v>325</v>
      </c>
      <c r="O12" s="561">
        <v>30</v>
      </c>
      <c r="P12" s="561">
        <v>0</v>
      </c>
      <c r="Q12" s="561">
        <f t="shared" si="2"/>
        <v>30</v>
      </c>
      <c r="S12" s="560">
        <v>234</v>
      </c>
      <c r="T12" s="561" t="s">
        <v>327</v>
      </c>
      <c r="U12" s="561">
        <v>30</v>
      </c>
      <c r="V12" s="562">
        <v>26</v>
      </c>
      <c r="W12" s="561">
        <f>U12-V12</f>
        <v>4</v>
      </c>
      <c r="X12" s="569"/>
    </row>
    <row r="13" spans="1:24" ht="129.75" customHeight="1">
      <c r="A13" s="567" t="s">
        <v>83</v>
      </c>
      <c r="B13" s="565">
        <f>D13*18</f>
        <v>0</v>
      </c>
      <c r="C13" s="566">
        <f>SUM(C3:C12)</f>
        <v>300</v>
      </c>
      <c r="D13" s="566">
        <f>SUM(D3:D12)</f>
        <v>0</v>
      </c>
      <c r="E13" s="566">
        <f>SUM(E3:E12)</f>
        <v>300</v>
      </c>
      <c r="F13" s="557"/>
      <c r="G13" s="567" t="s">
        <v>83</v>
      </c>
      <c r="H13" s="565">
        <f>SUM(J13*18)</f>
        <v>54</v>
      </c>
      <c r="I13" s="566">
        <f>SUM(I3:I12)</f>
        <v>300</v>
      </c>
      <c r="J13" s="566">
        <f>SUM(J3:J12)</f>
        <v>3</v>
      </c>
      <c r="K13" s="566">
        <f>SUM(K3:K12)</f>
        <v>297</v>
      </c>
      <c r="L13" s="558"/>
      <c r="M13" s="567" t="s">
        <v>83</v>
      </c>
      <c r="N13" s="565">
        <f>+P13*18</f>
        <v>0</v>
      </c>
      <c r="O13" s="566">
        <f>SUM(O3:O12)</f>
        <v>300</v>
      </c>
      <c r="P13" s="566">
        <f>SUM(P3:P12)</f>
        <v>0</v>
      </c>
      <c r="Q13" s="566">
        <f>SUM(Q3:Q12)</f>
        <v>300</v>
      </c>
      <c r="S13" s="560">
        <v>233</v>
      </c>
      <c r="T13" s="561" t="s">
        <v>327</v>
      </c>
      <c r="U13" s="561">
        <v>30</v>
      </c>
      <c r="V13" s="562">
        <v>0</v>
      </c>
      <c r="W13" s="561">
        <f>U13-V13</f>
        <v>30</v>
      </c>
      <c r="X13" s="569"/>
    </row>
    <row r="14" spans="1:24" ht="54" customHeight="1">
      <c r="A14" s="670" t="s">
        <v>84</v>
      </c>
      <c r="B14" s="671"/>
      <c r="C14" s="673">
        <f>+B13/2</f>
        <v>0</v>
      </c>
      <c r="D14" s="674"/>
      <c r="E14" s="675"/>
      <c r="F14" s="557"/>
      <c r="G14" s="670" t="s">
        <v>84</v>
      </c>
      <c r="H14" s="671"/>
      <c r="I14" s="673">
        <f>+H13/2</f>
        <v>27</v>
      </c>
      <c r="J14" s="674"/>
      <c r="K14" s="675"/>
      <c r="L14" s="558"/>
      <c r="M14" s="670" t="s">
        <v>84</v>
      </c>
      <c r="N14" s="671"/>
      <c r="O14" s="673">
        <f>+N13/2</f>
        <v>0</v>
      </c>
      <c r="P14" s="674"/>
      <c r="Q14" s="675"/>
      <c r="S14" s="560">
        <v>232</v>
      </c>
      <c r="T14" s="561" t="s">
        <v>327</v>
      </c>
      <c r="U14" s="561">
        <v>30</v>
      </c>
      <c r="V14" s="562">
        <v>0</v>
      </c>
      <c r="W14" s="561">
        <f>U14-V14</f>
        <v>30</v>
      </c>
      <c r="X14" s="569"/>
    </row>
    <row r="15" spans="1:24" ht="60.75" customHeight="1">
      <c r="S15" s="560">
        <v>231</v>
      </c>
      <c r="T15" s="561" t="s">
        <v>327</v>
      </c>
      <c r="U15" s="561">
        <v>30</v>
      </c>
      <c r="V15" s="562">
        <v>0</v>
      </c>
      <c r="W15" s="561">
        <f>U15-V15</f>
        <v>30</v>
      </c>
      <c r="X15" s="569"/>
    </row>
    <row r="16" spans="1:24" ht="80.25" customHeight="1">
      <c r="S16" s="564" t="s">
        <v>83</v>
      </c>
      <c r="T16" s="565">
        <f>+V16*18</f>
        <v>468</v>
      </c>
      <c r="U16" s="566">
        <f>SUM(U12:U15)</f>
        <v>120</v>
      </c>
      <c r="V16" s="568">
        <f>SUM(V12:V15)</f>
        <v>26</v>
      </c>
      <c r="W16" s="566">
        <f>SUM(W12:W15)</f>
        <v>94</v>
      </c>
      <c r="X16" s="569"/>
    </row>
    <row r="17" spans="19:23" ht="57" customHeight="1">
      <c r="S17" s="670" t="s">
        <v>84</v>
      </c>
      <c r="T17" s="671"/>
      <c r="U17" s="673">
        <f>U16*2</f>
        <v>240</v>
      </c>
      <c r="V17" s="674"/>
      <c r="W17" s="675"/>
    </row>
    <row r="18" spans="19:23" ht="20.100000000000001" customHeight="1">
      <c r="S18" s="559"/>
    </row>
  </sheetData>
  <mergeCells count="16">
    <mergeCell ref="A1:E1"/>
    <mergeCell ref="G1:K1"/>
    <mergeCell ref="G14:H14"/>
    <mergeCell ref="M1:Q1"/>
    <mergeCell ref="S17:T17"/>
    <mergeCell ref="M14:N14"/>
    <mergeCell ref="S11:T11"/>
    <mergeCell ref="S5:T5"/>
    <mergeCell ref="S1:W1"/>
    <mergeCell ref="C14:E14"/>
    <mergeCell ref="I14:K14"/>
    <mergeCell ref="O14:Q14"/>
    <mergeCell ref="U17:W17"/>
    <mergeCell ref="U11:W11"/>
    <mergeCell ref="U5:W5"/>
    <mergeCell ref="A14:B14"/>
  </mergeCells>
  <pageMargins left="0" right="0" top="0" bottom="0" header="0" footer="0"/>
  <pageSetup paperSize="9" scale="75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00FF"/>
  </sheetPr>
  <dimension ref="A1:L789"/>
  <sheetViews>
    <sheetView workbookViewId="0">
      <selection activeCell="A18" sqref="A18:C18"/>
    </sheetView>
  </sheetViews>
  <sheetFormatPr defaultColWidth="2.7109375" defaultRowHeight="20.100000000000001" customHeight="1"/>
  <cols>
    <col min="1" max="1" width="4.7109375" style="67" customWidth="1"/>
    <col min="2" max="2" width="4.85546875" style="67" customWidth="1"/>
    <col min="3" max="4" width="3.140625" style="67" customWidth="1"/>
    <col min="5" max="5" width="3" style="67" customWidth="1"/>
    <col min="6" max="6" width="0.28515625" style="67" customWidth="1"/>
    <col min="7" max="7" width="7.28515625" style="67" customWidth="1"/>
    <col min="8" max="8" width="4.7109375" style="67" customWidth="1"/>
    <col min="9" max="9" width="3.5703125" style="67" customWidth="1"/>
    <col min="10" max="11" width="3" style="67" customWidth="1"/>
    <col min="12" max="12" width="0.42578125" style="67" customWidth="1"/>
    <col min="13" max="16384" width="2.7109375" style="67"/>
  </cols>
  <sheetData>
    <row r="1" spans="1:12" s="63" customFormat="1" ht="38.25" customHeight="1">
      <c r="A1" s="686" t="s">
        <v>81</v>
      </c>
      <c r="B1" s="686"/>
      <c r="C1" s="686"/>
      <c r="D1" s="686"/>
      <c r="E1" s="686"/>
      <c r="F1" s="61"/>
      <c r="G1" s="686" t="s">
        <v>82</v>
      </c>
      <c r="H1" s="686"/>
      <c r="I1" s="686"/>
      <c r="J1" s="686"/>
      <c r="K1" s="686"/>
      <c r="L1" s="62"/>
    </row>
    <row r="2" spans="1:12" ht="38.25" customHeight="1">
      <c r="A2" s="64" t="s">
        <v>4</v>
      </c>
      <c r="B2" s="58" t="s">
        <v>3</v>
      </c>
      <c r="C2" s="58" t="s">
        <v>0</v>
      </c>
      <c r="D2" s="58" t="s">
        <v>1</v>
      </c>
      <c r="E2" s="58" t="s">
        <v>60</v>
      </c>
      <c r="F2" s="65"/>
      <c r="G2" s="64" t="s">
        <v>4</v>
      </c>
      <c r="H2" s="58" t="s">
        <v>3</v>
      </c>
      <c r="I2" s="58" t="s">
        <v>0</v>
      </c>
      <c r="J2" s="58" t="s">
        <v>1</v>
      </c>
      <c r="K2" s="58" t="s">
        <v>60</v>
      </c>
      <c r="L2" s="66"/>
    </row>
    <row r="3" spans="1:12" ht="38.25" customHeight="1">
      <c r="A3" s="53">
        <v>130</v>
      </c>
      <c r="B3" s="68" t="s">
        <v>118</v>
      </c>
      <c r="C3" s="69">
        <v>154</v>
      </c>
      <c r="D3" s="69">
        <v>3</v>
      </c>
      <c r="E3" s="60">
        <f>+C3-D3</f>
        <v>151</v>
      </c>
      <c r="F3" s="65"/>
      <c r="G3" s="53">
        <v>140</v>
      </c>
      <c r="H3" s="68" t="s">
        <v>122</v>
      </c>
      <c r="I3" s="70">
        <v>154</v>
      </c>
      <c r="J3" s="69">
        <v>0</v>
      </c>
      <c r="K3" s="60">
        <f>+I3-J3</f>
        <v>154</v>
      </c>
      <c r="L3" s="71"/>
    </row>
    <row r="4" spans="1:12" ht="38.25" customHeight="1">
      <c r="A4" s="53">
        <v>129</v>
      </c>
      <c r="B4" s="68" t="s">
        <v>118</v>
      </c>
      <c r="C4" s="69">
        <v>154</v>
      </c>
      <c r="D4" s="69">
        <v>0</v>
      </c>
      <c r="E4" s="60">
        <f t="shared" ref="E4:E16" si="0">+C4-D4</f>
        <v>154</v>
      </c>
      <c r="F4" s="65"/>
      <c r="G4" s="53">
        <v>139</v>
      </c>
      <c r="H4" s="68" t="s">
        <v>122</v>
      </c>
      <c r="I4" s="70">
        <v>154</v>
      </c>
      <c r="J4" s="69">
        <v>0</v>
      </c>
      <c r="K4" s="60">
        <f t="shared" ref="K4:K18" si="1">+I4-J4</f>
        <v>154</v>
      </c>
      <c r="L4" s="71"/>
    </row>
    <row r="5" spans="1:12" ht="38.25" customHeight="1">
      <c r="A5" s="72">
        <v>128</v>
      </c>
      <c r="B5" s="68" t="s">
        <v>118</v>
      </c>
      <c r="C5" s="73">
        <v>154</v>
      </c>
      <c r="D5" s="74">
        <v>0</v>
      </c>
      <c r="E5" s="75">
        <f t="shared" si="0"/>
        <v>154</v>
      </c>
      <c r="F5" s="76"/>
      <c r="G5" s="77" t="s">
        <v>83</v>
      </c>
      <c r="H5" s="78">
        <f>+J5*58</f>
        <v>0</v>
      </c>
      <c r="I5" s="53">
        <f>+SUM(I1:I4)</f>
        <v>308</v>
      </c>
      <c r="J5" s="53">
        <f>+SUM(J1:J4)</f>
        <v>0</v>
      </c>
      <c r="K5" s="53">
        <f>+SUM(K1:K4)</f>
        <v>308</v>
      </c>
      <c r="L5" s="79"/>
    </row>
    <row r="6" spans="1:12" ht="38.25" customHeight="1">
      <c r="A6" s="80">
        <v>127</v>
      </c>
      <c r="B6" s="68" t="s">
        <v>118</v>
      </c>
      <c r="C6" s="70">
        <v>154</v>
      </c>
      <c r="D6" s="70">
        <v>0</v>
      </c>
      <c r="E6" s="81">
        <f t="shared" si="0"/>
        <v>154</v>
      </c>
      <c r="F6" s="82"/>
      <c r="G6" s="680" t="s">
        <v>84</v>
      </c>
      <c r="H6" s="681"/>
      <c r="I6" s="682"/>
      <c r="J6" s="683">
        <f>+H5/6</f>
        <v>0</v>
      </c>
      <c r="K6" s="682"/>
      <c r="L6" s="79"/>
    </row>
    <row r="7" spans="1:12" ht="38.25" customHeight="1">
      <c r="A7" s="77" t="s">
        <v>83</v>
      </c>
      <c r="B7" s="78">
        <f>+D7*58</f>
        <v>174</v>
      </c>
      <c r="C7" s="53">
        <f>+SUM(C3:C6)</f>
        <v>616</v>
      </c>
      <c r="D7" s="53">
        <f>+SUM(D3:D6)</f>
        <v>3</v>
      </c>
      <c r="E7" s="83">
        <f>+SUM(E3:E6)</f>
        <v>613</v>
      </c>
      <c r="F7" s="84"/>
      <c r="G7" s="72">
        <v>138</v>
      </c>
      <c r="H7" s="85" t="s">
        <v>121</v>
      </c>
      <c r="I7" s="74">
        <v>154</v>
      </c>
      <c r="J7" s="74">
        <v>0</v>
      </c>
      <c r="K7" s="86">
        <f t="shared" si="1"/>
        <v>154</v>
      </c>
      <c r="L7" s="87"/>
    </row>
    <row r="8" spans="1:12" ht="38.25" customHeight="1">
      <c r="A8" s="680" t="s">
        <v>84</v>
      </c>
      <c r="B8" s="681"/>
      <c r="C8" s="682"/>
      <c r="D8" s="683">
        <f>+B7/6</f>
        <v>29</v>
      </c>
      <c r="E8" s="682"/>
      <c r="F8" s="84"/>
      <c r="G8" s="80">
        <v>137</v>
      </c>
      <c r="H8" s="68" t="s">
        <v>121</v>
      </c>
      <c r="I8" s="70">
        <v>154</v>
      </c>
      <c r="J8" s="70">
        <v>0</v>
      </c>
      <c r="K8" s="60">
        <f t="shared" si="1"/>
        <v>154</v>
      </c>
      <c r="L8" s="87"/>
    </row>
    <row r="9" spans="1:12" ht="38.25" customHeight="1">
      <c r="A9" s="80">
        <v>126</v>
      </c>
      <c r="B9" s="68" t="s">
        <v>117</v>
      </c>
      <c r="C9" s="70">
        <v>154</v>
      </c>
      <c r="D9" s="70">
        <v>0</v>
      </c>
      <c r="E9" s="81">
        <f t="shared" si="0"/>
        <v>154</v>
      </c>
      <c r="F9" s="82"/>
      <c r="G9" s="80">
        <v>136</v>
      </c>
      <c r="H9" s="68" t="s">
        <v>121</v>
      </c>
      <c r="I9" s="70">
        <v>154</v>
      </c>
      <c r="J9" s="70">
        <v>0</v>
      </c>
      <c r="K9" s="60">
        <f t="shared" si="1"/>
        <v>154</v>
      </c>
      <c r="L9" s="87"/>
    </row>
    <row r="10" spans="1:12" ht="38.25" customHeight="1">
      <c r="A10" s="80">
        <v>125</v>
      </c>
      <c r="B10" s="68" t="s">
        <v>117</v>
      </c>
      <c r="C10" s="70">
        <v>154</v>
      </c>
      <c r="D10" s="70">
        <v>0</v>
      </c>
      <c r="E10" s="81">
        <f t="shared" si="0"/>
        <v>154</v>
      </c>
      <c r="F10" s="82"/>
      <c r="G10" s="77" t="s">
        <v>83</v>
      </c>
      <c r="H10" s="78">
        <f>+J10*58</f>
        <v>0</v>
      </c>
      <c r="I10" s="53">
        <f>+SUM(I6:I9)</f>
        <v>462</v>
      </c>
      <c r="J10" s="53">
        <f>+SUM(J6:J9)</f>
        <v>0</v>
      </c>
      <c r="K10" s="53">
        <f>+SUM(K6:K9)</f>
        <v>462</v>
      </c>
      <c r="L10" s="87"/>
    </row>
    <row r="11" spans="1:12" ht="38.25" customHeight="1">
      <c r="A11" s="80">
        <v>124</v>
      </c>
      <c r="B11" s="68" t="s">
        <v>117</v>
      </c>
      <c r="C11" s="70">
        <v>154</v>
      </c>
      <c r="D11" s="70">
        <v>0</v>
      </c>
      <c r="E11" s="81">
        <f t="shared" si="0"/>
        <v>154</v>
      </c>
      <c r="F11" s="82"/>
      <c r="G11" s="680" t="s">
        <v>84</v>
      </c>
      <c r="H11" s="681"/>
      <c r="I11" s="682"/>
      <c r="J11" s="683">
        <f>+H10/6</f>
        <v>0</v>
      </c>
      <c r="K11" s="682"/>
      <c r="L11" s="87"/>
    </row>
    <row r="12" spans="1:12" ht="38.25" customHeight="1">
      <c r="A12" s="77" t="s">
        <v>83</v>
      </c>
      <c r="B12" s="78">
        <f>+D12*58</f>
        <v>0</v>
      </c>
      <c r="C12" s="53">
        <f>+SUM(C9:C11)</f>
        <v>462</v>
      </c>
      <c r="D12" s="53">
        <f>+SUM(D9:D11)</f>
        <v>0</v>
      </c>
      <c r="E12" s="53">
        <f>+SUM(E9:E11)</f>
        <v>462</v>
      </c>
      <c r="F12" s="84"/>
      <c r="G12" s="80">
        <v>135</v>
      </c>
      <c r="H12" s="68" t="s">
        <v>120</v>
      </c>
      <c r="I12" s="70">
        <v>154</v>
      </c>
      <c r="J12" s="70">
        <v>0</v>
      </c>
      <c r="K12" s="60">
        <f t="shared" si="1"/>
        <v>154</v>
      </c>
      <c r="L12" s="87"/>
    </row>
    <row r="13" spans="1:12" ht="38.25" customHeight="1">
      <c r="A13" s="680" t="s">
        <v>84</v>
      </c>
      <c r="B13" s="681"/>
      <c r="C13" s="682"/>
      <c r="D13" s="683">
        <f>+B12/6</f>
        <v>0</v>
      </c>
      <c r="E13" s="682"/>
      <c r="F13" s="84"/>
      <c r="G13" s="80">
        <v>134</v>
      </c>
      <c r="H13" s="68" t="s">
        <v>120</v>
      </c>
      <c r="I13" s="70">
        <v>154</v>
      </c>
      <c r="J13" s="70">
        <v>0</v>
      </c>
      <c r="K13" s="60">
        <f t="shared" si="1"/>
        <v>154</v>
      </c>
      <c r="L13" s="87"/>
    </row>
    <row r="14" spans="1:12" ht="38.25" customHeight="1">
      <c r="A14" s="80">
        <v>123</v>
      </c>
      <c r="B14" s="68" t="s">
        <v>116</v>
      </c>
      <c r="C14" s="70">
        <v>154</v>
      </c>
      <c r="D14" s="70">
        <v>154</v>
      </c>
      <c r="E14" s="81">
        <f t="shared" si="0"/>
        <v>0</v>
      </c>
      <c r="F14" s="82"/>
      <c r="G14" s="77" t="s">
        <v>83</v>
      </c>
      <c r="H14" s="78">
        <f>+J14*58</f>
        <v>0</v>
      </c>
      <c r="I14" s="53">
        <f>+SUM(I10:I13)</f>
        <v>770</v>
      </c>
      <c r="J14" s="53">
        <f>+SUM(J10:J13)</f>
        <v>0</v>
      </c>
      <c r="K14" s="53">
        <f>+SUM(K10:K13)</f>
        <v>770</v>
      </c>
      <c r="L14" s="87"/>
    </row>
    <row r="15" spans="1:12" ht="38.25" customHeight="1">
      <c r="A15" s="53">
        <v>122</v>
      </c>
      <c r="B15" s="68" t="s">
        <v>116</v>
      </c>
      <c r="C15" s="59">
        <v>154</v>
      </c>
      <c r="D15" s="88">
        <v>0</v>
      </c>
      <c r="E15" s="81">
        <f t="shared" si="0"/>
        <v>154</v>
      </c>
      <c r="F15" s="76"/>
      <c r="G15" s="680" t="s">
        <v>84</v>
      </c>
      <c r="H15" s="681"/>
      <c r="I15" s="682"/>
      <c r="J15" s="683">
        <f>+H14/6</f>
        <v>0</v>
      </c>
      <c r="K15" s="682"/>
      <c r="L15" s="87"/>
    </row>
    <row r="16" spans="1:12" ht="38.25" customHeight="1">
      <c r="A16" s="53">
        <v>121</v>
      </c>
      <c r="B16" s="68" t="s">
        <v>116</v>
      </c>
      <c r="C16" s="59">
        <v>154</v>
      </c>
      <c r="D16" s="88">
        <v>0</v>
      </c>
      <c r="E16" s="81">
        <f t="shared" si="0"/>
        <v>154</v>
      </c>
      <c r="F16" s="65"/>
      <c r="G16" s="80">
        <v>133</v>
      </c>
      <c r="H16" s="68" t="s">
        <v>119</v>
      </c>
      <c r="I16" s="70">
        <v>154</v>
      </c>
      <c r="J16" s="70">
        <v>0</v>
      </c>
      <c r="K16" s="60">
        <f t="shared" si="1"/>
        <v>154</v>
      </c>
      <c r="L16" s="87"/>
    </row>
    <row r="17" spans="1:12" s="89" customFormat="1" ht="38.25" customHeight="1">
      <c r="A17" s="77" t="s">
        <v>83</v>
      </c>
      <c r="B17" s="78">
        <f>+D17*58</f>
        <v>8932</v>
      </c>
      <c r="C17" s="53">
        <f>+SUM(C14:C16)</f>
        <v>462</v>
      </c>
      <c r="D17" s="53">
        <f>+SUM(D14:D16)</f>
        <v>154</v>
      </c>
      <c r="E17" s="53">
        <f>+SUM(E14:E16)</f>
        <v>308</v>
      </c>
      <c r="F17" s="79"/>
      <c r="G17" s="53">
        <v>132</v>
      </c>
      <c r="H17" s="68" t="s">
        <v>119</v>
      </c>
      <c r="I17" s="59">
        <v>154</v>
      </c>
      <c r="J17" s="59">
        <v>0</v>
      </c>
      <c r="K17" s="60">
        <f t="shared" si="1"/>
        <v>154</v>
      </c>
      <c r="L17" s="71"/>
    </row>
    <row r="18" spans="1:12" ht="38.25" customHeight="1">
      <c r="A18" s="680" t="s">
        <v>84</v>
      </c>
      <c r="B18" s="681"/>
      <c r="C18" s="682"/>
      <c r="D18" s="684">
        <f>+B17/6</f>
        <v>1488.6666666666667</v>
      </c>
      <c r="E18" s="685"/>
      <c r="F18" s="84"/>
      <c r="G18" s="53">
        <v>131</v>
      </c>
      <c r="H18" s="68" t="s">
        <v>119</v>
      </c>
      <c r="I18" s="59">
        <v>154</v>
      </c>
      <c r="J18" s="59">
        <v>0</v>
      </c>
      <c r="K18" s="60">
        <f t="shared" si="1"/>
        <v>154</v>
      </c>
      <c r="L18" s="71"/>
    </row>
    <row r="19" spans="1:12" ht="38.25" customHeight="1">
      <c r="A19" s="90"/>
      <c r="B19" s="676" t="s">
        <v>7</v>
      </c>
      <c r="C19" s="677"/>
      <c r="D19" s="96"/>
      <c r="E19" s="91">
        <f>SUM(C3:C16)</f>
        <v>2618</v>
      </c>
      <c r="F19" s="84"/>
      <c r="G19" s="77" t="s">
        <v>83</v>
      </c>
      <c r="H19" s="78">
        <f>+J19*58</f>
        <v>0</v>
      </c>
      <c r="I19" s="53">
        <f>+SUM(I15:I18)</f>
        <v>462</v>
      </c>
      <c r="J19" s="53">
        <f>+SUM(J15:J18)</f>
        <v>0</v>
      </c>
      <c r="K19" s="53">
        <f>+SUM(K15:K18)</f>
        <v>462</v>
      </c>
      <c r="L19" s="71"/>
    </row>
    <row r="20" spans="1:12" ht="38.25" customHeight="1">
      <c r="A20" s="689" t="s">
        <v>8</v>
      </c>
      <c r="B20" s="687"/>
      <c r="C20" s="688"/>
      <c r="D20" s="687">
        <f>+SUM(E3:E16)</f>
        <v>2458</v>
      </c>
      <c r="E20" s="688"/>
      <c r="F20" s="84"/>
      <c r="G20" s="680" t="s">
        <v>84</v>
      </c>
      <c r="H20" s="681"/>
      <c r="I20" s="682"/>
      <c r="J20" s="683">
        <f>+H19/6</f>
        <v>0</v>
      </c>
      <c r="K20" s="682"/>
      <c r="L20" s="87"/>
    </row>
    <row r="21" spans="1:12" ht="38.25" customHeight="1">
      <c r="A21" s="690"/>
      <c r="B21" s="691"/>
      <c r="C21" s="692"/>
      <c r="D21" s="693"/>
      <c r="E21" s="694"/>
      <c r="F21" s="84"/>
      <c r="G21" s="95"/>
      <c r="H21" s="678" t="s">
        <v>7</v>
      </c>
      <c r="I21" s="679"/>
      <c r="J21" s="96"/>
      <c r="K21" s="97">
        <f>SUM(I3:I18)</f>
        <v>3080</v>
      </c>
      <c r="L21" s="98"/>
    </row>
    <row r="22" spans="1:12" ht="38.25" customHeight="1" thickBot="1">
      <c r="A22" s="92"/>
      <c r="B22" s="93"/>
      <c r="C22" s="93"/>
      <c r="D22" s="93"/>
      <c r="E22" s="93"/>
      <c r="F22" s="99"/>
      <c r="G22" s="100"/>
      <c r="H22" s="101"/>
      <c r="I22" s="687" t="s">
        <v>8</v>
      </c>
      <c r="J22" s="688"/>
      <c r="K22" s="93"/>
      <c r="L22" s="94">
        <f>+SUM(K3:K18)</f>
        <v>3080</v>
      </c>
    </row>
    <row r="23" spans="1:12" ht="38.25" customHeight="1">
      <c r="A23" s="698" t="s">
        <v>148</v>
      </c>
      <c r="B23" s="695"/>
      <c r="C23" s="695"/>
      <c r="D23" s="695"/>
      <c r="E23" s="695">
        <f>+C17+C12+C7+I5+I10+I14+I19</f>
        <v>3542</v>
      </c>
      <c r="F23" s="695"/>
      <c r="G23" s="695"/>
      <c r="H23" s="695"/>
      <c r="I23" s="695"/>
      <c r="J23" s="695"/>
      <c r="K23" s="695"/>
      <c r="L23" s="695"/>
    </row>
    <row r="24" spans="1:12" ht="38.25" customHeight="1">
      <c r="A24" s="699" t="s">
        <v>149</v>
      </c>
      <c r="B24" s="696"/>
      <c r="C24" s="696"/>
      <c r="D24" s="696"/>
      <c r="E24" s="696">
        <f>+D17+D12+D7+J5+J10+J14+J19</f>
        <v>157</v>
      </c>
      <c r="F24" s="696"/>
      <c r="G24" s="696"/>
      <c r="H24" s="696"/>
      <c r="I24" s="696"/>
      <c r="J24" s="696"/>
      <c r="K24" s="696"/>
      <c r="L24" s="696"/>
    </row>
    <row r="25" spans="1:12" ht="38.25" customHeight="1" thickBot="1">
      <c r="A25" s="700" t="s">
        <v>150</v>
      </c>
      <c r="B25" s="697"/>
      <c r="C25" s="697"/>
      <c r="D25" s="697"/>
      <c r="E25" s="697">
        <f>+E23-E24</f>
        <v>3385</v>
      </c>
      <c r="F25" s="697"/>
      <c r="G25" s="697"/>
      <c r="H25" s="697"/>
      <c r="I25" s="697"/>
      <c r="J25" s="697"/>
      <c r="K25" s="697"/>
      <c r="L25" s="697"/>
    </row>
    <row r="26" spans="1:12" ht="20.100000000000001" customHeight="1">
      <c r="C26" s="102"/>
      <c r="D26" s="102"/>
      <c r="E26" s="102"/>
      <c r="H26" s="102"/>
      <c r="I26" s="102"/>
      <c r="J26" s="102"/>
      <c r="K26" s="102"/>
      <c r="L26" s="102"/>
    </row>
    <row r="27" spans="1:12" ht="20.100000000000001" customHeight="1">
      <c r="C27" s="102"/>
      <c r="D27" s="102"/>
      <c r="E27" s="102"/>
      <c r="H27" s="102"/>
      <c r="I27" s="102"/>
      <c r="J27" s="102"/>
      <c r="K27" s="102"/>
      <c r="L27" s="102"/>
    </row>
    <row r="28" spans="1:12" ht="20.100000000000001" customHeight="1">
      <c r="E28" s="102"/>
      <c r="H28" s="102"/>
      <c r="I28" s="102"/>
      <c r="J28" s="102"/>
      <c r="K28" s="102"/>
      <c r="L28" s="102">
        <f>8+7+11</f>
        <v>26</v>
      </c>
    </row>
    <row r="29" spans="1:12" ht="20.100000000000001" customHeight="1">
      <c r="H29" s="102"/>
      <c r="I29" s="102"/>
    </row>
    <row r="46" spans="1:1" ht="20.100000000000001" customHeight="1">
      <c r="A46" s="103"/>
    </row>
    <row r="47" spans="1:1" ht="20.100000000000001" customHeight="1">
      <c r="A47" s="103"/>
    </row>
    <row r="48" spans="1:1" ht="20.100000000000001" customHeight="1">
      <c r="A48" s="103"/>
    </row>
    <row r="49" spans="1:1" ht="20.100000000000001" customHeight="1">
      <c r="A49" s="103"/>
    </row>
    <row r="50" spans="1:1" ht="20.100000000000001" customHeight="1">
      <c r="A50" s="103"/>
    </row>
    <row r="51" spans="1:1" ht="20.100000000000001" customHeight="1">
      <c r="A51" s="103"/>
    </row>
    <row r="52" spans="1:1" ht="20.100000000000001" customHeight="1">
      <c r="A52" s="103"/>
    </row>
    <row r="53" spans="1:1" ht="20.100000000000001" customHeight="1">
      <c r="A53" s="103"/>
    </row>
    <row r="54" spans="1:1" ht="20.100000000000001" customHeight="1">
      <c r="A54" s="103"/>
    </row>
    <row r="55" spans="1:1" ht="20.100000000000001" customHeight="1">
      <c r="A55" s="103"/>
    </row>
    <row r="56" spans="1:1" ht="20.100000000000001" customHeight="1">
      <c r="A56" s="103"/>
    </row>
    <row r="57" spans="1:1" ht="20.100000000000001" customHeight="1">
      <c r="A57" s="103"/>
    </row>
    <row r="58" spans="1:1" ht="20.100000000000001" customHeight="1">
      <c r="A58" s="103"/>
    </row>
    <row r="59" spans="1:1" ht="20.100000000000001" customHeight="1">
      <c r="A59" s="103"/>
    </row>
    <row r="60" spans="1:1" ht="20.100000000000001" customHeight="1">
      <c r="A60" s="103"/>
    </row>
    <row r="61" spans="1:1" ht="20.100000000000001" customHeight="1">
      <c r="A61" s="103"/>
    </row>
    <row r="62" spans="1:1" ht="20.100000000000001" customHeight="1">
      <c r="A62" s="103"/>
    </row>
    <row r="63" spans="1:1" ht="20.100000000000001" customHeight="1">
      <c r="A63" s="103"/>
    </row>
    <row r="64" spans="1:1" ht="20.100000000000001" customHeight="1">
      <c r="A64" s="103"/>
    </row>
    <row r="65" spans="1:1" ht="20.100000000000001" customHeight="1">
      <c r="A65" s="103"/>
    </row>
    <row r="66" spans="1:1" ht="20.100000000000001" customHeight="1">
      <c r="A66" s="103"/>
    </row>
    <row r="67" spans="1:1" ht="20.100000000000001" customHeight="1">
      <c r="A67" s="103"/>
    </row>
    <row r="68" spans="1:1" ht="20.100000000000001" customHeight="1">
      <c r="A68" s="103"/>
    </row>
    <row r="69" spans="1:1" ht="20.100000000000001" customHeight="1">
      <c r="A69" s="103"/>
    </row>
    <row r="70" spans="1:1" ht="20.100000000000001" customHeight="1">
      <c r="A70" s="103"/>
    </row>
    <row r="71" spans="1:1" ht="20.100000000000001" customHeight="1">
      <c r="A71" s="103"/>
    </row>
    <row r="72" spans="1:1" ht="20.100000000000001" customHeight="1">
      <c r="A72" s="103"/>
    </row>
    <row r="73" spans="1:1" ht="20.100000000000001" customHeight="1">
      <c r="A73" s="103"/>
    </row>
    <row r="74" spans="1:1" ht="20.100000000000001" customHeight="1">
      <c r="A74" s="103"/>
    </row>
    <row r="75" spans="1:1" ht="20.100000000000001" customHeight="1">
      <c r="A75" s="103"/>
    </row>
    <row r="76" spans="1:1" ht="20.100000000000001" customHeight="1">
      <c r="A76" s="103"/>
    </row>
    <row r="77" spans="1:1" ht="20.100000000000001" customHeight="1">
      <c r="A77" s="103"/>
    </row>
    <row r="78" spans="1:1" ht="20.100000000000001" customHeight="1">
      <c r="A78" s="103"/>
    </row>
    <row r="79" spans="1:1" ht="20.100000000000001" customHeight="1">
      <c r="A79" s="103"/>
    </row>
    <row r="80" spans="1:1" ht="20.100000000000001" customHeight="1">
      <c r="A80" s="103"/>
    </row>
    <row r="81" spans="1:1" ht="20.100000000000001" customHeight="1">
      <c r="A81" s="103"/>
    </row>
    <row r="82" spans="1:1" ht="20.100000000000001" customHeight="1">
      <c r="A82" s="103"/>
    </row>
    <row r="83" spans="1:1" ht="20.100000000000001" customHeight="1">
      <c r="A83" s="103"/>
    </row>
    <row r="84" spans="1:1" ht="20.100000000000001" customHeight="1">
      <c r="A84" s="103"/>
    </row>
    <row r="85" spans="1:1" ht="20.100000000000001" customHeight="1">
      <c r="A85" s="103"/>
    </row>
    <row r="86" spans="1:1" ht="20.100000000000001" customHeight="1">
      <c r="A86" s="103"/>
    </row>
    <row r="87" spans="1:1" ht="20.100000000000001" customHeight="1">
      <c r="A87" s="103"/>
    </row>
    <row r="88" spans="1:1" ht="20.100000000000001" customHeight="1">
      <c r="A88" s="103"/>
    </row>
    <row r="89" spans="1:1" ht="20.100000000000001" customHeight="1">
      <c r="A89" s="103"/>
    </row>
    <row r="90" spans="1:1" ht="20.100000000000001" customHeight="1">
      <c r="A90" s="103"/>
    </row>
    <row r="91" spans="1:1" ht="20.100000000000001" customHeight="1">
      <c r="A91" s="103"/>
    </row>
    <row r="92" spans="1:1" ht="20.100000000000001" customHeight="1">
      <c r="A92" s="103"/>
    </row>
    <row r="93" spans="1:1" ht="20.100000000000001" customHeight="1">
      <c r="A93" s="103"/>
    </row>
    <row r="94" spans="1:1" ht="20.100000000000001" customHeight="1">
      <c r="A94" s="103"/>
    </row>
    <row r="95" spans="1:1" ht="20.100000000000001" customHeight="1">
      <c r="A95" s="103"/>
    </row>
    <row r="96" spans="1:1" ht="20.100000000000001" customHeight="1">
      <c r="A96" s="103"/>
    </row>
    <row r="97" spans="1:1" ht="20.100000000000001" customHeight="1">
      <c r="A97" s="103"/>
    </row>
    <row r="98" spans="1:1" ht="20.100000000000001" customHeight="1">
      <c r="A98" s="103"/>
    </row>
    <row r="99" spans="1:1" ht="20.100000000000001" customHeight="1">
      <c r="A99" s="103"/>
    </row>
    <row r="100" spans="1:1" ht="20.100000000000001" customHeight="1">
      <c r="A100" s="103"/>
    </row>
    <row r="101" spans="1:1" ht="20.100000000000001" customHeight="1">
      <c r="A101" s="103"/>
    </row>
    <row r="102" spans="1:1" ht="20.100000000000001" customHeight="1">
      <c r="A102" s="103"/>
    </row>
    <row r="103" spans="1:1" ht="20.100000000000001" customHeight="1">
      <c r="A103" s="103"/>
    </row>
    <row r="104" spans="1:1" ht="20.100000000000001" customHeight="1">
      <c r="A104" s="103"/>
    </row>
    <row r="105" spans="1:1" ht="20.100000000000001" customHeight="1">
      <c r="A105" s="103"/>
    </row>
    <row r="106" spans="1:1" ht="20.100000000000001" customHeight="1">
      <c r="A106" s="103"/>
    </row>
    <row r="107" spans="1:1" ht="20.100000000000001" customHeight="1">
      <c r="A107" s="103"/>
    </row>
    <row r="108" spans="1:1" ht="20.100000000000001" customHeight="1">
      <c r="A108" s="103"/>
    </row>
    <row r="109" spans="1:1" ht="20.100000000000001" customHeight="1">
      <c r="A109" s="103"/>
    </row>
    <row r="110" spans="1:1" ht="20.100000000000001" customHeight="1">
      <c r="A110" s="103"/>
    </row>
    <row r="111" spans="1:1" ht="20.100000000000001" customHeight="1">
      <c r="A111" s="103"/>
    </row>
    <row r="112" spans="1:1" ht="20.100000000000001" customHeight="1">
      <c r="A112" s="103"/>
    </row>
    <row r="113" spans="1:1" ht="20.100000000000001" customHeight="1">
      <c r="A113" s="103"/>
    </row>
    <row r="114" spans="1:1" ht="20.100000000000001" customHeight="1">
      <c r="A114" s="103"/>
    </row>
    <row r="115" spans="1:1" ht="20.100000000000001" customHeight="1">
      <c r="A115" s="103"/>
    </row>
    <row r="116" spans="1:1" ht="20.100000000000001" customHeight="1">
      <c r="A116" s="103"/>
    </row>
    <row r="117" spans="1:1" ht="20.100000000000001" customHeight="1">
      <c r="A117" s="103"/>
    </row>
    <row r="118" spans="1:1" ht="20.100000000000001" customHeight="1">
      <c r="A118" s="103"/>
    </row>
    <row r="119" spans="1:1" ht="20.100000000000001" customHeight="1">
      <c r="A119" s="103"/>
    </row>
    <row r="120" spans="1:1" ht="20.100000000000001" customHeight="1">
      <c r="A120" s="103"/>
    </row>
    <row r="121" spans="1:1" ht="20.100000000000001" customHeight="1">
      <c r="A121" s="103"/>
    </row>
    <row r="122" spans="1:1" ht="20.100000000000001" customHeight="1">
      <c r="A122" s="103"/>
    </row>
    <row r="123" spans="1:1" ht="20.100000000000001" customHeight="1">
      <c r="A123" s="103"/>
    </row>
    <row r="124" spans="1:1" ht="20.100000000000001" customHeight="1">
      <c r="A124" s="103"/>
    </row>
    <row r="125" spans="1:1" ht="20.100000000000001" customHeight="1">
      <c r="A125" s="103"/>
    </row>
    <row r="126" spans="1:1" ht="20.100000000000001" customHeight="1">
      <c r="A126" s="103"/>
    </row>
    <row r="127" spans="1:1" ht="20.100000000000001" customHeight="1">
      <c r="A127" s="103"/>
    </row>
    <row r="128" spans="1:1" ht="20.100000000000001" customHeight="1">
      <c r="A128" s="103"/>
    </row>
    <row r="129" spans="1:1" ht="20.100000000000001" customHeight="1">
      <c r="A129" s="103"/>
    </row>
    <row r="130" spans="1:1" ht="20.100000000000001" customHeight="1">
      <c r="A130" s="103"/>
    </row>
    <row r="131" spans="1:1" ht="20.100000000000001" customHeight="1">
      <c r="A131" s="103"/>
    </row>
    <row r="132" spans="1:1" ht="20.100000000000001" customHeight="1">
      <c r="A132" s="103"/>
    </row>
    <row r="133" spans="1:1" ht="20.100000000000001" customHeight="1">
      <c r="A133" s="103"/>
    </row>
    <row r="134" spans="1:1" ht="20.100000000000001" customHeight="1">
      <c r="A134" s="103"/>
    </row>
    <row r="135" spans="1:1" ht="20.100000000000001" customHeight="1">
      <c r="A135" s="103"/>
    </row>
    <row r="136" spans="1:1" ht="20.100000000000001" customHeight="1">
      <c r="A136" s="103"/>
    </row>
    <row r="137" spans="1:1" ht="20.100000000000001" customHeight="1">
      <c r="A137" s="103"/>
    </row>
    <row r="138" spans="1:1" ht="20.100000000000001" customHeight="1">
      <c r="A138" s="103"/>
    </row>
    <row r="139" spans="1:1" ht="20.100000000000001" customHeight="1">
      <c r="A139" s="103"/>
    </row>
    <row r="140" spans="1:1" ht="20.100000000000001" customHeight="1">
      <c r="A140" s="103"/>
    </row>
    <row r="141" spans="1:1" ht="20.100000000000001" customHeight="1">
      <c r="A141" s="103"/>
    </row>
    <row r="142" spans="1:1" ht="20.100000000000001" customHeight="1">
      <c r="A142" s="103"/>
    </row>
    <row r="143" spans="1:1" ht="20.100000000000001" customHeight="1">
      <c r="A143" s="103"/>
    </row>
    <row r="144" spans="1:1" ht="20.100000000000001" customHeight="1">
      <c r="A144" s="103"/>
    </row>
    <row r="145" spans="1:1" ht="20.100000000000001" customHeight="1">
      <c r="A145" s="103"/>
    </row>
    <row r="146" spans="1:1" ht="20.100000000000001" customHeight="1">
      <c r="A146" s="103"/>
    </row>
    <row r="147" spans="1:1" ht="20.100000000000001" customHeight="1">
      <c r="A147" s="103"/>
    </row>
    <row r="148" spans="1:1" ht="20.100000000000001" customHeight="1">
      <c r="A148" s="103"/>
    </row>
    <row r="149" spans="1:1" ht="20.100000000000001" customHeight="1">
      <c r="A149" s="103"/>
    </row>
    <row r="150" spans="1:1" ht="20.100000000000001" customHeight="1">
      <c r="A150" s="103"/>
    </row>
    <row r="151" spans="1:1" ht="20.100000000000001" customHeight="1">
      <c r="A151" s="103"/>
    </row>
    <row r="152" spans="1:1" ht="20.100000000000001" customHeight="1">
      <c r="A152" s="103"/>
    </row>
    <row r="153" spans="1:1" ht="20.100000000000001" customHeight="1">
      <c r="A153" s="103"/>
    </row>
    <row r="154" spans="1:1" ht="20.100000000000001" customHeight="1">
      <c r="A154" s="103"/>
    </row>
    <row r="155" spans="1:1" ht="20.100000000000001" customHeight="1">
      <c r="A155" s="103"/>
    </row>
    <row r="156" spans="1:1" ht="20.100000000000001" customHeight="1">
      <c r="A156" s="103"/>
    </row>
    <row r="157" spans="1:1" ht="20.100000000000001" customHeight="1">
      <c r="A157" s="103"/>
    </row>
    <row r="158" spans="1:1" ht="20.100000000000001" customHeight="1">
      <c r="A158" s="103"/>
    </row>
    <row r="159" spans="1:1" ht="20.100000000000001" customHeight="1">
      <c r="A159" s="103"/>
    </row>
    <row r="160" spans="1:1" ht="20.100000000000001" customHeight="1">
      <c r="A160" s="103"/>
    </row>
    <row r="161" spans="1:1" ht="20.100000000000001" customHeight="1">
      <c r="A161" s="103"/>
    </row>
    <row r="162" spans="1:1" ht="20.100000000000001" customHeight="1">
      <c r="A162" s="103"/>
    </row>
    <row r="163" spans="1:1" ht="20.100000000000001" customHeight="1">
      <c r="A163" s="103"/>
    </row>
    <row r="164" spans="1:1" ht="20.100000000000001" customHeight="1">
      <c r="A164" s="103"/>
    </row>
    <row r="165" spans="1:1" ht="20.100000000000001" customHeight="1">
      <c r="A165" s="103"/>
    </row>
    <row r="166" spans="1:1" ht="20.100000000000001" customHeight="1">
      <c r="A166" s="103"/>
    </row>
    <row r="167" spans="1:1" ht="20.100000000000001" customHeight="1">
      <c r="A167" s="103"/>
    </row>
    <row r="168" spans="1:1" ht="20.100000000000001" customHeight="1">
      <c r="A168" s="103"/>
    </row>
    <row r="169" spans="1:1" ht="20.100000000000001" customHeight="1">
      <c r="A169" s="103"/>
    </row>
    <row r="170" spans="1:1" ht="20.100000000000001" customHeight="1">
      <c r="A170" s="103"/>
    </row>
    <row r="171" spans="1:1" ht="20.100000000000001" customHeight="1">
      <c r="A171" s="103"/>
    </row>
    <row r="172" spans="1:1" ht="20.100000000000001" customHeight="1">
      <c r="A172" s="103"/>
    </row>
    <row r="173" spans="1:1" ht="20.100000000000001" customHeight="1">
      <c r="A173" s="103"/>
    </row>
    <row r="174" spans="1:1" ht="20.100000000000001" customHeight="1">
      <c r="A174" s="103"/>
    </row>
    <row r="175" spans="1:1" ht="20.100000000000001" customHeight="1">
      <c r="A175" s="103"/>
    </row>
    <row r="176" spans="1:1" ht="20.100000000000001" customHeight="1">
      <c r="A176" s="103"/>
    </row>
    <row r="177" spans="1:1" ht="20.100000000000001" customHeight="1">
      <c r="A177" s="103"/>
    </row>
    <row r="178" spans="1:1" ht="20.100000000000001" customHeight="1">
      <c r="A178" s="103"/>
    </row>
    <row r="179" spans="1:1" ht="20.100000000000001" customHeight="1">
      <c r="A179" s="103"/>
    </row>
    <row r="180" spans="1:1" ht="20.100000000000001" customHeight="1">
      <c r="A180" s="103"/>
    </row>
    <row r="181" spans="1:1" ht="20.100000000000001" customHeight="1">
      <c r="A181" s="103"/>
    </row>
    <row r="182" spans="1:1" ht="20.100000000000001" customHeight="1">
      <c r="A182" s="103"/>
    </row>
    <row r="183" spans="1:1" ht="20.100000000000001" customHeight="1">
      <c r="A183" s="103"/>
    </row>
    <row r="184" spans="1:1" ht="20.100000000000001" customHeight="1">
      <c r="A184" s="103"/>
    </row>
    <row r="185" spans="1:1" ht="20.100000000000001" customHeight="1">
      <c r="A185" s="103"/>
    </row>
    <row r="186" spans="1:1" ht="20.100000000000001" customHeight="1">
      <c r="A186" s="103"/>
    </row>
    <row r="187" spans="1:1" ht="20.100000000000001" customHeight="1">
      <c r="A187" s="103"/>
    </row>
    <row r="188" spans="1:1" ht="20.100000000000001" customHeight="1">
      <c r="A188" s="103"/>
    </row>
    <row r="189" spans="1:1" ht="20.100000000000001" customHeight="1">
      <c r="A189" s="103"/>
    </row>
    <row r="190" spans="1:1" ht="20.100000000000001" customHeight="1">
      <c r="A190" s="103"/>
    </row>
    <row r="191" spans="1:1" ht="20.100000000000001" customHeight="1">
      <c r="A191" s="103"/>
    </row>
    <row r="192" spans="1:1" ht="20.100000000000001" customHeight="1">
      <c r="A192" s="103"/>
    </row>
    <row r="193" spans="1:1" ht="20.100000000000001" customHeight="1">
      <c r="A193" s="103"/>
    </row>
    <row r="194" spans="1:1" ht="20.100000000000001" customHeight="1">
      <c r="A194" s="103"/>
    </row>
    <row r="195" spans="1:1" ht="20.100000000000001" customHeight="1">
      <c r="A195" s="103"/>
    </row>
    <row r="196" spans="1:1" ht="20.100000000000001" customHeight="1">
      <c r="A196" s="103"/>
    </row>
    <row r="197" spans="1:1" ht="20.100000000000001" customHeight="1">
      <c r="A197" s="103"/>
    </row>
    <row r="198" spans="1:1" ht="20.100000000000001" customHeight="1">
      <c r="A198" s="103"/>
    </row>
    <row r="199" spans="1:1" ht="20.100000000000001" customHeight="1">
      <c r="A199" s="103"/>
    </row>
    <row r="200" spans="1:1" ht="20.100000000000001" customHeight="1">
      <c r="A200" s="103"/>
    </row>
    <row r="201" spans="1:1" ht="20.100000000000001" customHeight="1">
      <c r="A201" s="103"/>
    </row>
    <row r="202" spans="1:1" ht="20.100000000000001" customHeight="1">
      <c r="A202" s="103"/>
    </row>
    <row r="203" spans="1:1" ht="20.100000000000001" customHeight="1">
      <c r="A203" s="103"/>
    </row>
    <row r="204" spans="1:1" ht="20.100000000000001" customHeight="1">
      <c r="A204" s="103"/>
    </row>
    <row r="205" spans="1:1" ht="20.100000000000001" customHeight="1">
      <c r="A205" s="103"/>
    </row>
    <row r="206" spans="1:1" ht="20.100000000000001" customHeight="1">
      <c r="A206" s="103"/>
    </row>
    <row r="207" spans="1:1" ht="20.100000000000001" customHeight="1">
      <c r="A207" s="103"/>
    </row>
    <row r="208" spans="1:1" ht="20.100000000000001" customHeight="1">
      <c r="A208" s="103"/>
    </row>
    <row r="209" spans="1:1" ht="20.100000000000001" customHeight="1">
      <c r="A209" s="103"/>
    </row>
    <row r="210" spans="1:1" ht="20.100000000000001" customHeight="1">
      <c r="A210" s="103"/>
    </row>
    <row r="211" spans="1:1" ht="20.100000000000001" customHeight="1">
      <c r="A211" s="103"/>
    </row>
    <row r="212" spans="1:1" ht="20.100000000000001" customHeight="1">
      <c r="A212" s="103"/>
    </row>
    <row r="213" spans="1:1" ht="20.100000000000001" customHeight="1">
      <c r="A213" s="103"/>
    </row>
    <row r="214" spans="1:1" ht="20.100000000000001" customHeight="1">
      <c r="A214" s="103"/>
    </row>
    <row r="215" spans="1:1" ht="20.100000000000001" customHeight="1">
      <c r="A215" s="103"/>
    </row>
    <row r="216" spans="1:1" ht="20.100000000000001" customHeight="1">
      <c r="A216" s="103"/>
    </row>
    <row r="217" spans="1:1" ht="20.100000000000001" customHeight="1">
      <c r="A217" s="103"/>
    </row>
    <row r="218" spans="1:1" ht="20.100000000000001" customHeight="1">
      <c r="A218" s="103"/>
    </row>
    <row r="219" spans="1:1" ht="20.100000000000001" customHeight="1">
      <c r="A219" s="103"/>
    </row>
    <row r="220" spans="1:1" ht="20.100000000000001" customHeight="1">
      <c r="A220" s="103"/>
    </row>
    <row r="221" spans="1:1" ht="20.100000000000001" customHeight="1">
      <c r="A221" s="103"/>
    </row>
    <row r="222" spans="1:1" ht="20.100000000000001" customHeight="1">
      <c r="A222" s="103"/>
    </row>
    <row r="223" spans="1:1" ht="20.100000000000001" customHeight="1">
      <c r="A223" s="103"/>
    </row>
    <row r="224" spans="1:1" ht="20.100000000000001" customHeight="1">
      <c r="A224" s="103"/>
    </row>
    <row r="225" spans="1:1" ht="20.100000000000001" customHeight="1">
      <c r="A225" s="103"/>
    </row>
    <row r="226" spans="1:1" ht="20.100000000000001" customHeight="1">
      <c r="A226" s="103"/>
    </row>
    <row r="227" spans="1:1" ht="20.100000000000001" customHeight="1">
      <c r="A227" s="103"/>
    </row>
    <row r="228" spans="1:1" ht="20.100000000000001" customHeight="1">
      <c r="A228" s="103"/>
    </row>
    <row r="229" spans="1:1" ht="20.100000000000001" customHeight="1">
      <c r="A229" s="103"/>
    </row>
    <row r="230" spans="1:1" ht="20.100000000000001" customHeight="1">
      <c r="A230" s="103"/>
    </row>
    <row r="231" spans="1:1" ht="20.100000000000001" customHeight="1">
      <c r="A231" s="103"/>
    </row>
    <row r="232" spans="1:1" ht="20.100000000000001" customHeight="1">
      <c r="A232" s="103"/>
    </row>
    <row r="233" spans="1:1" ht="20.100000000000001" customHeight="1">
      <c r="A233" s="103"/>
    </row>
    <row r="234" spans="1:1" ht="20.100000000000001" customHeight="1">
      <c r="A234" s="103"/>
    </row>
    <row r="235" spans="1:1" ht="20.100000000000001" customHeight="1">
      <c r="A235" s="103"/>
    </row>
    <row r="236" spans="1:1" ht="20.100000000000001" customHeight="1">
      <c r="A236" s="103"/>
    </row>
    <row r="237" spans="1:1" ht="20.100000000000001" customHeight="1">
      <c r="A237" s="103"/>
    </row>
    <row r="238" spans="1:1" ht="20.100000000000001" customHeight="1">
      <c r="A238" s="103"/>
    </row>
    <row r="239" spans="1:1" ht="20.100000000000001" customHeight="1">
      <c r="A239" s="103"/>
    </row>
    <row r="240" spans="1:1" ht="20.100000000000001" customHeight="1">
      <c r="A240" s="103"/>
    </row>
    <row r="241" spans="1:1" ht="20.100000000000001" customHeight="1">
      <c r="A241" s="103"/>
    </row>
    <row r="242" spans="1:1" ht="20.100000000000001" customHeight="1">
      <c r="A242" s="103"/>
    </row>
    <row r="243" spans="1:1" ht="20.100000000000001" customHeight="1">
      <c r="A243" s="103"/>
    </row>
    <row r="244" spans="1:1" ht="20.100000000000001" customHeight="1">
      <c r="A244" s="103"/>
    </row>
    <row r="245" spans="1:1" ht="20.100000000000001" customHeight="1">
      <c r="A245" s="103"/>
    </row>
    <row r="246" spans="1:1" ht="20.100000000000001" customHeight="1">
      <c r="A246" s="103"/>
    </row>
    <row r="247" spans="1:1" ht="20.100000000000001" customHeight="1">
      <c r="A247" s="103"/>
    </row>
    <row r="248" spans="1:1" ht="20.100000000000001" customHeight="1">
      <c r="A248" s="103"/>
    </row>
    <row r="249" spans="1:1" ht="20.100000000000001" customHeight="1">
      <c r="A249" s="103"/>
    </row>
    <row r="250" spans="1:1" ht="20.100000000000001" customHeight="1">
      <c r="A250" s="103"/>
    </row>
    <row r="251" spans="1:1" ht="20.100000000000001" customHeight="1">
      <c r="A251" s="103"/>
    </row>
    <row r="252" spans="1:1" ht="20.100000000000001" customHeight="1">
      <c r="A252" s="103"/>
    </row>
    <row r="253" spans="1:1" ht="20.100000000000001" customHeight="1">
      <c r="A253" s="103"/>
    </row>
    <row r="254" spans="1:1" ht="20.100000000000001" customHeight="1">
      <c r="A254" s="103"/>
    </row>
    <row r="255" spans="1:1" ht="20.100000000000001" customHeight="1">
      <c r="A255" s="103"/>
    </row>
    <row r="256" spans="1:1" ht="20.100000000000001" customHeight="1">
      <c r="A256" s="103"/>
    </row>
    <row r="257" spans="1:1" ht="20.100000000000001" customHeight="1">
      <c r="A257" s="103"/>
    </row>
    <row r="258" spans="1:1" ht="20.100000000000001" customHeight="1">
      <c r="A258" s="103"/>
    </row>
    <row r="259" spans="1:1" ht="20.100000000000001" customHeight="1">
      <c r="A259" s="103"/>
    </row>
    <row r="260" spans="1:1" ht="20.100000000000001" customHeight="1">
      <c r="A260" s="103"/>
    </row>
    <row r="261" spans="1:1" ht="20.100000000000001" customHeight="1">
      <c r="A261" s="103"/>
    </row>
    <row r="262" spans="1:1" ht="20.100000000000001" customHeight="1">
      <c r="A262" s="103"/>
    </row>
    <row r="263" spans="1:1" ht="20.100000000000001" customHeight="1">
      <c r="A263" s="103"/>
    </row>
    <row r="264" spans="1:1" ht="20.100000000000001" customHeight="1">
      <c r="A264" s="103"/>
    </row>
    <row r="265" spans="1:1" ht="20.100000000000001" customHeight="1">
      <c r="A265" s="103"/>
    </row>
    <row r="266" spans="1:1" ht="20.100000000000001" customHeight="1">
      <c r="A266" s="103"/>
    </row>
    <row r="267" spans="1:1" ht="20.100000000000001" customHeight="1">
      <c r="A267" s="103"/>
    </row>
    <row r="268" spans="1:1" ht="20.100000000000001" customHeight="1">
      <c r="A268" s="103"/>
    </row>
    <row r="269" spans="1:1" ht="20.100000000000001" customHeight="1">
      <c r="A269" s="103"/>
    </row>
    <row r="270" spans="1:1" ht="20.100000000000001" customHeight="1">
      <c r="A270" s="103"/>
    </row>
    <row r="271" spans="1:1" ht="20.100000000000001" customHeight="1">
      <c r="A271" s="103"/>
    </row>
    <row r="272" spans="1:1" ht="20.100000000000001" customHeight="1">
      <c r="A272" s="103"/>
    </row>
    <row r="273" spans="1:1" ht="20.100000000000001" customHeight="1">
      <c r="A273" s="103"/>
    </row>
    <row r="274" spans="1:1" ht="20.100000000000001" customHeight="1">
      <c r="A274" s="103"/>
    </row>
    <row r="275" spans="1:1" ht="20.100000000000001" customHeight="1">
      <c r="A275" s="103"/>
    </row>
    <row r="276" spans="1:1" ht="20.100000000000001" customHeight="1">
      <c r="A276" s="103"/>
    </row>
    <row r="277" spans="1:1" ht="20.100000000000001" customHeight="1">
      <c r="A277" s="103"/>
    </row>
    <row r="278" spans="1:1" ht="20.100000000000001" customHeight="1">
      <c r="A278" s="103"/>
    </row>
    <row r="279" spans="1:1" ht="20.100000000000001" customHeight="1">
      <c r="A279" s="103"/>
    </row>
    <row r="280" spans="1:1" ht="20.100000000000001" customHeight="1">
      <c r="A280" s="103"/>
    </row>
    <row r="281" spans="1:1" ht="20.100000000000001" customHeight="1">
      <c r="A281" s="103"/>
    </row>
    <row r="282" spans="1:1" ht="20.100000000000001" customHeight="1">
      <c r="A282" s="103"/>
    </row>
    <row r="283" spans="1:1" ht="20.100000000000001" customHeight="1">
      <c r="A283" s="103"/>
    </row>
    <row r="284" spans="1:1" ht="20.100000000000001" customHeight="1">
      <c r="A284" s="103"/>
    </row>
    <row r="285" spans="1:1" ht="20.100000000000001" customHeight="1">
      <c r="A285" s="103"/>
    </row>
    <row r="286" spans="1:1" ht="20.100000000000001" customHeight="1">
      <c r="A286" s="103"/>
    </row>
    <row r="287" spans="1:1" ht="20.100000000000001" customHeight="1">
      <c r="A287" s="103"/>
    </row>
    <row r="288" spans="1:1" ht="20.100000000000001" customHeight="1">
      <c r="A288" s="103"/>
    </row>
    <row r="289" spans="1:1" ht="20.100000000000001" customHeight="1">
      <c r="A289" s="103"/>
    </row>
    <row r="290" spans="1:1" ht="20.100000000000001" customHeight="1">
      <c r="A290" s="103"/>
    </row>
    <row r="291" spans="1:1" ht="20.100000000000001" customHeight="1">
      <c r="A291" s="103"/>
    </row>
    <row r="292" spans="1:1" ht="20.100000000000001" customHeight="1">
      <c r="A292" s="103"/>
    </row>
    <row r="293" spans="1:1" ht="20.100000000000001" customHeight="1">
      <c r="A293" s="103"/>
    </row>
    <row r="294" spans="1:1" ht="20.100000000000001" customHeight="1">
      <c r="A294" s="103"/>
    </row>
    <row r="295" spans="1:1" ht="20.100000000000001" customHeight="1">
      <c r="A295" s="103"/>
    </row>
    <row r="296" spans="1:1" ht="20.100000000000001" customHeight="1">
      <c r="A296" s="103"/>
    </row>
    <row r="297" spans="1:1" ht="20.100000000000001" customHeight="1">
      <c r="A297" s="103"/>
    </row>
    <row r="298" spans="1:1" ht="20.100000000000001" customHeight="1">
      <c r="A298" s="103"/>
    </row>
    <row r="299" spans="1:1" ht="20.100000000000001" customHeight="1">
      <c r="A299" s="103"/>
    </row>
    <row r="300" spans="1:1" ht="20.100000000000001" customHeight="1">
      <c r="A300" s="103"/>
    </row>
    <row r="301" spans="1:1" ht="20.100000000000001" customHeight="1">
      <c r="A301" s="103"/>
    </row>
    <row r="302" spans="1:1" ht="20.100000000000001" customHeight="1">
      <c r="A302" s="103"/>
    </row>
    <row r="303" spans="1:1" ht="20.100000000000001" customHeight="1">
      <c r="A303" s="103"/>
    </row>
    <row r="304" spans="1:1" ht="20.100000000000001" customHeight="1">
      <c r="A304" s="103"/>
    </row>
    <row r="305" spans="1:1" ht="20.100000000000001" customHeight="1">
      <c r="A305" s="103"/>
    </row>
    <row r="306" spans="1:1" ht="20.100000000000001" customHeight="1">
      <c r="A306" s="103"/>
    </row>
    <row r="307" spans="1:1" ht="20.100000000000001" customHeight="1">
      <c r="A307" s="103"/>
    </row>
    <row r="308" spans="1:1" ht="20.100000000000001" customHeight="1">
      <c r="A308" s="103"/>
    </row>
    <row r="309" spans="1:1" ht="20.100000000000001" customHeight="1">
      <c r="A309" s="103"/>
    </row>
    <row r="310" spans="1:1" ht="20.100000000000001" customHeight="1">
      <c r="A310" s="103"/>
    </row>
    <row r="311" spans="1:1" ht="20.100000000000001" customHeight="1">
      <c r="A311" s="103"/>
    </row>
    <row r="312" spans="1:1" ht="20.100000000000001" customHeight="1">
      <c r="A312" s="103"/>
    </row>
    <row r="313" spans="1:1" ht="20.100000000000001" customHeight="1">
      <c r="A313" s="103"/>
    </row>
    <row r="314" spans="1:1" ht="20.100000000000001" customHeight="1">
      <c r="A314" s="103"/>
    </row>
    <row r="315" spans="1:1" ht="20.100000000000001" customHeight="1">
      <c r="A315" s="103"/>
    </row>
    <row r="316" spans="1:1" ht="20.100000000000001" customHeight="1">
      <c r="A316" s="103"/>
    </row>
    <row r="317" spans="1:1" ht="20.100000000000001" customHeight="1">
      <c r="A317" s="103"/>
    </row>
    <row r="318" spans="1:1" ht="20.100000000000001" customHeight="1">
      <c r="A318" s="103"/>
    </row>
    <row r="319" spans="1:1" ht="20.100000000000001" customHeight="1">
      <c r="A319" s="103"/>
    </row>
    <row r="320" spans="1:1" ht="20.100000000000001" customHeight="1">
      <c r="A320" s="103"/>
    </row>
    <row r="321" spans="1:1" ht="20.100000000000001" customHeight="1">
      <c r="A321" s="103"/>
    </row>
    <row r="322" spans="1:1" ht="20.100000000000001" customHeight="1">
      <c r="A322" s="103"/>
    </row>
    <row r="323" spans="1:1" ht="20.100000000000001" customHeight="1">
      <c r="A323" s="103"/>
    </row>
    <row r="324" spans="1:1" ht="20.100000000000001" customHeight="1">
      <c r="A324" s="103"/>
    </row>
    <row r="325" spans="1:1" ht="20.100000000000001" customHeight="1">
      <c r="A325" s="103"/>
    </row>
    <row r="326" spans="1:1" ht="20.100000000000001" customHeight="1">
      <c r="A326" s="103"/>
    </row>
    <row r="327" spans="1:1" ht="20.100000000000001" customHeight="1">
      <c r="A327" s="103"/>
    </row>
    <row r="328" spans="1:1" ht="20.100000000000001" customHeight="1">
      <c r="A328" s="103"/>
    </row>
    <row r="329" spans="1:1" ht="20.100000000000001" customHeight="1">
      <c r="A329" s="103"/>
    </row>
    <row r="330" spans="1:1" ht="20.100000000000001" customHeight="1">
      <c r="A330" s="103"/>
    </row>
    <row r="331" spans="1:1" ht="20.100000000000001" customHeight="1">
      <c r="A331" s="103"/>
    </row>
    <row r="332" spans="1:1" ht="20.100000000000001" customHeight="1">
      <c r="A332" s="103"/>
    </row>
    <row r="333" spans="1:1" ht="20.100000000000001" customHeight="1">
      <c r="A333" s="103"/>
    </row>
    <row r="334" spans="1:1" ht="20.100000000000001" customHeight="1">
      <c r="A334" s="103"/>
    </row>
    <row r="335" spans="1:1" ht="20.100000000000001" customHeight="1">
      <c r="A335" s="103"/>
    </row>
    <row r="336" spans="1:1" ht="20.100000000000001" customHeight="1">
      <c r="A336" s="103"/>
    </row>
    <row r="337" spans="1:1" ht="20.100000000000001" customHeight="1">
      <c r="A337" s="103"/>
    </row>
    <row r="338" spans="1:1" ht="20.100000000000001" customHeight="1">
      <c r="A338" s="103"/>
    </row>
    <row r="339" spans="1:1" ht="20.100000000000001" customHeight="1">
      <c r="A339" s="103"/>
    </row>
    <row r="340" spans="1:1" ht="20.100000000000001" customHeight="1">
      <c r="A340" s="103"/>
    </row>
    <row r="341" spans="1:1" ht="20.100000000000001" customHeight="1">
      <c r="A341" s="103"/>
    </row>
    <row r="342" spans="1:1" ht="20.100000000000001" customHeight="1">
      <c r="A342" s="103"/>
    </row>
    <row r="343" spans="1:1" ht="20.100000000000001" customHeight="1">
      <c r="A343" s="103"/>
    </row>
    <row r="344" spans="1:1" ht="20.100000000000001" customHeight="1">
      <c r="A344" s="103"/>
    </row>
    <row r="345" spans="1:1" ht="20.100000000000001" customHeight="1">
      <c r="A345" s="103"/>
    </row>
    <row r="346" spans="1:1" ht="20.100000000000001" customHeight="1">
      <c r="A346" s="103"/>
    </row>
    <row r="347" spans="1:1" ht="20.100000000000001" customHeight="1">
      <c r="A347" s="103"/>
    </row>
    <row r="348" spans="1:1" ht="20.100000000000001" customHeight="1">
      <c r="A348" s="103"/>
    </row>
    <row r="349" spans="1:1" ht="20.100000000000001" customHeight="1">
      <c r="A349" s="103"/>
    </row>
    <row r="350" spans="1:1" ht="20.100000000000001" customHeight="1">
      <c r="A350" s="103"/>
    </row>
    <row r="351" spans="1:1" ht="20.100000000000001" customHeight="1">
      <c r="A351" s="103"/>
    </row>
    <row r="352" spans="1:1" ht="20.100000000000001" customHeight="1">
      <c r="A352" s="103"/>
    </row>
    <row r="353" spans="1:1" ht="20.100000000000001" customHeight="1">
      <c r="A353" s="103"/>
    </row>
    <row r="354" spans="1:1" ht="20.100000000000001" customHeight="1">
      <c r="A354" s="103"/>
    </row>
    <row r="355" spans="1:1" ht="20.100000000000001" customHeight="1">
      <c r="A355" s="103"/>
    </row>
    <row r="356" spans="1:1" ht="20.100000000000001" customHeight="1">
      <c r="A356" s="103"/>
    </row>
    <row r="357" spans="1:1" ht="20.100000000000001" customHeight="1">
      <c r="A357" s="103"/>
    </row>
    <row r="358" spans="1:1" ht="20.100000000000001" customHeight="1">
      <c r="A358" s="103"/>
    </row>
    <row r="359" spans="1:1" ht="20.100000000000001" customHeight="1">
      <c r="A359" s="103"/>
    </row>
    <row r="360" spans="1:1" ht="20.100000000000001" customHeight="1">
      <c r="A360" s="103"/>
    </row>
    <row r="361" spans="1:1" ht="20.100000000000001" customHeight="1">
      <c r="A361" s="103"/>
    </row>
    <row r="362" spans="1:1" ht="20.100000000000001" customHeight="1">
      <c r="A362" s="103"/>
    </row>
    <row r="363" spans="1:1" ht="20.100000000000001" customHeight="1">
      <c r="A363" s="103"/>
    </row>
    <row r="364" spans="1:1" ht="20.100000000000001" customHeight="1">
      <c r="A364" s="103"/>
    </row>
    <row r="365" spans="1:1" ht="20.100000000000001" customHeight="1">
      <c r="A365" s="103"/>
    </row>
    <row r="366" spans="1:1" ht="20.100000000000001" customHeight="1">
      <c r="A366" s="103"/>
    </row>
    <row r="367" spans="1:1" ht="20.100000000000001" customHeight="1">
      <c r="A367" s="103"/>
    </row>
    <row r="368" spans="1:1" ht="20.100000000000001" customHeight="1">
      <c r="A368" s="103"/>
    </row>
    <row r="369" spans="1:1" ht="20.100000000000001" customHeight="1">
      <c r="A369" s="103"/>
    </row>
    <row r="370" spans="1:1" ht="20.100000000000001" customHeight="1">
      <c r="A370" s="103"/>
    </row>
    <row r="371" spans="1:1" ht="20.100000000000001" customHeight="1">
      <c r="A371" s="103"/>
    </row>
    <row r="372" spans="1:1" ht="20.100000000000001" customHeight="1">
      <c r="A372" s="103"/>
    </row>
    <row r="373" spans="1:1" ht="20.100000000000001" customHeight="1">
      <c r="A373" s="103"/>
    </row>
    <row r="374" spans="1:1" ht="20.100000000000001" customHeight="1">
      <c r="A374" s="103"/>
    </row>
    <row r="375" spans="1:1" ht="20.100000000000001" customHeight="1">
      <c r="A375" s="103"/>
    </row>
    <row r="376" spans="1:1" ht="20.100000000000001" customHeight="1">
      <c r="A376" s="103"/>
    </row>
    <row r="377" spans="1:1" ht="20.100000000000001" customHeight="1">
      <c r="A377" s="103"/>
    </row>
    <row r="378" spans="1:1" ht="20.100000000000001" customHeight="1">
      <c r="A378" s="103"/>
    </row>
    <row r="379" spans="1:1" ht="20.100000000000001" customHeight="1">
      <c r="A379" s="103"/>
    </row>
    <row r="380" spans="1:1" ht="20.100000000000001" customHeight="1">
      <c r="A380" s="103"/>
    </row>
    <row r="381" spans="1:1" ht="20.100000000000001" customHeight="1">
      <c r="A381" s="103"/>
    </row>
    <row r="382" spans="1:1" ht="20.100000000000001" customHeight="1">
      <c r="A382" s="103"/>
    </row>
    <row r="383" spans="1:1" ht="20.100000000000001" customHeight="1">
      <c r="A383" s="103"/>
    </row>
    <row r="384" spans="1:1" ht="20.100000000000001" customHeight="1">
      <c r="A384" s="103"/>
    </row>
    <row r="385" spans="1:1" ht="20.100000000000001" customHeight="1">
      <c r="A385" s="103"/>
    </row>
    <row r="386" spans="1:1" ht="20.100000000000001" customHeight="1">
      <c r="A386" s="103"/>
    </row>
    <row r="387" spans="1:1" ht="20.100000000000001" customHeight="1">
      <c r="A387" s="103"/>
    </row>
    <row r="388" spans="1:1" ht="20.100000000000001" customHeight="1">
      <c r="A388" s="103"/>
    </row>
    <row r="389" spans="1:1" ht="20.100000000000001" customHeight="1">
      <c r="A389" s="103"/>
    </row>
    <row r="390" spans="1:1" ht="20.100000000000001" customHeight="1">
      <c r="A390" s="103"/>
    </row>
    <row r="391" spans="1:1" ht="20.100000000000001" customHeight="1">
      <c r="A391" s="103"/>
    </row>
    <row r="392" spans="1:1" ht="20.100000000000001" customHeight="1">
      <c r="A392" s="103"/>
    </row>
    <row r="393" spans="1:1" ht="20.100000000000001" customHeight="1">
      <c r="A393" s="103"/>
    </row>
    <row r="394" spans="1:1" ht="20.100000000000001" customHeight="1">
      <c r="A394" s="103"/>
    </row>
    <row r="395" spans="1:1" ht="20.100000000000001" customHeight="1">
      <c r="A395" s="103"/>
    </row>
    <row r="396" spans="1:1" ht="20.100000000000001" customHeight="1">
      <c r="A396" s="103"/>
    </row>
    <row r="397" spans="1:1" ht="20.100000000000001" customHeight="1">
      <c r="A397" s="103"/>
    </row>
    <row r="398" spans="1:1" ht="20.100000000000001" customHeight="1">
      <c r="A398" s="103"/>
    </row>
    <row r="399" spans="1:1" ht="20.100000000000001" customHeight="1">
      <c r="A399" s="103"/>
    </row>
    <row r="400" spans="1:1" ht="20.100000000000001" customHeight="1">
      <c r="A400" s="103"/>
    </row>
    <row r="401" spans="1:1" ht="20.100000000000001" customHeight="1">
      <c r="A401" s="103"/>
    </row>
    <row r="402" spans="1:1" ht="20.100000000000001" customHeight="1">
      <c r="A402" s="103"/>
    </row>
    <row r="403" spans="1:1" ht="20.100000000000001" customHeight="1">
      <c r="A403" s="103"/>
    </row>
    <row r="404" spans="1:1" ht="20.100000000000001" customHeight="1">
      <c r="A404" s="103"/>
    </row>
    <row r="405" spans="1:1" ht="20.100000000000001" customHeight="1">
      <c r="A405" s="103"/>
    </row>
    <row r="406" spans="1:1" ht="20.100000000000001" customHeight="1">
      <c r="A406" s="103"/>
    </row>
    <row r="407" spans="1:1" ht="20.100000000000001" customHeight="1">
      <c r="A407" s="103"/>
    </row>
    <row r="408" spans="1:1" ht="20.100000000000001" customHeight="1">
      <c r="A408" s="103"/>
    </row>
    <row r="409" spans="1:1" ht="20.100000000000001" customHeight="1">
      <c r="A409" s="103"/>
    </row>
    <row r="410" spans="1:1" ht="20.100000000000001" customHeight="1">
      <c r="A410" s="103"/>
    </row>
    <row r="411" spans="1:1" ht="20.100000000000001" customHeight="1">
      <c r="A411" s="103"/>
    </row>
    <row r="412" spans="1:1" ht="20.100000000000001" customHeight="1">
      <c r="A412" s="103"/>
    </row>
    <row r="413" spans="1:1" ht="20.100000000000001" customHeight="1">
      <c r="A413" s="103"/>
    </row>
    <row r="414" spans="1:1" ht="20.100000000000001" customHeight="1">
      <c r="A414" s="103"/>
    </row>
    <row r="415" spans="1:1" ht="20.100000000000001" customHeight="1">
      <c r="A415" s="103"/>
    </row>
    <row r="416" spans="1:1" ht="20.100000000000001" customHeight="1">
      <c r="A416" s="103"/>
    </row>
    <row r="417" spans="1:1" ht="20.100000000000001" customHeight="1">
      <c r="A417" s="103"/>
    </row>
    <row r="418" spans="1:1" ht="20.100000000000001" customHeight="1">
      <c r="A418" s="103"/>
    </row>
    <row r="419" spans="1:1" ht="20.100000000000001" customHeight="1">
      <c r="A419" s="103"/>
    </row>
    <row r="420" spans="1:1" ht="20.100000000000001" customHeight="1">
      <c r="A420" s="103"/>
    </row>
    <row r="421" spans="1:1" ht="20.100000000000001" customHeight="1">
      <c r="A421" s="103"/>
    </row>
    <row r="422" spans="1:1" ht="20.100000000000001" customHeight="1">
      <c r="A422" s="103"/>
    </row>
    <row r="423" spans="1:1" ht="20.100000000000001" customHeight="1">
      <c r="A423" s="103"/>
    </row>
    <row r="424" spans="1:1" ht="20.100000000000001" customHeight="1">
      <c r="A424" s="103"/>
    </row>
    <row r="425" spans="1:1" ht="20.100000000000001" customHeight="1">
      <c r="A425" s="103"/>
    </row>
    <row r="426" spans="1:1" ht="20.100000000000001" customHeight="1">
      <c r="A426" s="103"/>
    </row>
    <row r="427" spans="1:1" ht="20.100000000000001" customHeight="1">
      <c r="A427" s="103"/>
    </row>
    <row r="428" spans="1:1" ht="20.100000000000001" customHeight="1">
      <c r="A428" s="103"/>
    </row>
    <row r="429" spans="1:1" ht="20.100000000000001" customHeight="1">
      <c r="A429" s="103"/>
    </row>
    <row r="430" spans="1:1" ht="20.100000000000001" customHeight="1">
      <c r="A430" s="103"/>
    </row>
    <row r="431" spans="1:1" ht="20.100000000000001" customHeight="1">
      <c r="A431" s="103"/>
    </row>
    <row r="432" spans="1:1" ht="20.100000000000001" customHeight="1">
      <c r="A432" s="103"/>
    </row>
    <row r="433" spans="1:1" ht="20.100000000000001" customHeight="1">
      <c r="A433" s="103"/>
    </row>
    <row r="434" spans="1:1" ht="20.100000000000001" customHeight="1">
      <c r="A434" s="103"/>
    </row>
    <row r="435" spans="1:1" ht="20.100000000000001" customHeight="1">
      <c r="A435" s="103"/>
    </row>
    <row r="436" spans="1:1" ht="20.100000000000001" customHeight="1">
      <c r="A436" s="103"/>
    </row>
    <row r="437" spans="1:1" ht="20.100000000000001" customHeight="1">
      <c r="A437" s="103"/>
    </row>
    <row r="438" spans="1:1" ht="20.100000000000001" customHeight="1">
      <c r="A438" s="103"/>
    </row>
    <row r="439" spans="1:1" ht="20.100000000000001" customHeight="1">
      <c r="A439" s="103"/>
    </row>
    <row r="440" spans="1:1" ht="20.100000000000001" customHeight="1">
      <c r="A440" s="103"/>
    </row>
    <row r="441" spans="1:1" ht="20.100000000000001" customHeight="1">
      <c r="A441" s="103"/>
    </row>
    <row r="442" spans="1:1" ht="20.100000000000001" customHeight="1">
      <c r="A442" s="103"/>
    </row>
    <row r="443" spans="1:1" ht="20.100000000000001" customHeight="1">
      <c r="A443" s="103"/>
    </row>
    <row r="444" spans="1:1" ht="20.100000000000001" customHeight="1">
      <c r="A444" s="103"/>
    </row>
    <row r="445" spans="1:1" ht="20.100000000000001" customHeight="1">
      <c r="A445" s="103"/>
    </row>
    <row r="446" spans="1:1" ht="20.100000000000001" customHeight="1">
      <c r="A446" s="103"/>
    </row>
    <row r="447" spans="1:1" ht="20.100000000000001" customHeight="1">
      <c r="A447" s="103"/>
    </row>
    <row r="448" spans="1:1" ht="20.100000000000001" customHeight="1">
      <c r="A448" s="103"/>
    </row>
    <row r="449" spans="1:1" ht="20.100000000000001" customHeight="1">
      <c r="A449" s="103"/>
    </row>
    <row r="450" spans="1:1" ht="20.100000000000001" customHeight="1">
      <c r="A450" s="103"/>
    </row>
    <row r="451" spans="1:1" ht="20.100000000000001" customHeight="1">
      <c r="A451" s="103"/>
    </row>
    <row r="452" spans="1:1" ht="20.100000000000001" customHeight="1">
      <c r="A452" s="103"/>
    </row>
    <row r="453" spans="1:1" ht="20.100000000000001" customHeight="1">
      <c r="A453" s="103"/>
    </row>
    <row r="454" spans="1:1" ht="20.100000000000001" customHeight="1">
      <c r="A454" s="103"/>
    </row>
    <row r="455" spans="1:1" ht="20.100000000000001" customHeight="1">
      <c r="A455" s="103"/>
    </row>
    <row r="456" spans="1:1" ht="20.100000000000001" customHeight="1">
      <c r="A456" s="103"/>
    </row>
    <row r="457" spans="1:1" ht="20.100000000000001" customHeight="1">
      <c r="A457" s="103"/>
    </row>
    <row r="458" spans="1:1" ht="20.100000000000001" customHeight="1">
      <c r="A458" s="103"/>
    </row>
    <row r="459" spans="1:1" ht="20.100000000000001" customHeight="1">
      <c r="A459" s="103"/>
    </row>
    <row r="460" spans="1:1" ht="20.100000000000001" customHeight="1">
      <c r="A460" s="103"/>
    </row>
    <row r="461" spans="1:1" ht="20.100000000000001" customHeight="1">
      <c r="A461" s="103"/>
    </row>
    <row r="462" spans="1:1" ht="20.100000000000001" customHeight="1">
      <c r="A462" s="103"/>
    </row>
    <row r="463" spans="1:1" ht="20.100000000000001" customHeight="1">
      <c r="A463" s="103"/>
    </row>
    <row r="464" spans="1:1" ht="20.100000000000001" customHeight="1">
      <c r="A464" s="103"/>
    </row>
    <row r="465" spans="1:1" ht="20.100000000000001" customHeight="1">
      <c r="A465" s="103"/>
    </row>
    <row r="466" spans="1:1" ht="20.100000000000001" customHeight="1">
      <c r="A466" s="103"/>
    </row>
    <row r="467" spans="1:1" ht="20.100000000000001" customHeight="1">
      <c r="A467" s="103"/>
    </row>
    <row r="468" spans="1:1" ht="20.100000000000001" customHeight="1">
      <c r="A468" s="103"/>
    </row>
    <row r="469" spans="1:1" ht="20.100000000000001" customHeight="1">
      <c r="A469" s="103"/>
    </row>
    <row r="470" spans="1:1" ht="20.100000000000001" customHeight="1">
      <c r="A470" s="103"/>
    </row>
    <row r="471" spans="1:1" ht="20.100000000000001" customHeight="1">
      <c r="A471" s="103"/>
    </row>
    <row r="472" spans="1:1" ht="20.100000000000001" customHeight="1">
      <c r="A472" s="103"/>
    </row>
    <row r="473" spans="1:1" ht="20.100000000000001" customHeight="1">
      <c r="A473" s="103"/>
    </row>
    <row r="474" spans="1:1" ht="20.100000000000001" customHeight="1">
      <c r="A474" s="103"/>
    </row>
    <row r="475" spans="1:1" ht="20.100000000000001" customHeight="1">
      <c r="A475" s="103"/>
    </row>
    <row r="476" spans="1:1" ht="20.100000000000001" customHeight="1">
      <c r="A476" s="103"/>
    </row>
    <row r="477" spans="1:1" ht="20.100000000000001" customHeight="1">
      <c r="A477" s="103"/>
    </row>
    <row r="478" spans="1:1" ht="20.100000000000001" customHeight="1">
      <c r="A478" s="103"/>
    </row>
    <row r="479" spans="1:1" ht="20.100000000000001" customHeight="1">
      <c r="A479" s="103"/>
    </row>
    <row r="480" spans="1:1" ht="20.100000000000001" customHeight="1">
      <c r="A480" s="103"/>
    </row>
    <row r="481" spans="1:1" ht="20.100000000000001" customHeight="1">
      <c r="A481" s="103"/>
    </row>
    <row r="482" spans="1:1" ht="20.100000000000001" customHeight="1">
      <c r="A482" s="103"/>
    </row>
    <row r="483" spans="1:1" ht="20.100000000000001" customHeight="1">
      <c r="A483" s="103"/>
    </row>
    <row r="484" spans="1:1" ht="20.100000000000001" customHeight="1">
      <c r="A484" s="103"/>
    </row>
    <row r="485" spans="1:1" ht="20.100000000000001" customHeight="1">
      <c r="A485" s="103"/>
    </row>
    <row r="486" spans="1:1" ht="20.100000000000001" customHeight="1">
      <c r="A486" s="103"/>
    </row>
    <row r="487" spans="1:1" ht="20.100000000000001" customHeight="1">
      <c r="A487" s="103"/>
    </row>
    <row r="488" spans="1:1" ht="20.100000000000001" customHeight="1">
      <c r="A488" s="103"/>
    </row>
    <row r="489" spans="1:1" ht="20.100000000000001" customHeight="1">
      <c r="A489" s="103"/>
    </row>
    <row r="490" spans="1:1" ht="20.100000000000001" customHeight="1">
      <c r="A490" s="103"/>
    </row>
    <row r="491" spans="1:1" ht="20.100000000000001" customHeight="1">
      <c r="A491" s="103"/>
    </row>
    <row r="492" spans="1:1" ht="20.100000000000001" customHeight="1">
      <c r="A492" s="103"/>
    </row>
    <row r="493" spans="1:1" ht="20.100000000000001" customHeight="1">
      <c r="A493" s="103"/>
    </row>
    <row r="494" spans="1:1" ht="20.100000000000001" customHeight="1">
      <c r="A494" s="103"/>
    </row>
    <row r="495" spans="1:1" ht="20.100000000000001" customHeight="1">
      <c r="A495" s="103"/>
    </row>
    <row r="496" spans="1:1" ht="20.100000000000001" customHeight="1">
      <c r="A496" s="103"/>
    </row>
    <row r="497" spans="1:1" ht="20.100000000000001" customHeight="1">
      <c r="A497" s="103"/>
    </row>
    <row r="498" spans="1:1" ht="20.100000000000001" customHeight="1">
      <c r="A498" s="103"/>
    </row>
    <row r="499" spans="1:1" ht="20.100000000000001" customHeight="1">
      <c r="A499" s="103"/>
    </row>
    <row r="500" spans="1:1" ht="20.100000000000001" customHeight="1">
      <c r="A500" s="103"/>
    </row>
    <row r="501" spans="1:1" ht="20.100000000000001" customHeight="1">
      <c r="A501" s="103"/>
    </row>
    <row r="502" spans="1:1" ht="20.100000000000001" customHeight="1">
      <c r="A502" s="103"/>
    </row>
    <row r="503" spans="1:1" ht="20.100000000000001" customHeight="1">
      <c r="A503" s="103"/>
    </row>
    <row r="504" spans="1:1" ht="20.100000000000001" customHeight="1">
      <c r="A504" s="103"/>
    </row>
    <row r="505" spans="1:1" ht="20.100000000000001" customHeight="1">
      <c r="A505" s="103"/>
    </row>
    <row r="506" spans="1:1" ht="20.100000000000001" customHeight="1">
      <c r="A506" s="103"/>
    </row>
    <row r="507" spans="1:1" ht="20.100000000000001" customHeight="1">
      <c r="A507" s="103"/>
    </row>
    <row r="508" spans="1:1" ht="20.100000000000001" customHeight="1">
      <c r="A508" s="103"/>
    </row>
    <row r="509" spans="1:1" ht="20.100000000000001" customHeight="1">
      <c r="A509" s="103"/>
    </row>
    <row r="510" spans="1:1" ht="20.100000000000001" customHeight="1">
      <c r="A510" s="103"/>
    </row>
    <row r="511" spans="1:1" ht="20.100000000000001" customHeight="1">
      <c r="A511" s="103"/>
    </row>
    <row r="512" spans="1:1" ht="20.100000000000001" customHeight="1">
      <c r="A512" s="103"/>
    </row>
    <row r="513" spans="1:1" ht="20.100000000000001" customHeight="1">
      <c r="A513" s="103"/>
    </row>
    <row r="514" spans="1:1" ht="20.100000000000001" customHeight="1">
      <c r="A514" s="103"/>
    </row>
    <row r="515" spans="1:1" ht="20.100000000000001" customHeight="1">
      <c r="A515" s="103"/>
    </row>
    <row r="516" spans="1:1" ht="20.100000000000001" customHeight="1">
      <c r="A516" s="103"/>
    </row>
    <row r="517" spans="1:1" ht="20.100000000000001" customHeight="1">
      <c r="A517" s="103"/>
    </row>
    <row r="518" spans="1:1" ht="20.100000000000001" customHeight="1">
      <c r="A518" s="103"/>
    </row>
    <row r="519" spans="1:1" ht="20.100000000000001" customHeight="1">
      <c r="A519" s="103"/>
    </row>
    <row r="520" spans="1:1" ht="20.100000000000001" customHeight="1">
      <c r="A520" s="103"/>
    </row>
    <row r="521" spans="1:1" ht="20.100000000000001" customHeight="1">
      <c r="A521" s="103"/>
    </row>
    <row r="522" spans="1:1" ht="20.100000000000001" customHeight="1">
      <c r="A522" s="103"/>
    </row>
    <row r="523" spans="1:1" ht="20.100000000000001" customHeight="1">
      <c r="A523" s="103"/>
    </row>
    <row r="524" spans="1:1" ht="20.100000000000001" customHeight="1">
      <c r="A524" s="103"/>
    </row>
    <row r="525" spans="1:1" ht="20.100000000000001" customHeight="1">
      <c r="A525" s="103"/>
    </row>
    <row r="526" spans="1:1" ht="20.100000000000001" customHeight="1">
      <c r="A526" s="103"/>
    </row>
    <row r="527" spans="1:1" ht="20.100000000000001" customHeight="1">
      <c r="A527" s="103"/>
    </row>
    <row r="528" spans="1:1" ht="20.100000000000001" customHeight="1">
      <c r="A528" s="103"/>
    </row>
    <row r="529" spans="1:1" ht="20.100000000000001" customHeight="1">
      <c r="A529" s="103"/>
    </row>
    <row r="530" spans="1:1" ht="20.100000000000001" customHeight="1">
      <c r="A530" s="103"/>
    </row>
    <row r="531" spans="1:1" ht="20.100000000000001" customHeight="1">
      <c r="A531" s="103"/>
    </row>
    <row r="532" spans="1:1" ht="20.100000000000001" customHeight="1">
      <c r="A532" s="103"/>
    </row>
    <row r="533" spans="1:1" ht="20.100000000000001" customHeight="1">
      <c r="A533" s="103"/>
    </row>
    <row r="534" spans="1:1" ht="20.100000000000001" customHeight="1">
      <c r="A534" s="103"/>
    </row>
    <row r="535" spans="1:1" ht="20.100000000000001" customHeight="1">
      <c r="A535" s="103"/>
    </row>
    <row r="536" spans="1:1" ht="20.100000000000001" customHeight="1">
      <c r="A536" s="103"/>
    </row>
    <row r="537" spans="1:1" ht="20.100000000000001" customHeight="1">
      <c r="A537" s="103"/>
    </row>
    <row r="538" spans="1:1" ht="20.100000000000001" customHeight="1">
      <c r="A538" s="103"/>
    </row>
    <row r="539" spans="1:1" ht="20.100000000000001" customHeight="1">
      <c r="A539" s="103"/>
    </row>
    <row r="540" spans="1:1" ht="20.100000000000001" customHeight="1">
      <c r="A540" s="103"/>
    </row>
    <row r="541" spans="1:1" ht="20.100000000000001" customHeight="1">
      <c r="A541" s="103"/>
    </row>
    <row r="542" spans="1:1" ht="20.100000000000001" customHeight="1">
      <c r="A542" s="103"/>
    </row>
    <row r="543" spans="1:1" ht="20.100000000000001" customHeight="1">
      <c r="A543" s="103"/>
    </row>
    <row r="544" spans="1:1" ht="20.100000000000001" customHeight="1">
      <c r="A544" s="103"/>
    </row>
    <row r="545" spans="1:1" ht="20.100000000000001" customHeight="1">
      <c r="A545" s="103"/>
    </row>
    <row r="546" spans="1:1" ht="20.100000000000001" customHeight="1">
      <c r="A546" s="103"/>
    </row>
    <row r="547" spans="1:1" ht="20.100000000000001" customHeight="1">
      <c r="A547" s="103"/>
    </row>
    <row r="548" spans="1:1" ht="20.100000000000001" customHeight="1">
      <c r="A548" s="103"/>
    </row>
    <row r="549" spans="1:1" ht="20.100000000000001" customHeight="1">
      <c r="A549" s="103"/>
    </row>
    <row r="550" spans="1:1" ht="20.100000000000001" customHeight="1">
      <c r="A550" s="103"/>
    </row>
    <row r="551" spans="1:1" ht="20.100000000000001" customHeight="1">
      <c r="A551" s="103"/>
    </row>
    <row r="552" spans="1:1" ht="20.100000000000001" customHeight="1">
      <c r="A552" s="103"/>
    </row>
    <row r="553" spans="1:1" ht="20.100000000000001" customHeight="1">
      <c r="A553" s="103"/>
    </row>
    <row r="554" spans="1:1" ht="20.100000000000001" customHeight="1">
      <c r="A554" s="103"/>
    </row>
    <row r="555" spans="1:1" ht="20.100000000000001" customHeight="1">
      <c r="A555" s="103"/>
    </row>
    <row r="556" spans="1:1" ht="20.100000000000001" customHeight="1">
      <c r="A556" s="103"/>
    </row>
    <row r="557" spans="1:1" ht="20.100000000000001" customHeight="1">
      <c r="A557" s="103"/>
    </row>
    <row r="558" spans="1:1" ht="20.100000000000001" customHeight="1">
      <c r="A558" s="103"/>
    </row>
    <row r="559" spans="1:1" ht="20.100000000000001" customHeight="1">
      <c r="A559" s="103"/>
    </row>
    <row r="560" spans="1:1" ht="20.100000000000001" customHeight="1">
      <c r="A560" s="103"/>
    </row>
    <row r="561" spans="1:1" ht="20.100000000000001" customHeight="1">
      <c r="A561" s="103"/>
    </row>
    <row r="562" spans="1:1" ht="20.100000000000001" customHeight="1">
      <c r="A562" s="103"/>
    </row>
    <row r="563" spans="1:1" ht="20.100000000000001" customHeight="1">
      <c r="A563" s="103"/>
    </row>
    <row r="564" spans="1:1" ht="20.100000000000001" customHeight="1">
      <c r="A564" s="103"/>
    </row>
    <row r="565" spans="1:1" ht="20.100000000000001" customHeight="1">
      <c r="A565" s="103"/>
    </row>
    <row r="566" spans="1:1" ht="20.100000000000001" customHeight="1">
      <c r="A566" s="103"/>
    </row>
    <row r="567" spans="1:1" ht="20.100000000000001" customHeight="1">
      <c r="A567" s="103"/>
    </row>
    <row r="568" spans="1:1" ht="20.100000000000001" customHeight="1">
      <c r="A568" s="103"/>
    </row>
    <row r="569" spans="1:1" ht="20.100000000000001" customHeight="1">
      <c r="A569" s="103"/>
    </row>
    <row r="570" spans="1:1" ht="20.100000000000001" customHeight="1">
      <c r="A570" s="103"/>
    </row>
    <row r="571" spans="1:1" ht="20.100000000000001" customHeight="1">
      <c r="A571" s="103"/>
    </row>
    <row r="572" spans="1:1" ht="20.100000000000001" customHeight="1">
      <c r="A572" s="103"/>
    </row>
    <row r="573" spans="1:1" ht="20.100000000000001" customHeight="1">
      <c r="A573" s="103"/>
    </row>
    <row r="574" spans="1:1" ht="20.100000000000001" customHeight="1">
      <c r="A574" s="103"/>
    </row>
    <row r="575" spans="1:1" ht="20.100000000000001" customHeight="1">
      <c r="A575" s="103"/>
    </row>
    <row r="576" spans="1:1" ht="20.100000000000001" customHeight="1">
      <c r="A576" s="103"/>
    </row>
    <row r="577" spans="1:1" ht="20.100000000000001" customHeight="1">
      <c r="A577" s="103"/>
    </row>
    <row r="578" spans="1:1" ht="20.100000000000001" customHeight="1">
      <c r="A578" s="103"/>
    </row>
    <row r="579" spans="1:1" ht="20.100000000000001" customHeight="1">
      <c r="A579" s="103"/>
    </row>
    <row r="580" spans="1:1" ht="20.100000000000001" customHeight="1">
      <c r="A580" s="103"/>
    </row>
    <row r="581" spans="1:1" ht="20.100000000000001" customHeight="1">
      <c r="A581" s="103"/>
    </row>
    <row r="582" spans="1:1" ht="20.100000000000001" customHeight="1">
      <c r="A582" s="103"/>
    </row>
    <row r="583" spans="1:1" ht="20.100000000000001" customHeight="1">
      <c r="A583" s="103"/>
    </row>
    <row r="584" spans="1:1" ht="20.100000000000001" customHeight="1">
      <c r="A584" s="103"/>
    </row>
    <row r="585" spans="1:1" ht="20.100000000000001" customHeight="1">
      <c r="A585" s="103"/>
    </row>
    <row r="586" spans="1:1" ht="20.100000000000001" customHeight="1">
      <c r="A586" s="103"/>
    </row>
    <row r="587" spans="1:1" ht="20.100000000000001" customHeight="1">
      <c r="A587" s="103"/>
    </row>
    <row r="588" spans="1:1" ht="20.100000000000001" customHeight="1">
      <c r="A588" s="103"/>
    </row>
    <row r="589" spans="1:1" ht="20.100000000000001" customHeight="1">
      <c r="A589" s="103"/>
    </row>
    <row r="590" spans="1:1" ht="20.100000000000001" customHeight="1">
      <c r="A590" s="103"/>
    </row>
    <row r="591" spans="1:1" ht="20.100000000000001" customHeight="1">
      <c r="A591" s="103"/>
    </row>
    <row r="592" spans="1:1" ht="20.100000000000001" customHeight="1">
      <c r="A592" s="103"/>
    </row>
    <row r="593" spans="1:1" ht="20.100000000000001" customHeight="1">
      <c r="A593" s="103"/>
    </row>
    <row r="594" spans="1:1" ht="20.100000000000001" customHeight="1">
      <c r="A594" s="103"/>
    </row>
    <row r="595" spans="1:1" ht="20.100000000000001" customHeight="1">
      <c r="A595" s="103"/>
    </row>
    <row r="596" spans="1:1" ht="20.100000000000001" customHeight="1">
      <c r="A596" s="103"/>
    </row>
    <row r="597" spans="1:1" ht="20.100000000000001" customHeight="1">
      <c r="A597" s="103"/>
    </row>
    <row r="598" spans="1:1" ht="20.100000000000001" customHeight="1">
      <c r="A598" s="103"/>
    </row>
    <row r="599" spans="1:1" ht="20.100000000000001" customHeight="1">
      <c r="A599" s="103"/>
    </row>
    <row r="600" spans="1:1" ht="20.100000000000001" customHeight="1">
      <c r="A600" s="103"/>
    </row>
    <row r="601" spans="1:1" ht="20.100000000000001" customHeight="1">
      <c r="A601" s="103"/>
    </row>
    <row r="602" spans="1:1" ht="20.100000000000001" customHeight="1">
      <c r="A602" s="103"/>
    </row>
    <row r="603" spans="1:1" ht="20.100000000000001" customHeight="1">
      <c r="A603" s="103"/>
    </row>
    <row r="604" spans="1:1" ht="20.100000000000001" customHeight="1">
      <c r="A604" s="103"/>
    </row>
    <row r="605" spans="1:1" ht="20.100000000000001" customHeight="1">
      <c r="A605" s="103"/>
    </row>
    <row r="606" spans="1:1" ht="20.100000000000001" customHeight="1">
      <c r="A606" s="103"/>
    </row>
    <row r="607" spans="1:1" ht="20.100000000000001" customHeight="1">
      <c r="A607" s="103"/>
    </row>
    <row r="608" spans="1:1" ht="20.100000000000001" customHeight="1">
      <c r="A608" s="103"/>
    </row>
    <row r="609" spans="1:1" ht="20.100000000000001" customHeight="1">
      <c r="A609" s="103"/>
    </row>
    <row r="610" spans="1:1" ht="20.100000000000001" customHeight="1">
      <c r="A610" s="103"/>
    </row>
    <row r="611" spans="1:1" ht="20.100000000000001" customHeight="1">
      <c r="A611" s="103"/>
    </row>
    <row r="612" spans="1:1" ht="20.100000000000001" customHeight="1">
      <c r="A612" s="103"/>
    </row>
    <row r="613" spans="1:1" ht="20.100000000000001" customHeight="1">
      <c r="A613" s="103"/>
    </row>
    <row r="614" spans="1:1" ht="20.100000000000001" customHeight="1">
      <c r="A614" s="103"/>
    </row>
    <row r="615" spans="1:1" ht="20.100000000000001" customHeight="1">
      <c r="A615" s="103"/>
    </row>
    <row r="616" spans="1:1" ht="20.100000000000001" customHeight="1">
      <c r="A616" s="103"/>
    </row>
    <row r="617" spans="1:1" ht="20.100000000000001" customHeight="1">
      <c r="A617" s="103"/>
    </row>
    <row r="618" spans="1:1" ht="20.100000000000001" customHeight="1">
      <c r="A618" s="103"/>
    </row>
    <row r="619" spans="1:1" ht="20.100000000000001" customHeight="1">
      <c r="A619" s="103"/>
    </row>
    <row r="620" spans="1:1" ht="20.100000000000001" customHeight="1">
      <c r="A620" s="103"/>
    </row>
    <row r="621" spans="1:1" ht="20.100000000000001" customHeight="1">
      <c r="A621" s="103"/>
    </row>
    <row r="622" spans="1:1" ht="20.100000000000001" customHeight="1">
      <c r="A622" s="103"/>
    </row>
    <row r="623" spans="1:1" ht="20.100000000000001" customHeight="1">
      <c r="A623" s="103"/>
    </row>
    <row r="624" spans="1:1" ht="20.100000000000001" customHeight="1">
      <c r="A624" s="103"/>
    </row>
    <row r="625" spans="1:1" ht="20.100000000000001" customHeight="1">
      <c r="A625" s="103"/>
    </row>
    <row r="626" spans="1:1" ht="20.100000000000001" customHeight="1">
      <c r="A626" s="103"/>
    </row>
    <row r="627" spans="1:1" ht="20.100000000000001" customHeight="1">
      <c r="A627" s="103"/>
    </row>
    <row r="628" spans="1:1" ht="20.100000000000001" customHeight="1">
      <c r="A628" s="103"/>
    </row>
    <row r="629" spans="1:1" ht="20.100000000000001" customHeight="1">
      <c r="A629" s="103"/>
    </row>
    <row r="630" spans="1:1" ht="20.100000000000001" customHeight="1">
      <c r="A630" s="103"/>
    </row>
    <row r="631" spans="1:1" ht="20.100000000000001" customHeight="1">
      <c r="A631" s="103"/>
    </row>
    <row r="632" spans="1:1" ht="20.100000000000001" customHeight="1">
      <c r="A632" s="103"/>
    </row>
    <row r="633" spans="1:1" ht="20.100000000000001" customHeight="1">
      <c r="A633" s="103"/>
    </row>
    <row r="634" spans="1:1" ht="20.100000000000001" customHeight="1">
      <c r="A634" s="103"/>
    </row>
    <row r="635" spans="1:1" ht="20.100000000000001" customHeight="1">
      <c r="A635" s="103"/>
    </row>
    <row r="636" spans="1:1" ht="20.100000000000001" customHeight="1">
      <c r="A636" s="103"/>
    </row>
    <row r="637" spans="1:1" ht="20.100000000000001" customHeight="1">
      <c r="A637" s="103"/>
    </row>
    <row r="638" spans="1:1" ht="20.100000000000001" customHeight="1">
      <c r="A638" s="103"/>
    </row>
    <row r="639" spans="1:1" ht="20.100000000000001" customHeight="1">
      <c r="A639" s="103"/>
    </row>
    <row r="640" spans="1:1" ht="20.100000000000001" customHeight="1">
      <c r="A640" s="103"/>
    </row>
    <row r="641" spans="1:1" ht="20.100000000000001" customHeight="1">
      <c r="A641" s="103"/>
    </row>
    <row r="642" spans="1:1" ht="20.100000000000001" customHeight="1">
      <c r="A642" s="103"/>
    </row>
    <row r="643" spans="1:1" ht="20.100000000000001" customHeight="1">
      <c r="A643" s="103"/>
    </row>
    <row r="644" spans="1:1" ht="20.100000000000001" customHeight="1">
      <c r="A644" s="103"/>
    </row>
    <row r="645" spans="1:1" ht="20.100000000000001" customHeight="1">
      <c r="A645" s="103"/>
    </row>
    <row r="646" spans="1:1" ht="20.100000000000001" customHeight="1">
      <c r="A646" s="103"/>
    </row>
    <row r="647" spans="1:1" ht="20.100000000000001" customHeight="1">
      <c r="A647" s="103"/>
    </row>
    <row r="648" spans="1:1" ht="20.100000000000001" customHeight="1">
      <c r="A648" s="103"/>
    </row>
    <row r="649" spans="1:1" ht="20.100000000000001" customHeight="1">
      <c r="A649" s="103"/>
    </row>
    <row r="650" spans="1:1" ht="20.100000000000001" customHeight="1">
      <c r="A650" s="103"/>
    </row>
    <row r="651" spans="1:1" ht="20.100000000000001" customHeight="1">
      <c r="A651" s="103"/>
    </row>
    <row r="652" spans="1:1" ht="20.100000000000001" customHeight="1">
      <c r="A652" s="103"/>
    </row>
    <row r="653" spans="1:1" ht="20.100000000000001" customHeight="1">
      <c r="A653" s="103"/>
    </row>
    <row r="654" spans="1:1" ht="20.100000000000001" customHeight="1">
      <c r="A654" s="103"/>
    </row>
    <row r="655" spans="1:1" ht="20.100000000000001" customHeight="1">
      <c r="A655" s="103"/>
    </row>
    <row r="656" spans="1:1" ht="20.100000000000001" customHeight="1">
      <c r="A656" s="103"/>
    </row>
    <row r="657" spans="1:1" ht="20.100000000000001" customHeight="1">
      <c r="A657" s="103"/>
    </row>
    <row r="658" spans="1:1" ht="20.100000000000001" customHeight="1">
      <c r="A658" s="103"/>
    </row>
    <row r="659" spans="1:1" ht="20.100000000000001" customHeight="1">
      <c r="A659" s="103"/>
    </row>
    <row r="660" spans="1:1" ht="20.100000000000001" customHeight="1">
      <c r="A660" s="103"/>
    </row>
    <row r="661" spans="1:1" ht="20.100000000000001" customHeight="1">
      <c r="A661" s="103"/>
    </row>
    <row r="662" spans="1:1" ht="20.100000000000001" customHeight="1">
      <c r="A662" s="103"/>
    </row>
    <row r="663" spans="1:1" ht="20.100000000000001" customHeight="1">
      <c r="A663" s="103"/>
    </row>
    <row r="664" spans="1:1" ht="20.100000000000001" customHeight="1">
      <c r="A664" s="103"/>
    </row>
    <row r="665" spans="1:1" ht="20.100000000000001" customHeight="1">
      <c r="A665" s="103"/>
    </row>
    <row r="666" spans="1:1" ht="20.100000000000001" customHeight="1">
      <c r="A666" s="103"/>
    </row>
    <row r="667" spans="1:1" ht="20.100000000000001" customHeight="1">
      <c r="A667" s="103"/>
    </row>
    <row r="668" spans="1:1" ht="20.100000000000001" customHeight="1">
      <c r="A668" s="103"/>
    </row>
    <row r="669" spans="1:1" ht="20.100000000000001" customHeight="1">
      <c r="A669" s="103"/>
    </row>
    <row r="670" spans="1:1" ht="20.100000000000001" customHeight="1">
      <c r="A670" s="103"/>
    </row>
    <row r="671" spans="1:1" ht="20.100000000000001" customHeight="1">
      <c r="A671" s="103"/>
    </row>
    <row r="672" spans="1:1" ht="20.100000000000001" customHeight="1">
      <c r="A672" s="103"/>
    </row>
    <row r="673" spans="1:1" ht="20.100000000000001" customHeight="1">
      <c r="A673" s="103"/>
    </row>
    <row r="674" spans="1:1" ht="20.100000000000001" customHeight="1">
      <c r="A674" s="103"/>
    </row>
    <row r="675" spans="1:1" ht="20.100000000000001" customHeight="1">
      <c r="A675" s="103"/>
    </row>
    <row r="676" spans="1:1" ht="20.100000000000001" customHeight="1">
      <c r="A676" s="103"/>
    </row>
    <row r="677" spans="1:1" ht="20.100000000000001" customHeight="1">
      <c r="A677" s="103"/>
    </row>
    <row r="678" spans="1:1" ht="20.100000000000001" customHeight="1">
      <c r="A678" s="103"/>
    </row>
    <row r="679" spans="1:1" ht="20.100000000000001" customHeight="1">
      <c r="A679" s="103"/>
    </row>
    <row r="680" spans="1:1" ht="20.100000000000001" customHeight="1">
      <c r="A680" s="103"/>
    </row>
    <row r="681" spans="1:1" ht="20.100000000000001" customHeight="1">
      <c r="A681" s="103"/>
    </row>
    <row r="682" spans="1:1" ht="20.100000000000001" customHeight="1">
      <c r="A682" s="103"/>
    </row>
    <row r="683" spans="1:1" ht="20.100000000000001" customHeight="1">
      <c r="A683" s="103"/>
    </row>
    <row r="684" spans="1:1" ht="20.100000000000001" customHeight="1">
      <c r="A684" s="103"/>
    </row>
    <row r="685" spans="1:1" ht="20.100000000000001" customHeight="1">
      <c r="A685" s="103"/>
    </row>
    <row r="686" spans="1:1" ht="20.100000000000001" customHeight="1">
      <c r="A686" s="103"/>
    </row>
    <row r="687" spans="1:1" ht="20.100000000000001" customHeight="1">
      <c r="A687" s="103"/>
    </row>
    <row r="688" spans="1:1" ht="20.100000000000001" customHeight="1">
      <c r="A688" s="103"/>
    </row>
    <row r="689" spans="1:1" ht="20.100000000000001" customHeight="1">
      <c r="A689" s="103"/>
    </row>
    <row r="690" spans="1:1" ht="20.100000000000001" customHeight="1">
      <c r="A690" s="103"/>
    </row>
    <row r="691" spans="1:1" ht="20.100000000000001" customHeight="1">
      <c r="A691" s="103"/>
    </row>
    <row r="692" spans="1:1" ht="20.100000000000001" customHeight="1">
      <c r="A692" s="103"/>
    </row>
    <row r="693" spans="1:1" ht="20.100000000000001" customHeight="1">
      <c r="A693" s="103"/>
    </row>
    <row r="694" spans="1:1" ht="20.100000000000001" customHeight="1">
      <c r="A694" s="103"/>
    </row>
    <row r="695" spans="1:1" ht="20.100000000000001" customHeight="1">
      <c r="A695" s="103"/>
    </row>
    <row r="696" spans="1:1" ht="20.100000000000001" customHeight="1">
      <c r="A696" s="103"/>
    </row>
    <row r="697" spans="1:1" ht="20.100000000000001" customHeight="1">
      <c r="A697" s="103"/>
    </row>
    <row r="698" spans="1:1" ht="20.100000000000001" customHeight="1">
      <c r="A698" s="103"/>
    </row>
    <row r="699" spans="1:1" ht="20.100000000000001" customHeight="1">
      <c r="A699" s="103"/>
    </row>
    <row r="700" spans="1:1" ht="20.100000000000001" customHeight="1">
      <c r="A700" s="103"/>
    </row>
    <row r="701" spans="1:1" ht="20.100000000000001" customHeight="1">
      <c r="A701" s="103"/>
    </row>
    <row r="702" spans="1:1" ht="20.100000000000001" customHeight="1">
      <c r="A702" s="103"/>
    </row>
    <row r="703" spans="1:1" ht="20.100000000000001" customHeight="1">
      <c r="A703" s="103"/>
    </row>
    <row r="704" spans="1:1" ht="20.100000000000001" customHeight="1">
      <c r="A704" s="103"/>
    </row>
    <row r="705" spans="1:1" ht="20.100000000000001" customHeight="1">
      <c r="A705" s="103"/>
    </row>
    <row r="706" spans="1:1" ht="20.100000000000001" customHeight="1">
      <c r="A706" s="103"/>
    </row>
    <row r="707" spans="1:1" ht="20.100000000000001" customHeight="1">
      <c r="A707" s="103"/>
    </row>
    <row r="708" spans="1:1" ht="20.100000000000001" customHeight="1">
      <c r="A708" s="103"/>
    </row>
    <row r="709" spans="1:1" ht="20.100000000000001" customHeight="1">
      <c r="A709" s="103"/>
    </row>
    <row r="710" spans="1:1" ht="20.100000000000001" customHeight="1">
      <c r="A710" s="103"/>
    </row>
    <row r="711" spans="1:1" ht="20.100000000000001" customHeight="1">
      <c r="A711" s="103"/>
    </row>
    <row r="712" spans="1:1" ht="20.100000000000001" customHeight="1">
      <c r="A712" s="103"/>
    </row>
    <row r="713" spans="1:1" ht="20.100000000000001" customHeight="1">
      <c r="A713" s="103"/>
    </row>
    <row r="714" spans="1:1" ht="20.100000000000001" customHeight="1">
      <c r="A714" s="103"/>
    </row>
    <row r="715" spans="1:1" ht="20.100000000000001" customHeight="1">
      <c r="A715" s="103"/>
    </row>
    <row r="716" spans="1:1" ht="20.100000000000001" customHeight="1">
      <c r="A716" s="103"/>
    </row>
    <row r="717" spans="1:1" ht="20.100000000000001" customHeight="1">
      <c r="A717" s="103"/>
    </row>
    <row r="718" spans="1:1" ht="20.100000000000001" customHeight="1">
      <c r="A718" s="103"/>
    </row>
    <row r="719" spans="1:1" ht="20.100000000000001" customHeight="1">
      <c r="A719" s="103"/>
    </row>
    <row r="720" spans="1:1" ht="20.100000000000001" customHeight="1">
      <c r="A720" s="103"/>
    </row>
    <row r="721" spans="1:1" ht="20.100000000000001" customHeight="1">
      <c r="A721" s="103"/>
    </row>
    <row r="722" spans="1:1" ht="20.100000000000001" customHeight="1">
      <c r="A722" s="103"/>
    </row>
    <row r="723" spans="1:1" ht="20.100000000000001" customHeight="1">
      <c r="A723" s="103"/>
    </row>
    <row r="724" spans="1:1" ht="20.100000000000001" customHeight="1">
      <c r="A724" s="103"/>
    </row>
    <row r="725" spans="1:1" ht="20.100000000000001" customHeight="1">
      <c r="A725" s="103"/>
    </row>
    <row r="726" spans="1:1" ht="20.100000000000001" customHeight="1">
      <c r="A726" s="103"/>
    </row>
    <row r="727" spans="1:1" ht="20.100000000000001" customHeight="1">
      <c r="A727" s="103"/>
    </row>
    <row r="728" spans="1:1" ht="20.100000000000001" customHeight="1">
      <c r="A728" s="103"/>
    </row>
    <row r="729" spans="1:1" ht="20.100000000000001" customHeight="1">
      <c r="A729" s="103"/>
    </row>
    <row r="730" spans="1:1" ht="20.100000000000001" customHeight="1">
      <c r="A730" s="103"/>
    </row>
    <row r="731" spans="1:1" ht="20.100000000000001" customHeight="1">
      <c r="A731" s="103"/>
    </row>
    <row r="732" spans="1:1" ht="20.100000000000001" customHeight="1">
      <c r="A732" s="103"/>
    </row>
    <row r="733" spans="1:1" ht="20.100000000000001" customHeight="1">
      <c r="A733" s="103"/>
    </row>
    <row r="734" spans="1:1" ht="20.100000000000001" customHeight="1">
      <c r="A734" s="103"/>
    </row>
    <row r="735" spans="1:1" ht="20.100000000000001" customHeight="1">
      <c r="A735" s="103"/>
    </row>
    <row r="736" spans="1:1" ht="20.100000000000001" customHeight="1">
      <c r="A736" s="103"/>
    </row>
    <row r="737" spans="1:1" ht="20.100000000000001" customHeight="1">
      <c r="A737" s="103"/>
    </row>
    <row r="738" spans="1:1" ht="20.100000000000001" customHeight="1">
      <c r="A738" s="103"/>
    </row>
    <row r="739" spans="1:1" ht="20.100000000000001" customHeight="1">
      <c r="A739" s="103"/>
    </row>
    <row r="740" spans="1:1" ht="20.100000000000001" customHeight="1">
      <c r="A740" s="103"/>
    </row>
    <row r="741" spans="1:1" ht="20.100000000000001" customHeight="1">
      <c r="A741" s="103"/>
    </row>
    <row r="742" spans="1:1" ht="20.100000000000001" customHeight="1">
      <c r="A742" s="103"/>
    </row>
    <row r="743" spans="1:1" ht="20.100000000000001" customHeight="1">
      <c r="A743" s="103"/>
    </row>
    <row r="744" spans="1:1" ht="20.100000000000001" customHeight="1">
      <c r="A744" s="103"/>
    </row>
    <row r="745" spans="1:1" ht="20.100000000000001" customHeight="1">
      <c r="A745" s="103"/>
    </row>
    <row r="746" spans="1:1" ht="20.100000000000001" customHeight="1">
      <c r="A746" s="103"/>
    </row>
    <row r="747" spans="1:1" ht="20.100000000000001" customHeight="1">
      <c r="A747" s="103"/>
    </row>
    <row r="748" spans="1:1" ht="20.100000000000001" customHeight="1">
      <c r="A748" s="103"/>
    </row>
    <row r="749" spans="1:1" ht="20.100000000000001" customHeight="1">
      <c r="A749" s="103"/>
    </row>
    <row r="750" spans="1:1" ht="20.100000000000001" customHeight="1">
      <c r="A750" s="103"/>
    </row>
    <row r="751" spans="1:1" ht="20.100000000000001" customHeight="1">
      <c r="A751" s="103"/>
    </row>
    <row r="752" spans="1:1" ht="20.100000000000001" customHeight="1">
      <c r="A752" s="103"/>
    </row>
    <row r="753" spans="1:1" ht="20.100000000000001" customHeight="1">
      <c r="A753" s="103"/>
    </row>
    <row r="754" spans="1:1" ht="20.100000000000001" customHeight="1">
      <c r="A754" s="103"/>
    </row>
    <row r="755" spans="1:1" ht="20.100000000000001" customHeight="1">
      <c r="A755" s="103"/>
    </row>
    <row r="756" spans="1:1" ht="20.100000000000001" customHeight="1">
      <c r="A756" s="103"/>
    </row>
    <row r="757" spans="1:1" ht="20.100000000000001" customHeight="1">
      <c r="A757" s="103"/>
    </row>
    <row r="758" spans="1:1" ht="20.100000000000001" customHeight="1">
      <c r="A758" s="103"/>
    </row>
    <row r="759" spans="1:1" ht="20.100000000000001" customHeight="1">
      <c r="A759" s="103"/>
    </row>
    <row r="760" spans="1:1" ht="20.100000000000001" customHeight="1">
      <c r="A760" s="103"/>
    </row>
    <row r="761" spans="1:1" ht="20.100000000000001" customHeight="1">
      <c r="A761" s="103"/>
    </row>
    <row r="762" spans="1:1" ht="20.100000000000001" customHeight="1">
      <c r="A762" s="103"/>
    </row>
    <row r="763" spans="1:1" ht="20.100000000000001" customHeight="1">
      <c r="A763" s="103"/>
    </row>
    <row r="764" spans="1:1" ht="20.100000000000001" customHeight="1">
      <c r="A764" s="103"/>
    </row>
    <row r="765" spans="1:1" ht="20.100000000000001" customHeight="1">
      <c r="A765" s="103"/>
    </row>
    <row r="766" spans="1:1" ht="20.100000000000001" customHeight="1">
      <c r="A766" s="103"/>
    </row>
    <row r="767" spans="1:1" ht="20.100000000000001" customHeight="1">
      <c r="A767" s="103"/>
    </row>
    <row r="768" spans="1:1" ht="20.100000000000001" customHeight="1">
      <c r="A768" s="103"/>
    </row>
    <row r="769" spans="1:1" ht="20.100000000000001" customHeight="1">
      <c r="A769" s="103"/>
    </row>
    <row r="770" spans="1:1" ht="20.100000000000001" customHeight="1">
      <c r="A770" s="103"/>
    </row>
    <row r="771" spans="1:1" ht="20.100000000000001" customHeight="1">
      <c r="A771" s="103"/>
    </row>
    <row r="772" spans="1:1" ht="20.100000000000001" customHeight="1">
      <c r="A772" s="103"/>
    </row>
    <row r="773" spans="1:1" ht="20.100000000000001" customHeight="1">
      <c r="A773" s="103"/>
    </row>
    <row r="774" spans="1:1" ht="20.100000000000001" customHeight="1">
      <c r="A774" s="103"/>
    </row>
    <row r="775" spans="1:1" ht="20.100000000000001" customHeight="1">
      <c r="A775" s="103"/>
    </row>
    <row r="776" spans="1:1" ht="20.100000000000001" customHeight="1">
      <c r="A776" s="103"/>
    </row>
    <row r="777" spans="1:1" ht="20.100000000000001" customHeight="1">
      <c r="A777" s="103"/>
    </row>
    <row r="778" spans="1:1" ht="20.100000000000001" customHeight="1">
      <c r="A778" s="103"/>
    </row>
    <row r="779" spans="1:1" ht="20.100000000000001" customHeight="1">
      <c r="A779" s="103"/>
    </row>
    <row r="780" spans="1:1" ht="20.100000000000001" customHeight="1">
      <c r="A780" s="103"/>
    </row>
    <row r="781" spans="1:1" ht="20.100000000000001" customHeight="1">
      <c r="A781" s="103"/>
    </row>
    <row r="782" spans="1:1" ht="20.100000000000001" customHeight="1">
      <c r="A782" s="103"/>
    </row>
    <row r="783" spans="1:1" ht="20.100000000000001" customHeight="1">
      <c r="A783" s="103"/>
    </row>
    <row r="784" spans="1:1" ht="20.100000000000001" customHeight="1">
      <c r="A784" s="103"/>
    </row>
    <row r="785" spans="1:1" ht="20.100000000000001" customHeight="1">
      <c r="A785" s="103"/>
    </row>
    <row r="786" spans="1:1" ht="20.100000000000001" customHeight="1">
      <c r="A786" s="103"/>
    </row>
    <row r="787" spans="1:1" ht="20.100000000000001" customHeight="1">
      <c r="A787" s="103"/>
    </row>
    <row r="788" spans="1:1" ht="20.100000000000001" customHeight="1">
      <c r="A788" s="103"/>
    </row>
    <row r="789" spans="1:1" ht="20.100000000000001" customHeight="1">
      <c r="A789" s="103"/>
    </row>
  </sheetData>
  <mergeCells count="27">
    <mergeCell ref="E24:L24"/>
    <mergeCell ref="E25:L25"/>
    <mergeCell ref="A23:D23"/>
    <mergeCell ref="A24:D24"/>
    <mergeCell ref="A25:D25"/>
    <mergeCell ref="J20:K20"/>
    <mergeCell ref="I22:J22"/>
    <mergeCell ref="A20:C21"/>
    <mergeCell ref="D20:E21"/>
    <mergeCell ref="E23:L23"/>
    <mergeCell ref="J11:K11"/>
    <mergeCell ref="G15:I15"/>
    <mergeCell ref="J15:K15"/>
    <mergeCell ref="A1:E1"/>
    <mergeCell ref="G1:K1"/>
    <mergeCell ref="G6:I6"/>
    <mergeCell ref="J6:K6"/>
    <mergeCell ref="B19:C19"/>
    <mergeCell ref="H21:I21"/>
    <mergeCell ref="A8:C8"/>
    <mergeCell ref="D8:E8"/>
    <mergeCell ref="A13:C13"/>
    <mergeCell ref="D13:E13"/>
    <mergeCell ref="A18:C18"/>
    <mergeCell ref="D18:E18"/>
    <mergeCell ref="G11:I11"/>
    <mergeCell ref="G20:I20"/>
  </mergeCells>
  <pageMargins left="0.7" right="0.7" top="0.75" bottom="0.75" header="0.3" footer="0.3"/>
  <pageSetup scale="66" orientation="portrait" verticalDpi="300" r:id="rId1"/>
  <rowBreaks count="21" manualBreakCount="21">
    <brk id="25" max="12" man="1"/>
    <brk id="61" max="12" man="1"/>
    <brk id="86" max="12" man="1"/>
    <brk id="106" max="12" man="1"/>
    <brk id="141" max="12" man="1"/>
    <brk id="165" max="12" man="1"/>
    <brk id="184" max="12" man="1"/>
    <brk id="221" max="12" man="1"/>
    <brk id="223" max="12" man="1"/>
    <brk id="257" max="12" man="1"/>
    <brk id="292" max="12" man="1"/>
    <brk id="322" max="12" man="1"/>
    <brk id="356" max="12" man="1"/>
    <brk id="388" max="12" man="1"/>
    <brk id="421" max="12" man="1"/>
    <brk id="482" max="12" man="1"/>
    <brk id="527" max="12" man="1"/>
    <brk id="551" max="12" man="1"/>
    <brk id="622" max="12" man="1"/>
    <brk id="655" max="12" man="1"/>
    <brk id="657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0066"/>
  </sheetPr>
  <dimension ref="A1:AH1048576"/>
  <sheetViews>
    <sheetView tabSelected="1" topLeftCell="A10" workbookViewId="0">
      <selection activeCell="T5" sqref="T5"/>
    </sheetView>
  </sheetViews>
  <sheetFormatPr defaultColWidth="8.7109375" defaultRowHeight="20.100000000000001" customHeight="1"/>
  <cols>
    <col min="1" max="1" width="33.85546875" style="392" customWidth="1"/>
    <col min="2" max="2" width="53.7109375" style="391" customWidth="1"/>
    <col min="3" max="3" width="30.7109375" style="376" customWidth="1"/>
    <col min="4" max="4" width="27.42578125" style="376" customWidth="1"/>
    <col min="5" max="5" width="29" style="395" customWidth="1"/>
    <col min="6" max="6" width="0.7109375" style="376" customWidth="1"/>
    <col min="7" max="7" width="9.28515625" style="376" customWidth="1"/>
    <col min="8" max="8" width="7.85546875" style="376" customWidth="1"/>
    <col min="9" max="9" width="6.5703125" style="376" customWidth="1"/>
    <col min="10" max="10" width="7.140625" style="376" customWidth="1"/>
    <col min="11" max="11" width="6.140625" style="376" customWidth="1"/>
    <col min="12" max="12" width="0.5703125" style="377" customWidth="1"/>
    <col min="13" max="13" width="2.7109375" style="377"/>
    <col min="14" max="14" width="4" style="377" customWidth="1"/>
    <col min="15" max="15" width="2.7109375" style="380" customWidth="1"/>
    <col min="16" max="16" width="4.5703125" style="380" customWidth="1"/>
    <col min="17" max="17" width="0.42578125" style="380" customWidth="1"/>
    <col min="18" max="18" width="4.42578125" style="377" customWidth="1"/>
    <col min="19" max="19" width="4.28515625" style="377" customWidth="1"/>
    <col min="20" max="22" width="2.7109375" style="377"/>
    <col min="23" max="23" width="0.5703125" style="377" customWidth="1"/>
    <col min="24" max="28" width="2.7109375" style="377"/>
    <col min="29" max="29" width="0.28515625" style="377" customWidth="1"/>
    <col min="30" max="34" width="2.7109375" style="377"/>
    <col min="35" max="35" width="0.28515625" style="377" customWidth="1"/>
    <col min="36" max="16384" width="8.7109375" style="377"/>
  </cols>
  <sheetData>
    <row r="1" spans="1:34" s="373" customFormat="1" ht="93" customHeight="1">
      <c r="A1" s="702" t="s">
        <v>390</v>
      </c>
      <c r="B1" s="702"/>
      <c r="C1" s="702"/>
      <c r="D1" s="702"/>
      <c r="E1" s="702"/>
      <c r="F1" s="371"/>
      <c r="G1" s="471"/>
      <c r="H1" s="472"/>
      <c r="I1" s="472"/>
      <c r="J1" s="472"/>
      <c r="K1" s="473"/>
      <c r="L1" s="701"/>
      <c r="M1" s="701"/>
      <c r="N1" s="701"/>
      <c r="O1" s="701"/>
      <c r="P1" s="701"/>
      <c r="Q1" s="372"/>
      <c r="R1" s="701"/>
      <c r="S1" s="701"/>
      <c r="T1" s="701"/>
      <c r="U1" s="701"/>
      <c r="V1" s="701"/>
      <c r="W1" s="372"/>
      <c r="X1" s="701"/>
      <c r="Y1" s="701"/>
      <c r="Z1" s="701"/>
      <c r="AA1" s="701"/>
      <c r="AB1" s="701"/>
      <c r="AC1" s="372"/>
      <c r="AD1" s="701"/>
      <c r="AE1" s="701"/>
      <c r="AF1" s="701"/>
      <c r="AG1" s="701"/>
      <c r="AH1" s="701"/>
    </row>
    <row r="2" spans="1:34" s="373" customFormat="1" ht="45.75" customHeight="1">
      <c r="A2" s="153" t="s">
        <v>4</v>
      </c>
      <c r="B2" s="278" t="s">
        <v>3</v>
      </c>
      <c r="C2" s="275" t="s">
        <v>0</v>
      </c>
      <c r="D2" s="276" t="s">
        <v>1</v>
      </c>
      <c r="E2" s="276" t="s">
        <v>2</v>
      </c>
      <c r="F2" s="371"/>
      <c r="G2" s="372"/>
      <c r="H2" s="385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</row>
    <row r="3" spans="1:34" ht="45.75" customHeight="1">
      <c r="A3" s="157">
        <v>250</v>
      </c>
      <c r="B3" s="393" t="s">
        <v>391</v>
      </c>
      <c r="C3" s="390">
        <v>25</v>
      </c>
      <c r="D3" s="390">
        <v>25</v>
      </c>
      <c r="E3" s="375">
        <f>SUM(C3-D3)</f>
        <v>0</v>
      </c>
      <c r="G3" s="374"/>
      <c r="H3" s="385"/>
      <c r="I3" s="375"/>
      <c r="J3" s="375"/>
      <c r="K3" s="375"/>
      <c r="M3" s="378"/>
      <c r="N3" s="379"/>
      <c r="R3" s="381"/>
      <c r="S3" s="382"/>
      <c r="T3" s="383"/>
      <c r="U3" s="378"/>
    </row>
    <row r="4" spans="1:34" ht="45.75" customHeight="1">
      <c r="A4" s="157">
        <v>249</v>
      </c>
      <c r="B4" s="393" t="s">
        <v>391</v>
      </c>
      <c r="C4" s="385">
        <v>25</v>
      </c>
      <c r="D4" s="385">
        <v>25</v>
      </c>
      <c r="E4" s="375">
        <f>SUM(C4-D4)</f>
        <v>0</v>
      </c>
      <c r="G4" s="384"/>
      <c r="H4" s="378"/>
      <c r="I4" s="378"/>
      <c r="J4" s="378"/>
      <c r="K4" s="378"/>
      <c r="M4" s="378"/>
      <c r="N4" s="379"/>
      <c r="R4" s="381"/>
      <c r="S4" s="382"/>
      <c r="T4" s="383"/>
      <c r="U4" s="378"/>
    </row>
    <row r="5" spans="1:34" ht="91.5" customHeight="1">
      <c r="A5" s="476" t="s">
        <v>83</v>
      </c>
      <c r="B5" s="394">
        <f>D5*8</f>
        <v>400</v>
      </c>
      <c r="C5" s="151">
        <f>SUM(C3:C4)</f>
        <v>50</v>
      </c>
      <c r="D5" s="152">
        <f>SUM(D3:D4)</f>
        <v>50</v>
      </c>
      <c r="E5" s="396">
        <f>SUM(E3:E4)</f>
        <v>0</v>
      </c>
      <c r="G5" s="384"/>
      <c r="H5" s="378"/>
      <c r="I5" s="378"/>
      <c r="K5" s="378"/>
      <c r="M5" s="378"/>
      <c r="N5" s="379"/>
      <c r="R5" s="381"/>
      <c r="S5" s="382"/>
      <c r="T5" s="383"/>
      <c r="U5" s="378"/>
    </row>
    <row r="6" spans="1:34" ht="53.25" customHeight="1">
      <c r="A6" s="647" t="s">
        <v>84</v>
      </c>
      <c r="B6" s="652"/>
      <c r="C6" s="626"/>
      <c r="D6" s="654">
        <f>B5/2</f>
        <v>200</v>
      </c>
      <c r="E6" s="655"/>
      <c r="G6" s="384"/>
      <c r="H6" s="424"/>
      <c r="I6" s="424"/>
      <c r="K6" s="378"/>
      <c r="M6" s="378"/>
      <c r="N6" s="379"/>
      <c r="R6" s="381"/>
      <c r="S6" s="382"/>
      <c r="T6" s="383"/>
      <c r="U6" s="378"/>
    </row>
    <row r="7" spans="1:34" s="411" customFormat="1" ht="18.75" customHeight="1">
      <c r="A7" s="405"/>
      <c r="B7" s="406"/>
      <c r="C7" s="407"/>
      <c r="D7" s="408"/>
      <c r="E7" s="409"/>
      <c r="F7" s="410"/>
      <c r="G7" s="423"/>
      <c r="H7" s="378"/>
      <c r="I7" s="378"/>
      <c r="J7" s="474"/>
      <c r="K7" s="424"/>
      <c r="L7" s="425"/>
      <c r="M7" s="424"/>
      <c r="N7" s="426"/>
      <c r="O7" s="427"/>
      <c r="P7" s="427"/>
      <c r="Q7" s="427"/>
      <c r="R7" s="423"/>
      <c r="S7" s="428"/>
      <c r="T7" s="429"/>
      <c r="U7" s="424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</row>
    <row r="8" spans="1:34" ht="45" customHeight="1">
      <c r="A8" s="157">
        <v>248</v>
      </c>
      <c r="B8" s="393" t="s">
        <v>331</v>
      </c>
      <c r="C8" s="385">
        <v>25</v>
      </c>
      <c r="D8" s="378">
        <v>25</v>
      </c>
      <c r="E8" s="389">
        <f>SUM(C8-D8)</f>
        <v>0</v>
      </c>
      <c r="G8" s="384"/>
      <c r="H8" s="385"/>
      <c r="K8" s="378"/>
      <c r="M8" s="378"/>
      <c r="N8" s="379"/>
      <c r="R8" s="381"/>
      <c r="S8" s="382"/>
      <c r="T8" s="383"/>
      <c r="U8" s="378"/>
    </row>
    <row r="9" spans="1:34" ht="53.25" customHeight="1">
      <c r="A9" s="157">
        <v>247</v>
      </c>
      <c r="B9" s="393" t="s">
        <v>331</v>
      </c>
      <c r="C9" s="385">
        <v>25</v>
      </c>
      <c r="D9" s="378">
        <v>25</v>
      </c>
      <c r="E9" s="389">
        <f>SUM(C9-D9)</f>
        <v>0</v>
      </c>
      <c r="G9" s="384"/>
      <c r="H9" s="385"/>
      <c r="I9" s="378"/>
      <c r="J9" s="378"/>
      <c r="K9" s="378"/>
      <c r="M9" s="378"/>
      <c r="N9" s="379"/>
      <c r="R9" s="381"/>
      <c r="S9" s="382"/>
      <c r="T9" s="378"/>
      <c r="U9" s="378"/>
    </row>
    <row r="10" spans="1:34" ht="88.5" customHeight="1">
      <c r="A10" s="476" t="s">
        <v>83</v>
      </c>
      <c r="B10" s="394">
        <f>D10*8</f>
        <v>400</v>
      </c>
      <c r="C10" s="151">
        <f>SUM(C8:C9)</f>
        <v>50</v>
      </c>
      <c r="D10" s="152">
        <f>SUM(D8:D9)</f>
        <v>50</v>
      </c>
      <c r="E10" s="396">
        <f>SUM(E8:E9)</f>
        <v>0</v>
      </c>
      <c r="G10" s="386"/>
      <c r="H10" s="386"/>
      <c r="I10" s="384"/>
      <c r="J10" s="384"/>
      <c r="K10" s="384"/>
      <c r="M10" s="378"/>
      <c r="N10" s="379"/>
      <c r="R10" s="381"/>
      <c r="S10" s="382"/>
      <c r="T10" s="378"/>
      <c r="U10" s="378"/>
    </row>
    <row r="11" spans="1:34" ht="44.25" customHeight="1">
      <c r="A11" s="647" t="s">
        <v>84</v>
      </c>
      <c r="B11" s="652"/>
      <c r="C11" s="626"/>
      <c r="D11" s="654">
        <f>B10/2</f>
        <v>200</v>
      </c>
      <c r="E11" s="655"/>
      <c r="G11" s="388"/>
      <c r="H11" s="388"/>
      <c r="I11" s="388"/>
      <c r="J11" s="388"/>
      <c r="K11" s="388"/>
      <c r="M11" s="378"/>
      <c r="N11" s="379"/>
      <c r="R11" s="381"/>
      <c r="S11" s="382"/>
      <c r="T11" s="378"/>
      <c r="U11" s="378"/>
    </row>
    <row r="12" spans="1:34" s="417" customFormat="1" ht="15" customHeight="1">
      <c r="A12" s="152"/>
      <c r="B12" s="412"/>
      <c r="C12" s="413"/>
      <c r="D12" s="414"/>
      <c r="E12" s="415"/>
      <c r="F12" s="416"/>
      <c r="G12" s="388"/>
      <c r="H12" s="388"/>
      <c r="I12" s="388"/>
      <c r="J12" s="388"/>
      <c r="K12" s="388"/>
      <c r="L12" s="377"/>
      <c r="M12" s="378"/>
      <c r="N12" s="379"/>
      <c r="O12" s="380"/>
      <c r="P12" s="380"/>
      <c r="Q12" s="380"/>
      <c r="R12" s="381"/>
      <c r="S12" s="382"/>
      <c r="T12" s="378"/>
      <c r="U12" s="378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</row>
    <row r="13" spans="1:34" ht="46.5" customHeight="1">
      <c r="A13" s="157">
        <v>246</v>
      </c>
      <c r="B13" s="393" t="s">
        <v>330</v>
      </c>
      <c r="C13" s="385">
        <v>25</v>
      </c>
      <c r="D13" s="378">
        <v>25</v>
      </c>
      <c r="E13" s="389">
        <f>SUM(C13-D13)</f>
        <v>0</v>
      </c>
      <c r="G13" s="384"/>
      <c r="H13" s="385"/>
      <c r="I13" s="378"/>
      <c r="J13" s="378"/>
      <c r="K13" s="378"/>
      <c r="M13" s="378"/>
      <c r="N13" s="379"/>
      <c r="R13" s="381"/>
      <c r="S13" s="382"/>
      <c r="T13" s="378"/>
      <c r="U13" s="378"/>
    </row>
    <row r="14" spans="1:34" ht="41.25" customHeight="1">
      <c r="A14" s="157">
        <v>245</v>
      </c>
      <c r="B14" s="393" t="s">
        <v>330</v>
      </c>
      <c r="C14" s="385">
        <v>25</v>
      </c>
      <c r="D14" s="378">
        <v>13</v>
      </c>
      <c r="E14" s="389">
        <f>SUM(C14-D14)</f>
        <v>12</v>
      </c>
      <c r="G14" s="384"/>
      <c r="H14" s="385"/>
      <c r="I14" s="378"/>
      <c r="J14" s="378"/>
      <c r="K14" s="378"/>
      <c r="M14" s="378"/>
      <c r="N14" s="379"/>
      <c r="R14" s="381"/>
      <c r="S14" s="382"/>
      <c r="T14" s="378"/>
      <c r="U14" s="378"/>
    </row>
    <row r="15" spans="1:34" ht="97.5" customHeight="1">
      <c r="A15" s="476" t="s">
        <v>83</v>
      </c>
      <c r="B15" s="394">
        <f>D15*8</f>
        <v>304</v>
      </c>
      <c r="C15" s="151">
        <f>SUM(C13:C14)</f>
        <v>50</v>
      </c>
      <c r="D15" s="152">
        <f>SUM(D13:D14)</f>
        <v>38</v>
      </c>
      <c r="E15" s="396">
        <f>SUM(E13:E14)</f>
        <v>12</v>
      </c>
      <c r="G15" s="384"/>
      <c r="H15" s="385"/>
      <c r="I15" s="378"/>
      <c r="J15" s="378"/>
      <c r="K15" s="378"/>
      <c r="M15" s="378"/>
      <c r="R15" s="381"/>
    </row>
    <row r="16" spans="1:34" ht="39.75" customHeight="1">
      <c r="A16" s="647" t="s">
        <v>84</v>
      </c>
      <c r="B16" s="652"/>
      <c r="C16" s="626"/>
      <c r="D16" s="654">
        <f>B15/2</f>
        <v>152</v>
      </c>
      <c r="E16" s="655"/>
      <c r="G16" s="384"/>
      <c r="H16" s="385"/>
      <c r="I16" s="378"/>
      <c r="J16" s="378"/>
      <c r="K16" s="378"/>
    </row>
    <row r="17" spans="1:34" s="417" customFormat="1" ht="16.5" customHeight="1">
      <c r="A17" s="418"/>
      <c r="B17" s="412"/>
      <c r="C17" s="413"/>
      <c r="D17" s="414"/>
      <c r="E17" s="415"/>
      <c r="F17" s="416"/>
      <c r="G17" s="384"/>
      <c r="H17" s="385"/>
      <c r="I17" s="378"/>
      <c r="J17" s="378"/>
      <c r="K17" s="378"/>
      <c r="L17" s="377"/>
      <c r="M17" s="377"/>
      <c r="N17" s="377"/>
      <c r="O17" s="380"/>
      <c r="P17" s="380"/>
      <c r="Q17" s="380"/>
      <c r="R17" s="377"/>
      <c r="S17" s="377"/>
      <c r="T17" s="377"/>
      <c r="U17" s="377"/>
      <c r="V17" s="377"/>
      <c r="W17" s="377"/>
      <c r="X17" s="377"/>
      <c r="Y17" s="377"/>
      <c r="Z17" s="377"/>
      <c r="AA17" s="377"/>
      <c r="AB17" s="377"/>
      <c r="AC17" s="377"/>
      <c r="AD17" s="377"/>
      <c r="AE17" s="377"/>
      <c r="AF17" s="377"/>
      <c r="AG17" s="377"/>
      <c r="AH17" s="377"/>
    </row>
    <row r="18" spans="1:34" ht="34.5" customHeight="1">
      <c r="A18" s="157">
        <v>244</v>
      </c>
      <c r="B18" s="393" t="s">
        <v>329</v>
      </c>
      <c r="C18" s="385">
        <v>25</v>
      </c>
      <c r="D18" s="378">
        <v>25</v>
      </c>
      <c r="E18" s="389">
        <f>SUM(C18-D18)</f>
        <v>0</v>
      </c>
      <c r="G18" s="384"/>
      <c r="H18" s="385"/>
      <c r="I18" s="378"/>
      <c r="J18" s="378"/>
      <c r="K18" s="384"/>
    </row>
    <row r="19" spans="1:34" ht="42.75" customHeight="1">
      <c r="A19" s="157">
        <v>243</v>
      </c>
      <c r="B19" s="393" t="s">
        <v>329</v>
      </c>
      <c r="C19" s="385">
        <v>25</v>
      </c>
      <c r="D19" s="385">
        <v>25</v>
      </c>
      <c r="E19" s="389">
        <f>SUM(C19-D19)</f>
        <v>0</v>
      </c>
      <c r="G19" s="386"/>
      <c r="H19" s="386"/>
      <c r="I19" s="384"/>
      <c r="J19" s="384"/>
      <c r="K19" s="384"/>
    </row>
    <row r="20" spans="1:34" ht="97.5" customHeight="1">
      <c r="A20" s="476" t="s">
        <v>83</v>
      </c>
      <c r="B20" s="394">
        <f>D20*8</f>
        <v>400</v>
      </c>
      <c r="C20" s="151">
        <f>SUM(C18:C19)</f>
        <v>50</v>
      </c>
      <c r="D20" s="152">
        <f>SUM(D18:D19)</f>
        <v>50</v>
      </c>
      <c r="E20" s="396">
        <f>SUM(E18:E19)</f>
        <v>0</v>
      </c>
      <c r="G20" s="384"/>
      <c r="H20" s="385"/>
      <c r="I20" s="378"/>
      <c r="J20" s="378"/>
      <c r="K20" s="378"/>
      <c r="M20" s="378"/>
      <c r="R20" s="381"/>
    </row>
    <row r="21" spans="1:34" ht="39.75" customHeight="1">
      <c r="A21" s="647" t="s">
        <v>84</v>
      </c>
      <c r="B21" s="652"/>
      <c r="C21" s="626"/>
      <c r="D21" s="654">
        <f>B20/2</f>
        <v>200</v>
      </c>
      <c r="E21" s="655"/>
      <c r="G21" s="384"/>
      <c r="H21" s="385"/>
      <c r="I21" s="378"/>
      <c r="J21" s="378"/>
      <c r="K21" s="378"/>
    </row>
    <row r="22" spans="1:34" s="417" customFormat="1" ht="17.25" customHeight="1">
      <c r="B22" s="419"/>
      <c r="C22" s="420"/>
      <c r="D22" s="421"/>
      <c r="E22" s="422"/>
      <c r="F22" s="416"/>
      <c r="G22" s="376"/>
      <c r="H22" s="376"/>
      <c r="I22" s="376"/>
      <c r="J22" s="376"/>
      <c r="K22" s="376"/>
      <c r="L22" s="377"/>
      <c r="M22" s="377"/>
      <c r="N22" s="377"/>
      <c r="O22" s="387"/>
      <c r="P22" s="387"/>
      <c r="Q22" s="38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</row>
    <row r="23" spans="1:34" ht="42" customHeight="1">
      <c r="A23" s="157">
        <v>242</v>
      </c>
      <c r="B23" s="393" t="s">
        <v>328</v>
      </c>
      <c r="C23" s="390">
        <v>25</v>
      </c>
      <c r="D23" s="376">
        <v>25</v>
      </c>
      <c r="E23" s="375">
        <f>SUM(C23-D23)</f>
        <v>0</v>
      </c>
      <c r="O23" s="387"/>
      <c r="P23" s="387"/>
      <c r="Q23" s="387"/>
    </row>
    <row r="24" spans="1:34" ht="52.5" customHeight="1">
      <c r="A24" s="157">
        <v>241</v>
      </c>
      <c r="B24" s="393" t="s">
        <v>328</v>
      </c>
      <c r="C24" s="390">
        <v>25</v>
      </c>
      <c r="D24" s="376">
        <v>25</v>
      </c>
      <c r="E24" s="375">
        <f>SUM(C24-D24)</f>
        <v>0</v>
      </c>
      <c r="O24" s="387"/>
      <c r="P24" s="387"/>
      <c r="Q24" s="387"/>
    </row>
    <row r="25" spans="1:34" ht="99" customHeight="1">
      <c r="A25" s="476" t="s">
        <v>83</v>
      </c>
      <c r="B25" s="394">
        <f>SUM(D25*8)</f>
        <v>400</v>
      </c>
      <c r="C25" s="151">
        <f>SUM(C23:C24)</f>
        <v>50</v>
      </c>
      <c r="D25" s="152">
        <f>SUM(D23:D24)</f>
        <v>50</v>
      </c>
      <c r="E25" s="396">
        <f>SUM(E23:E24)</f>
        <v>0</v>
      </c>
      <c r="G25" s="384"/>
      <c r="H25" s="385"/>
      <c r="I25" s="378"/>
      <c r="J25" s="378"/>
      <c r="K25" s="378"/>
      <c r="M25" s="378"/>
      <c r="R25" s="381"/>
    </row>
    <row r="26" spans="1:34" ht="39.75" customHeight="1">
      <c r="A26" s="647" t="s">
        <v>84</v>
      </c>
      <c r="B26" s="652"/>
      <c r="C26" s="626"/>
      <c r="D26" s="654">
        <f>B25/2</f>
        <v>200</v>
      </c>
      <c r="E26" s="655"/>
      <c r="G26" s="384"/>
      <c r="H26" s="385"/>
      <c r="I26" s="378"/>
      <c r="J26" s="378"/>
      <c r="K26" s="378"/>
    </row>
    <row r="27" spans="1:34" ht="20.100000000000001" customHeight="1">
      <c r="O27" s="387"/>
      <c r="P27" s="387"/>
      <c r="Q27" s="387"/>
    </row>
    <row r="28" spans="1:34" ht="20.100000000000001" customHeight="1">
      <c r="O28" s="387"/>
      <c r="P28" s="387"/>
      <c r="Q28" s="387"/>
    </row>
    <row r="29" spans="1:34" ht="20.100000000000001" customHeight="1">
      <c r="O29" s="387"/>
      <c r="P29" s="387"/>
      <c r="Q29" s="387"/>
    </row>
    <row r="30" spans="1:34" ht="20.100000000000001" customHeight="1">
      <c r="O30" s="387"/>
      <c r="P30" s="387"/>
      <c r="Q30" s="387"/>
    </row>
    <row r="31" spans="1:34" ht="20.100000000000001" customHeight="1">
      <c r="O31" s="387"/>
      <c r="P31" s="387"/>
      <c r="Q31" s="387"/>
    </row>
    <row r="32" spans="1:34" ht="20.100000000000001" customHeight="1">
      <c r="O32" s="387"/>
      <c r="P32" s="387"/>
      <c r="Q32" s="387"/>
    </row>
    <row r="33" spans="15:17" ht="20.100000000000001" customHeight="1">
      <c r="O33" s="387"/>
      <c r="P33" s="387"/>
      <c r="Q33" s="387"/>
    </row>
    <row r="34" spans="15:17" ht="20.100000000000001" customHeight="1">
      <c r="O34" s="387"/>
      <c r="P34" s="387"/>
      <c r="Q34" s="387"/>
    </row>
    <row r="35" spans="15:17" ht="20.100000000000001" customHeight="1">
      <c r="O35" s="387"/>
      <c r="P35" s="387"/>
      <c r="Q35" s="387"/>
    </row>
    <row r="36" spans="15:17" ht="20.100000000000001" customHeight="1">
      <c r="O36" s="387"/>
      <c r="P36" s="387"/>
      <c r="Q36" s="387"/>
    </row>
    <row r="37" spans="15:17" ht="20.100000000000001" customHeight="1">
      <c r="O37" s="387"/>
      <c r="P37" s="387"/>
      <c r="Q37" s="387"/>
    </row>
    <row r="38" spans="15:17" ht="20.100000000000001" customHeight="1">
      <c r="O38" s="387"/>
      <c r="P38" s="387"/>
      <c r="Q38" s="387"/>
    </row>
    <row r="39" spans="15:17" ht="20.100000000000001" customHeight="1">
      <c r="O39" s="387"/>
      <c r="P39" s="387"/>
      <c r="Q39" s="387"/>
    </row>
    <row r="40" spans="15:17" ht="20.100000000000001" customHeight="1">
      <c r="O40" s="387"/>
      <c r="P40" s="387"/>
      <c r="Q40" s="387"/>
    </row>
    <row r="41" spans="15:17" ht="20.100000000000001" customHeight="1">
      <c r="O41" s="387"/>
      <c r="P41" s="387"/>
      <c r="Q41" s="387"/>
    </row>
    <row r="42" spans="15:17" ht="20.100000000000001" customHeight="1">
      <c r="O42" s="387"/>
      <c r="P42" s="387"/>
      <c r="Q42" s="387"/>
    </row>
    <row r="43" spans="15:17" ht="20.100000000000001" customHeight="1">
      <c r="O43" s="387"/>
      <c r="P43" s="387"/>
      <c r="Q43" s="387"/>
    </row>
    <row r="44" spans="15:17" ht="20.100000000000001" customHeight="1">
      <c r="O44" s="387"/>
      <c r="P44" s="387"/>
      <c r="Q44" s="387"/>
    </row>
    <row r="45" spans="15:17" ht="20.100000000000001" customHeight="1">
      <c r="O45" s="387"/>
      <c r="P45" s="387"/>
      <c r="Q45" s="387"/>
    </row>
    <row r="46" spans="15:17" ht="20.100000000000001" customHeight="1">
      <c r="O46" s="387"/>
      <c r="P46" s="387"/>
      <c r="Q46" s="387"/>
    </row>
    <row r="47" spans="15:17" ht="20.100000000000001" customHeight="1">
      <c r="O47" s="387"/>
      <c r="P47" s="387"/>
      <c r="Q47" s="387"/>
    </row>
    <row r="48" spans="15:17" ht="20.100000000000001" customHeight="1">
      <c r="O48" s="387"/>
      <c r="P48" s="387"/>
      <c r="Q48" s="387"/>
    </row>
    <row r="49" spans="15:17" ht="20.100000000000001" customHeight="1">
      <c r="O49" s="387"/>
      <c r="P49" s="387"/>
      <c r="Q49" s="387"/>
    </row>
    <row r="50" spans="15:17" ht="20.100000000000001" customHeight="1">
      <c r="O50" s="387"/>
      <c r="P50" s="387"/>
      <c r="Q50" s="387"/>
    </row>
    <row r="51" spans="15:17" ht="20.100000000000001" customHeight="1">
      <c r="O51" s="387"/>
      <c r="P51" s="387"/>
      <c r="Q51" s="387"/>
    </row>
    <row r="52" spans="15:17" ht="20.100000000000001" customHeight="1">
      <c r="O52" s="387"/>
      <c r="P52" s="387"/>
      <c r="Q52" s="387"/>
    </row>
    <row r="53" spans="15:17" ht="20.100000000000001" customHeight="1">
      <c r="O53" s="387"/>
      <c r="P53" s="387"/>
      <c r="Q53" s="387"/>
    </row>
    <row r="54" spans="15:17" ht="20.100000000000001" customHeight="1">
      <c r="O54" s="387"/>
      <c r="P54" s="387"/>
      <c r="Q54" s="387"/>
    </row>
    <row r="55" spans="15:17" ht="20.100000000000001" customHeight="1">
      <c r="O55" s="387"/>
      <c r="P55" s="387"/>
      <c r="Q55" s="387"/>
    </row>
    <row r="56" spans="15:17" ht="20.100000000000001" customHeight="1">
      <c r="O56" s="387"/>
      <c r="P56" s="387"/>
      <c r="Q56" s="387"/>
    </row>
    <row r="57" spans="15:17" ht="20.100000000000001" customHeight="1">
      <c r="O57" s="387"/>
      <c r="P57" s="387"/>
      <c r="Q57" s="387"/>
    </row>
    <row r="58" spans="15:17" ht="20.100000000000001" customHeight="1">
      <c r="O58" s="387"/>
      <c r="P58" s="387"/>
      <c r="Q58" s="387"/>
    </row>
    <row r="59" spans="15:17" ht="20.100000000000001" customHeight="1">
      <c r="O59" s="387"/>
      <c r="P59" s="387"/>
      <c r="Q59" s="387"/>
    </row>
    <row r="60" spans="15:17" ht="20.100000000000001" customHeight="1">
      <c r="O60" s="387"/>
      <c r="P60" s="387"/>
      <c r="Q60" s="387"/>
    </row>
    <row r="61" spans="15:17" ht="20.100000000000001" customHeight="1">
      <c r="O61" s="387"/>
      <c r="P61" s="387"/>
      <c r="Q61" s="387"/>
    </row>
    <row r="62" spans="15:17" ht="20.100000000000001" customHeight="1">
      <c r="O62" s="387"/>
      <c r="P62" s="387"/>
      <c r="Q62" s="387"/>
    </row>
    <row r="63" spans="15:17" ht="20.100000000000001" customHeight="1">
      <c r="O63" s="387"/>
      <c r="P63" s="387"/>
      <c r="Q63" s="387"/>
    </row>
    <row r="64" spans="15:17" ht="20.100000000000001" customHeight="1">
      <c r="O64" s="387"/>
      <c r="P64" s="387"/>
      <c r="Q64" s="387"/>
    </row>
    <row r="65" spans="15:17" ht="20.100000000000001" customHeight="1">
      <c r="O65" s="387"/>
      <c r="P65" s="387"/>
      <c r="Q65" s="387"/>
    </row>
    <row r="66" spans="15:17" ht="20.100000000000001" customHeight="1">
      <c r="O66" s="387"/>
      <c r="P66" s="387"/>
      <c r="Q66" s="387"/>
    </row>
    <row r="67" spans="15:17" ht="20.100000000000001" customHeight="1">
      <c r="O67" s="387"/>
      <c r="P67" s="387"/>
      <c r="Q67" s="387"/>
    </row>
    <row r="68" spans="15:17" ht="20.100000000000001" customHeight="1">
      <c r="O68" s="387"/>
      <c r="P68" s="387"/>
      <c r="Q68" s="387"/>
    </row>
    <row r="69" spans="15:17" ht="20.100000000000001" customHeight="1">
      <c r="O69" s="387"/>
      <c r="P69" s="387"/>
      <c r="Q69" s="387"/>
    </row>
    <row r="70" spans="15:17" ht="20.100000000000001" customHeight="1">
      <c r="O70" s="387"/>
      <c r="P70" s="387"/>
      <c r="Q70" s="387"/>
    </row>
    <row r="71" spans="15:17" ht="20.100000000000001" customHeight="1">
      <c r="O71" s="387"/>
      <c r="P71" s="387"/>
      <c r="Q71" s="387"/>
    </row>
    <row r="72" spans="15:17" ht="20.100000000000001" customHeight="1">
      <c r="O72" s="387"/>
      <c r="P72" s="387"/>
      <c r="Q72" s="387"/>
    </row>
    <row r="73" spans="15:17" ht="20.100000000000001" customHeight="1">
      <c r="O73" s="387"/>
      <c r="P73" s="387"/>
      <c r="Q73" s="387"/>
    </row>
    <row r="74" spans="15:17" ht="20.100000000000001" customHeight="1">
      <c r="O74" s="387"/>
      <c r="P74" s="387"/>
      <c r="Q74" s="387"/>
    </row>
    <row r="75" spans="15:17" ht="20.100000000000001" customHeight="1">
      <c r="O75" s="387"/>
      <c r="P75" s="387"/>
      <c r="Q75" s="387"/>
    </row>
    <row r="76" spans="15:17" ht="20.100000000000001" customHeight="1">
      <c r="O76" s="387"/>
      <c r="P76" s="387"/>
      <c r="Q76" s="387"/>
    </row>
    <row r="77" spans="15:17" ht="20.100000000000001" customHeight="1">
      <c r="O77" s="387"/>
      <c r="P77" s="387"/>
      <c r="Q77" s="387"/>
    </row>
    <row r="78" spans="15:17" ht="20.100000000000001" customHeight="1">
      <c r="O78" s="387"/>
      <c r="P78" s="387"/>
      <c r="Q78" s="387"/>
    </row>
    <row r="79" spans="15:17" ht="20.100000000000001" customHeight="1">
      <c r="O79" s="387"/>
      <c r="P79" s="387"/>
      <c r="Q79" s="387"/>
    </row>
    <row r="80" spans="15:17" ht="20.100000000000001" customHeight="1">
      <c r="O80" s="387"/>
      <c r="P80" s="387"/>
      <c r="Q80" s="387"/>
    </row>
    <row r="81" spans="15:17" ht="20.100000000000001" customHeight="1">
      <c r="O81" s="387"/>
      <c r="P81" s="387"/>
      <c r="Q81" s="387"/>
    </row>
    <row r="82" spans="15:17" ht="20.100000000000001" customHeight="1">
      <c r="O82" s="387"/>
      <c r="P82" s="387"/>
      <c r="Q82" s="387"/>
    </row>
    <row r="83" spans="15:17" ht="20.100000000000001" customHeight="1">
      <c r="O83" s="387"/>
      <c r="P83" s="387"/>
      <c r="Q83" s="387"/>
    </row>
    <row r="84" spans="15:17" ht="20.100000000000001" customHeight="1">
      <c r="O84" s="387"/>
      <c r="P84" s="387"/>
      <c r="Q84" s="387"/>
    </row>
    <row r="85" spans="15:17" ht="20.100000000000001" customHeight="1">
      <c r="O85" s="387"/>
      <c r="P85" s="387"/>
      <c r="Q85" s="387"/>
    </row>
    <row r="86" spans="15:17" ht="20.100000000000001" customHeight="1">
      <c r="O86" s="387"/>
      <c r="P86" s="387"/>
      <c r="Q86" s="387"/>
    </row>
    <row r="87" spans="15:17" ht="20.100000000000001" customHeight="1">
      <c r="O87" s="387"/>
      <c r="P87" s="387"/>
      <c r="Q87" s="387"/>
    </row>
    <row r="88" spans="15:17" ht="20.100000000000001" customHeight="1">
      <c r="O88" s="387"/>
      <c r="P88" s="387"/>
      <c r="Q88" s="387"/>
    </row>
    <row r="89" spans="15:17" ht="20.100000000000001" customHeight="1">
      <c r="O89" s="387"/>
      <c r="P89" s="387"/>
      <c r="Q89" s="387"/>
    </row>
    <row r="90" spans="15:17" ht="20.100000000000001" customHeight="1">
      <c r="O90" s="387"/>
      <c r="P90" s="387"/>
      <c r="Q90" s="387"/>
    </row>
    <row r="91" spans="15:17" ht="20.100000000000001" customHeight="1">
      <c r="O91" s="387"/>
      <c r="P91" s="387"/>
      <c r="Q91" s="387"/>
    </row>
    <row r="92" spans="15:17" ht="20.100000000000001" customHeight="1">
      <c r="O92" s="387"/>
      <c r="P92" s="387"/>
      <c r="Q92" s="387"/>
    </row>
    <row r="93" spans="15:17" ht="20.100000000000001" customHeight="1">
      <c r="O93" s="387"/>
      <c r="P93" s="387"/>
      <c r="Q93" s="387"/>
    </row>
    <row r="94" spans="15:17" ht="20.100000000000001" customHeight="1">
      <c r="O94" s="387"/>
      <c r="P94" s="387"/>
      <c r="Q94" s="387"/>
    </row>
    <row r="95" spans="15:17" ht="20.100000000000001" customHeight="1">
      <c r="O95" s="387"/>
      <c r="P95" s="387"/>
      <c r="Q95" s="387"/>
    </row>
    <row r="96" spans="15:17" ht="20.100000000000001" customHeight="1">
      <c r="O96" s="387"/>
      <c r="P96" s="387"/>
      <c r="Q96" s="387"/>
    </row>
    <row r="97" spans="15:17" ht="20.100000000000001" customHeight="1">
      <c r="O97" s="387"/>
      <c r="P97" s="387"/>
      <c r="Q97" s="387"/>
    </row>
    <row r="98" spans="15:17" ht="20.100000000000001" customHeight="1">
      <c r="O98" s="387"/>
      <c r="P98" s="387"/>
      <c r="Q98" s="387"/>
    </row>
    <row r="99" spans="15:17" ht="20.100000000000001" customHeight="1">
      <c r="O99" s="387"/>
      <c r="P99" s="387"/>
      <c r="Q99" s="387"/>
    </row>
    <row r="100" spans="15:17" ht="20.100000000000001" customHeight="1">
      <c r="O100" s="387"/>
      <c r="P100" s="387"/>
      <c r="Q100" s="387"/>
    </row>
    <row r="101" spans="15:17" ht="20.100000000000001" customHeight="1">
      <c r="O101" s="387"/>
      <c r="P101" s="387"/>
      <c r="Q101" s="387"/>
    </row>
    <row r="102" spans="15:17" ht="20.100000000000001" customHeight="1">
      <c r="O102" s="387"/>
      <c r="P102" s="387"/>
      <c r="Q102" s="387"/>
    </row>
    <row r="103" spans="15:17" ht="20.100000000000001" customHeight="1">
      <c r="O103" s="387"/>
      <c r="P103" s="387"/>
      <c r="Q103" s="387"/>
    </row>
    <row r="104" spans="15:17" ht="20.100000000000001" customHeight="1">
      <c r="O104" s="387"/>
      <c r="P104" s="387"/>
      <c r="Q104" s="387"/>
    </row>
    <row r="105" spans="15:17" ht="20.100000000000001" customHeight="1">
      <c r="O105" s="387"/>
      <c r="P105" s="387"/>
      <c r="Q105" s="387"/>
    </row>
    <row r="106" spans="15:17" ht="20.100000000000001" customHeight="1">
      <c r="O106" s="387"/>
      <c r="P106" s="387"/>
      <c r="Q106" s="387"/>
    </row>
    <row r="107" spans="15:17" ht="20.100000000000001" customHeight="1">
      <c r="O107" s="387"/>
      <c r="P107" s="387"/>
      <c r="Q107" s="387"/>
    </row>
    <row r="108" spans="15:17" ht="20.100000000000001" customHeight="1">
      <c r="O108" s="387"/>
      <c r="P108" s="387"/>
      <c r="Q108" s="387"/>
    </row>
    <row r="109" spans="15:17" ht="20.100000000000001" customHeight="1">
      <c r="O109" s="387"/>
      <c r="P109" s="387"/>
      <c r="Q109" s="387"/>
    </row>
    <row r="110" spans="15:17" ht="20.100000000000001" customHeight="1">
      <c r="O110" s="387"/>
      <c r="P110" s="387"/>
      <c r="Q110" s="387"/>
    </row>
    <row r="111" spans="15:17" ht="20.100000000000001" customHeight="1">
      <c r="O111" s="387"/>
      <c r="P111" s="387"/>
      <c r="Q111" s="387"/>
    </row>
    <row r="112" spans="15:17" ht="20.100000000000001" customHeight="1">
      <c r="O112" s="387"/>
      <c r="P112" s="387"/>
      <c r="Q112" s="387"/>
    </row>
    <row r="113" spans="15:17" ht="20.100000000000001" customHeight="1">
      <c r="O113" s="387"/>
      <c r="P113" s="387"/>
      <c r="Q113" s="387"/>
    </row>
    <row r="114" spans="15:17" ht="20.100000000000001" customHeight="1">
      <c r="O114" s="387"/>
      <c r="P114" s="387"/>
      <c r="Q114" s="387"/>
    </row>
    <row r="115" spans="15:17" ht="20.100000000000001" customHeight="1">
      <c r="O115" s="387"/>
      <c r="P115" s="387"/>
      <c r="Q115" s="387"/>
    </row>
    <row r="116" spans="15:17" ht="20.100000000000001" customHeight="1">
      <c r="O116" s="387"/>
      <c r="P116" s="387"/>
      <c r="Q116" s="387"/>
    </row>
    <row r="117" spans="15:17" ht="20.100000000000001" customHeight="1">
      <c r="O117" s="387"/>
      <c r="P117" s="387"/>
      <c r="Q117" s="387"/>
    </row>
    <row r="118" spans="15:17" ht="20.100000000000001" customHeight="1">
      <c r="O118" s="387"/>
      <c r="P118" s="387"/>
      <c r="Q118" s="387"/>
    </row>
    <row r="119" spans="15:17" ht="20.100000000000001" customHeight="1">
      <c r="O119" s="387"/>
      <c r="P119" s="387"/>
      <c r="Q119" s="387"/>
    </row>
    <row r="120" spans="15:17" ht="20.100000000000001" customHeight="1">
      <c r="O120" s="387"/>
      <c r="P120" s="387"/>
      <c r="Q120" s="387"/>
    </row>
    <row r="121" spans="15:17" ht="20.100000000000001" customHeight="1">
      <c r="O121" s="387"/>
      <c r="P121" s="387"/>
      <c r="Q121" s="387"/>
    </row>
    <row r="122" spans="15:17" ht="20.100000000000001" customHeight="1">
      <c r="O122" s="387"/>
      <c r="P122" s="387"/>
      <c r="Q122" s="387"/>
    </row>
    <row r="123" spans="15:17" ht="20.100000000000001" customHeight="1">
      <c r="O123" s="387"/>
      <c r="P123" s="387"/>
      <c r="Q123" s="387"/>
    </row>
    <row r="124" spans="15:17" ht="20.100000000000001" customHeight="1">
      <c r="O124" s="387"/>
      <c r="P124" s="387"/>
      <c r="Q124" s="387"/>
    </row>
    <row r="125" spans="15:17" ht="20.100000000000001" customHeight="1">
      <c r="O125" s="387"/>
      <c r="P125" s="387"/>
      <c r="Q125" s="387"/>
    </row>
    <row r="126" spans="15:17" ht="20.100000000000001" customHeight="1">
      <c r="O126" s="387"/>
      <c r="P126" s="387"/>
      <c r="Q126" s="387"/>
    </row>
    <row r="127" spans="15:17" ht="20.100000000000001" customHeight="1">
      <c r="O127" s="387"/>
      <c r="P127" s="387"/>
      <c r="Q127" s="387"/>
    </row>
    <row r="128" spans="15:17" ht="20.100000000000001" customHeight="1">
      <c r="O128" s="387"/>
      <c r="P128" s="387"/>
      <c r="Q128" s="387"/>
    </row>
    <row r="129" spans="15:17" ht="20.100000000000001" customHeight="1">
      <c r="O129" s="387"/>
      <c r="P129" s="387"/>
      <c r="Q129" s="387"/>
    </row>
    <row r="130" spans="15:17" ht="20.100000000000001" customHeight="1">
      <c r="O130" s="387"/>
      <c r="P130" s="387"/>
      <c r="Q130" s="387"/>
    </row>
    <row r="131" spans="15:17" ht="20.100000000000001" customHeight="1">
      <c r="O131" s="387"/>
      <c r="P131" s="387"/>
      <c r="Q131" s="387"/>
    </row>
    <row r="132" spans="15:17" ht="20.100000000000001" customHeight="1">
      <c r="O132" s="387"/>
      <c r="P132" s="387"/>
      <c r="Q132" s="387"/>
    </row>
    <row r="133" spans="15:17" ht="20.100000000000001" customHeight="1">
      <c r="O133" s="387"/>
      <c r="P133" s="387"/>
      <c r="Q133" s="387"/>
    </row>
    <row r="134" spans="15:17" ht="20.100000000000001" customHeight="1">
      <c r="O134" s="387"/>
      <c r="P134" s="387"/>
      <c r="Q134" s="387"/>
    </row>
    <row r="135" spans="15:17" ht="20.100000000000001" customHeight="1">
      <c r="O135" s="387"/>
      <c r="P135" s="387"/>
      <c r="Q135" s="387"/>
    </row>
    <row r="136" spans="15:17" ht="20.100000000000001" customHeight="1">
      <c r="O136" s="387"/>
      <c r="P136" s="387"/>
      <c r="Q136" s="387"/>
    </row>
    <row r="137" spans="15:17" ht="20.100000000000001" customHeight="1">
      <c r="O137" s="387"/>
      <c r="P137" s="387"/>
      <c r="Q137" s="387"/>
    </row>
    <row r="138" spans="15:17" ht="20.100000000000001" customHeight="1">
      <c r="O138" s="387"/>
      <c r="P138" s="387"/>
      <c r="Q138" s="387"/>
    </row>
    <row r="139" spans="15:17" ht="20.100000000000001" customHeight="1">
      <c r="O139" s="387"/>
      <c r="P139" s="387"/>
      <c r="Q139" s="387"/>
    </row>
    <row r="140" spans="15:17" ht="20.100000000000001" customHeight="1">
      <c r="O140" s="387"/>
      <c r="P140" s="387"/>
      <c r="Q140" s="387"/>
    </row>
    <row r="141" spans="15:17" ht="20.100000000000001" customHeight="1">
      <c r="O141" s="387"/>
      <c r="P141" s="387"/>
      <c r="Q141" s="387"/>
    </row>
    <row r="142" spans="15:17" ht="20.100000000000001" customHeight="1">
      <c r="O142" s="387"/>
      <c r="P142" s="387"/>
      <c r="Q142" s="387"/>
    </row>
    <row r="143" spans="15:17" ht="20.100000000000001" customHeight="1">
      <c r="O143" s="387"/>
      <c r="P143" s="387"/>
      <c r="Q143" s="387"/>
    </row>
    <row r="144" spans="15:17" ht="20.100000000000001" customHeight="1">
      <c r="O144" s="387"/>
      <c r="P144" s="387"/>
      <c r="Q144" s="387"/>
    </row>
    <row r="145" spans="15:17" ht="20.100000000000001" customHeight="1">
      <c r="O145" s="387"/>
      <c r="P145" s="387"/>
      <c r="Q145" s="387"/>
    </row>
    <row r="146" spans="15:17" ht="20.100000000000001" customHeight="1">
      <c r="O146" s="387"/>
      <c r="P146" s="387"/>
      <c r="Q146" s="387"/>
    </row>
    <row r="147" spans="15:17" ht="20.100000000000001" customHeight="1">
      <c r="O147" s="387"/>
      <c r="P147" s="387"/>
      <c r="Q147" s="387"/>
    </row>
    <row r="148" spans="15:17" ht="20.100000000000001" customHeight="1">
      <c r="O148" s="387"/>
      <c r="P148" s="387"/>
      <c r="Q148" s="387"/>
    </row>
    <row r="149" spans="15:17" ht="20.100000000000001" customHeight="1">
      <c r="O149" s="387"/>
      <c r="P149" s="387"/>
      <c r="Q149" s="387"/>
    </row>
    <row r="150" spans="15:17" ht="20.100000000000001" customHeight="1">
      <c r="O150" s="387"/>
      <c r="P150" s="387"/>
      <c r="Q150" s="387"/>
    </row>
    <row r="151" spans="15:17" ht="20.100000000000001" customHeight="1">
      <c r="O151" s="387"/>
      <c r="P151" s="387"/>
      <c r="Q151" s="387"/>
    </row>
    <row r="152" spans="15:17" ht="20.100000000000001" customHeight="1">
      <c r="O152" s="387"/>
      <c r="P152" s="387"/>
      <c r="Q152" s="387"/>
    </row>
    <row r="153" spans="15:17" ht="20.100000000000001" customHeight="1">
      <c r="O153" s="387"/>
      <c r="P153" s="387"/>
      <c r="Q153" s="387"/>
    </row>
    <row r="154" spans="15:17" ht="20.100000000000001" customHeight="1">
      <c r="O154" s="387"/>
      <c r="P154" s="387"/>
      <c r="Q154" s="387"/>
    </row>
    <row r="155" spans="15:17" ht="20.100000000000001" customHeight="1">
      <c r="O155" s="387"/>
      <c r="P155" s="387"/>
      <c r="Q155" s="387"/>
    </row>
    <row r="156" spans="15:17" ht="20.100000000000001" customHeight="1">
      <c r="O156" s="387"/>
      <c r="P156" s="387"/>
      <c r="Q156" s="387"/>
    </row>
    <row r="157" spans="15:17" ht="20.100000000000001" customHeight="1">
      <c r="O157" s="387"/>
      <c r="P157" s="387"/>
      <c r="Q157" s="387"/>
    </row>
    <row r="158" spans="15:17" ht="20.100000000000001" customHeight="1">
      <c r="O158" s="387"/>
      <c r="P158" s="387"/>
      <c r="Q158" s="387"/>
    </row>
    <row r="159" spans="15:17" ht="20.100000000000001" customHeight="1">
      <c r="O159" s="387"/>
      <c r="P159" s="387"/>
      <c r="Q159" s="387"/>
    </row>
    <row r="160" spans="15:17" ht="20.100000000000001" customHeight="1">
      <c r="O160" s="387"/>
      <c r="P160" s="387"/>
      <c r="Q160" s="387"/>
    </row>
    <row r="161" spans="15:17" ht="20.100000000000001" customHeight="1">
      <c r="O161" s="387"/>
      <c r="P161" s="387"/>
      <c r="Q161" s="387"/>
    </row>
    <row r="162" spans="15:17" ht="20.100000000000001" customHeight="1">
      <c r="O162" s="387"/>
      <c r="P162" s="387"/>
      <c r="Q162" s="387"/>
    </row>
    <row r="163" spans="15:17" ht="20.100000000000001" customHeight="1">
      <c r="O163" s="387"/>
      <c r="P163" s="387"/>
      <c r="Q163" s="387"/>
    </row>
    <row r="164" spans="15:17" ht="20.100000000000001" customHeight="1">
      <c r="O164" s="387"/>
      <c r="P164" s="387"/>
      <c r="Q164" s="387"/>
    </row>
    <row r="165" spans="15:17" ht="20.100000000000001" customHeight="1">
      <c r="O165" s="387"/>
      <c r="P165" s="387"/>
      <c r="Q165" s="387"/>
    </row>
    <row r="166" spans="15:17" ht="20.100000000000001" customHeight="1">
      <c r="O166" s="387"/>
      <c r="P166" s="387"/>
      <c r="Q166" s="387"/>
    </row>
    <row r="167" spans="15:17" ht="20.100000000000001" customHeight="1">
      <c r="O167" s="387"/>
      <c r="P167" s="387"/>
      <c r="Q167" s="387"/>
    </row>
    <row r="168" spans="15:17" ht="20.100000000000001" customHeight="1">
      <c r="O168" s="387"/>
      <c r="P168" s="387"/>
      <c r="Q168" s="387"/>
    </row>
    <row r="169" spans="15:17" ht="20.100000000000001" customHeight="1">
      <c r="O169" s="387"/>
      <c r="P169" s="387"/>
      <c r="Q169" s="387"/>
    </row>
    <row r="170" spans="15:17" ht="20.100000000000001" customHeight="1">
      <c r="O170" s="387"/>
      <c r="P170" s="387"/>
      <c r="Q170" s="387"/>
    </row>
    <row r="171" spans="15:17" ht="20.100000000000001" customHeight="1">
      <c r="O171" s="387"/>
      <c r="P171" s="387"/>
      <c r="Q171" s="387"/>
    </row>
    <row r="172" spans="15:17" ht="20.100000000000001" customHeight="1">
      <c r="O172" s="387"/>
      <c r="P172" s="387"/>
      <c r="Q172" s="387"/>
    </row>
    <row r="173" spans="15:17" ht="20.100000000000001" customHeight="1">
      <c r="O173" s="387"/>
      <c r="P173" s="387"/>
      <c r="Q173" s="387"/>
    </row>
    <row r="174" spans="15:17" ht="20.100000000000001" customHeight="1">
      <c r="O174" s="387"/>
      <c r="P174" s="387"/>
      <c r="Q174" s="387"/>
    </row>
    <row r="175" spans="15:17" ht="20.100000000000001" customHeight="1">
      <c r="O175" s="387"/>
      <c r="P175" s="387"/>
      <c r="Q175" s="387"/>
    </row>
    <row r="176" spans="15:17" ht="20.100000000000001" customHeight="1">
      <c r="O176" s="387"/>
      <c r="P176" s="387"/>
      <c r="Q176" s="387"/>
    </row>
    <row r="177" spans="15:17" ht="20.100000000000001" customHeight="1">
      <c r="O177" s="387"/>
      <c r="P177" s="387"/>
      <c r="Q177" s="387"/>
    </row>
    <row r="178" spans="15:17" ht="20.100000000000001" customHeight="1">
      <c r="O178" s="387"/>
      <c r="P178" s="387"/>
      <c r="Q178" s="387"/>
    </row>
    <row r="179" spans="15:17" ht="20.100000000000001" customHeight="1">
      <c r="O179" s="387"/>
      <c r="P179" s="387"/>
      <c r="Q179" s="387"/>
    </row>
    <row r="180" spans="15:17" ht="20.100000000000001" customHeight="1">
      <c r="O180" s="387"/>
      <c r="P180" s="387"/>
      <c r="Q180" s="387"/>
    </row>
    <row r="181" spans="15:17" ht="20.100000000000001" customHeight="1">
      <c r="O181" s="387"/>
      <c r="P181" s="387"/>
      <c r="Q181" s="387"/>
    </row>
    <row r="182" spans="15:17" ht="20.100000000000001" customHeight="1">
      <c r="O182" s="387"/>
      <c r="P182" s="387"/>
      <c r="Q182" s="387"/>
    </row>
    <row r="183" spans="15:17" ht="20.100000000000001" customHeight="1">
      <c r="O183" s="387"/>
      <c r="P183" s="387"/>
      <c r="Q183" s="387"/>
    </row>
    <row r="184" spans="15:17" ht="20.100000000000001" customHeight="1">
      <c r="O184" s="387"/>
      <c r="P184" s="387"/>
      <c r="Q184" s="387"/>
    </row>
    <row r="185" spans="15:17" ht="20.100000000000001" customHeight="1">
      <c r="O185" s="387"/>
      <c r="P185" s="387"/>
      <c r="Q185" s="387"/>
    </row>
    <row r="186" spans="15:17" ht="20.100000000000001" customHeight="1">
      <c r="O186" s="387"/>
      <c r="P186" s="387"/>
      <c r="Q186" s="387"/>
    </row>
    <row r="187" spans="15:17" ht="20.100000000000001" customHeight="1">
      <c r="O187" s="387"/>
      <c r="P187" s="387"/>
      <c r="Q187" s="387"/>
    </row>
    <row r="188" spans="15:17" ht="20.100000000000001" customHeight="1">
      <c r="O188" s="387"/>
      <c r="P188" s="387"/>
      <c r="Q188" s="387"/>
    </row>
    <row r="189" spans="15:17" ht="20.100000000000001" customHeight="1">
      <c r="O189" s="387"/>
      <c r="P189" s="387"/>
      <c r="Q189" s="387"/>
    </row>
    <row r="190" spans="15:17" ht="20.100000000000001" customHeight="1">
      <c r="O190" s="387"/>
      <c r="P190" s="387"/>
      <c r="Q190" s="387"/>
    </row>
    <row r="191" spans="15:17" ht="20.100000000000001" customHeight="1">
      <c r="O191" s="387"/>
      <c r="P191" s="387"/>
      <c r="Q191" s="387"/>
    </row>
    <row r="192" spans="15:17" ht="20.100000000000001" customHeight="1">
      <c r="O192" s="387"/>
      <c r="P192" s="387"/>
      <c r="Q192" s="387"/>
    </row>
    <row r="193" spans="15:17" ht="20.100000000000001" customHeight="1">
      <c r="O193" s="387"/>
      <c r="P193" s="387"/>
      <c r="Q193" s="387"/>
    </row>
    <row r="194" spans="15:17" ht="20.100000000000001" customHeight="1">
      <c r="O194" s="387"/>
      <c r="P194" s="387"/>
      <c r="Q194" s="387"/>
    </row>
    <row r="195" spans="15:17" ht="20.100000000000001" customHeight="1">
      <c r="O195" s="387"/>
      <c r="P195" s="387"/>
      <c r="Q195" s="387"/>
    </row>
    <row r="196" spans="15:17" ht="20.100000000000001" customHeight="1">
      <c r="O196" s="387"/>
      <c r="P196" s="387"/>
      <c r="Q196" s="387"/>
    </row>
    <row r="197" spans="15:17" ht="20.100000000000001" customHeight="1">
      <c r="O197" s="387"/>
      <c r="P197" s="387"/>
      <c r="Q197" s="387"/>
    </row>
    <row r="198" spans="15:17" ht="20.100000000000001" customHeight="1">
      <c r="O198" s="387"/>
      <c r="P198" s="387"/>
      <c r="Q198" s="387"/>
    </row>
    <row r="199" spans="15:17" ht="20.100000000000001" customHeight="1">
      <c r="O199" s="387"/>
      <c r="P199" s="387"/>
      <c r="Q199" s="387"/>
    </row>
    <row r="200" spans="15:17" ht="20.100000000000001" customHeight="1">
      <c r="O200" s="387"/>
      <c r="P200" s="387"/>
      <c r="Q200" s="387"/>
    </row>
    <row r="201" spans="15:17" ht="20.100000000000001" customHeight="1">
      <c r="O201" s="387"/>
      <c r="P201" s="387"/>
      <c r="Q201" s="387"/>
    </row>
    <row r="202" spans="15:17" ht="20.100000000000001" customHeight="1">
      <c r="O202" s="387"/>
      <c r="P202" s="387"/>
      <c r="Q202" s="387"/>
    </row>
    <row r="203" spans="15:17" ht="20.100000000000001" customHeight="1">
      <c r="O203" s="387"/>
      <c r="P203" s="387"/>
      <c r="Q203" s="387"/>
    </row>
    <row r="204" spans="15:17" ht="20.100000000000001" customHeight="1">
      <c r="O204" s="387"/>
      <c r="P204" s="387"/>
      <c r="Q204" s="387"/>
    </row>
    <row r="205" spans="15:17" ht="20.100000000000001" customHeight="1">
      <c r="O205" s="387"/>
      <c r="P205" s="387"/>
      <c r="Q205" s="387"/>
    </row>
    <row r="206" spans="15:17" ht="20.100000000000001" customHeight="1">
      <c r="O206" s="387"/>
      <c r="P206" s="387"/>
      <c r="Q206" s="387"/>
    </row>
    <row r="207" spans="15:17" ht="20.100000000000001" customHeight="1">
      <c r="O207" s="387"/>
      <c r="P207" s="387"/>
      <c r="Q207" s="387"/>
    </row>
    <row r="208" spans="15:17" ht="20.100000000000001" customHeight="1">
      <c r="O208" s="387"/>
      <c r="P208" s="387"/>
      <c r="Q208" s="387"/>
    </row>
    <row r="209" spans="15:17" ht="20.100000000000001" customHeight="1">
      <c r="O209" s="387"/>
      <c r="P209" s="387"/>
      <c r="Q209" s="387"/>
    </row>
    <row r="210" spans="15:17" ht="20.100000000000001" customHeight="1">
      <c r="O210" s="387"/>
      <c r="P210" s="387"/>
      <c r="Q210" s="387"/>
    </row>
    <row r="211" spans="15:17" ht="20.100000000000001" customHeight="1">
      <c r="O211" s="387"/>
      <c r="P211" s="387"/>
      <c r="Q211" s="387"/>
    </row>
    <row r="212" spans="15:17" ht="20.100000000000001" customHeight="1">
      <c r="O212" s="387"/>
      <c r="P212" s="387"/>
      <c r="Q212" s="387"/>
    </row>
    <row r="213" spans="15:17" ht="20.100000000000001" customHeight="1">
      <c r="O213" s="387"/>
      <c r="P213" s="387"/>
      <c r="Q213" s="387"/>
    </row>
    <row r="214" spans="15:17" ht="20.100000000000001" customHeight="1">
      <c r="O214" s="387"/>
      <c r="P214" s="387"/>
      <c r="Q214" s="387"/>
    </row>
    <row r="215" spans="15:17" ht="20.100000000000001" customHeight="1">
      <c r="O215" s="387"/>
      <c r="P215" s="387"/>
      <c r="Q215" s="387"/>
    </row>
    <row r="216" spans="15:17" ht="20.100000000000001" customHeight="1">
      <c r="O216" s="387"/>
      <c r="P216" s="387"/>
      <c r="Q216" s="387"/>
    </row>
    <row r="217" spans="15:17" ht="20.100000000000001" customHeight="1">
      <c r="O217" s="387"/>
      <c r="P217" s="387"/>
      <c r="Q217" s="387"/>
    </row>
    <row r="218" spans="15:17" ht="20.100000000000001" customHeight="1">
      <c r="O218" s="387"/>
      <c r="P218" s="387"/>
      <c r="Q218" s="387"/>
    </row>
    <row r="219" spans="15:17" ht="20.100000000000001" customHeight="1">
      <c r="O219" s="387"/>
      <c r="P219" s="387"/>
      <c r="Q219" s="387"/>
    </row>
    <row r="220" spans="15:17" ht="20.100000000000001" customHeight="1">
      <c r="O220" s="387"/>
      <c r="P220" s="387"/>
      <c r="Q220" s="387"/>
    </row>
    <row r="221" spans="15:17" ht="20.100000000000001" customHeight="1">
      <c r="O221" s="387"/>
      <c r="P221" s="387"/>
      <c r="Q221" s="387"/>
    </row>
    <row r="222" spans="15:17" ht="20.100000000000001" customHeight="1">
      <c r="O222" s="387"/>
      <c r="P222" s="387"/>
      <c r="Q222" s="387"/>
    </row>
    <row r="223" spans="15:17" ht="20.100000000000001" customHeight="1">
      <c r="O223" s="387"/>
      <c r="P223" s="387"/>
      <c r="Q223" s="387"/>
    </row>
    <row r="224" spans="15:17" ht="20.100000000000001" customHeight="1">
      <c r="O224" s="387"/>
      <c r="P224" s="387"/>
      <c r="Q224" s="387"/>
    </row>
    <row r="225" spans="15:17" ht="20.100000000000001" customHeight="1">
      <c r="O225" s="387"/>
      <c r="P225" s="387"/>
      <c r="Q225" s="387"/>
    </row>
    <row r="226" spans="15:17" ht="20.100000000000001" customHeight="1">
      <c r="O226" s="387"/>
      <c r="P226" s="387"/>
      <c r="Q226" s="387"/>
    </row>
    <row r="227" spans="15:17" ht="20.100000000000001" customHeight="1">
      <c r="O227" s="387"/>
      <c r="P227" s="387"/>
      <c r="Q227" s="387"/>
    </row>
    <row r="228" spans="15:17" ht="20.100000000000001" customHeight="1">
      <c r="O228" s="387"/>
      <c r="P228" s="387"/>
      <c r="Q228" s="387"/>
    </row>
    <row r="229" spans="15:17" ht="20.100000000000001" customHeight="1">
      <c r="O229" s="387"/>
      <c r="P229" s="387"/>
      <c r="Q229" s="387"/>
    </row>
    <row r="230" spans="15:17" ht="20.100000000000001" customHeight="1">
      <c r="O230" s="387"/>
      <c r="P230" s="387"/>
      <c r="Q230" s="387"/>
    </row>
    <row r="231" spans="15:17" ht="20.100000000000001" customHeight="1">
      <c r="O231" s="387"/>
      <c r="P231" s="387"/>
      <c r="Q231" s="387"/>
    </row>
    <row r="232" spans="15:17" ht="20.100000000000001" customHeight="1">
      <c r="O232" s="387"/>
      <c r="P232" s="387"/>
      <c r="Q232" s="387"/>
    </row>
    <row r="233" spans="15:17" ht="20.100000000000001" customHeight="1">
      <c r="O233" s="387"/>
      <c r="P233" s="387"/>
      <c r="Q233" s="387"/>
    </row>
    <row r="234" spans="15:17" ht="20.100000000000001" customHeight="1">
      <c r="O234" s="387"/>
      <c r="P234" s="387"/>
      <c r="Q234" s="387"/>
    </row>
    <row r="235" spans="15:17" ht="20.100000000000001" customHeight="1">
      <c r="O235" s="387"/>
      <c r="P235" s="387"/>
      <c r="Q235" s="387"/>
    </row>
    <row r="236" spans="15:17" ht="20.100000000000001" customHeight="1">
      <c r="O236" s="387"/>
      <c r="P236" s="387"/>
      <c r="Q236" s="387"/>
    </row>
    <row r="237" spans="15:17" ht="20.100000000000001" customHeight="1">
      <c r="O237" s="387"/>
      <c r="P237" s="387"/>
      <c r="Q237" s="387"/>
    </row>
    <row r="238" spans="15:17" ht="20.100000000000001" customHeight="1">
      <c r="O238" s="387"/>
      <c r="P238" s="387"/>
      <c r="Q238" s="387"/>
    </row>
    <row r="239" spans="15:17" ht="20.100000000000001" customHeight="1">
      <c r="O239" s="387"/>
      <c r="P239" s="387"/>
      <c r="Q239" s="387"/>
    </row>
    <row r="240" spans="15:17" ht="20.100000000000001" customHeight="1">
      <c r="O240" s="387"/>
      <c r="P240" s="387"/>
      <c r="Q240" s="387"/>
    </row>
    <row r="241" spans="15:17" ht="20.100000000000001" customHeight="1">
      <c r="O241" s="387"/>
      <c r="P241" s="387"/>
      <c r="Q241" s="387"/>
    </row>
    <row r="242" spans="15:17" ht="20.100000000000001" customHeight="1">
      <c r="O242" s="387"/>
      <c r="P242" s="387"/>
      <c r="Q242" s="387"/>
    </row>
    <row r="243" spans="15:17" ht="20.100000000000001" customHeight="1">
      <c r="O243" s="387"/>
      <c r="P243" s="387"/>
      <c r="Q243" s="387"/>
    </row>
    <row r="244" spans="15:17" ht="20.100000000000001" customHeight="1">
      <c r="O244" s="387"/>
      <c r="P244" s="387"/>
      <c r="Q244" s="387"/>
    </row>
    <row r="245" spans="15:17" ht="20.100000000000001" customHeight="1">
      <c r="O245" s="387"/>
      <c r="P245" s="387"/>
      <c r="Q245" s="387"/>
    </row>
    <row r="246" spans="15:17" ht="20.100000000000001" customHeight="1">
      <c r="O246" s="387"/>
      <c r="P246" s="387"/>
      <c r="Q246" s="387"/>
    </row>
    <row r="247" spans="15:17" ht="20.100000000000001" customHeight="1">
      <c r="O247" s="387"/>
      <c r="P247" s="387"/>
      <c r="Q247" s="387"/>
    </row>
    <row r="248" spans="15:17" ht="20.100000000000001" customHeight="1">
      <c r="O248" s="387"/>
      <c r="P248" s="387"/>
      <c r="Q248" s="387"/>
    </row>
    <row r="249" spans="15:17" ht="20.100000000000001" customHeight="1">
      <c r="O249" s="387"/>
      <c r="P249" s="387"/>
      <c r="Q249" s="387"/>
    </row>
    <row r="250" spans="15:17" ht="20.100000000000001" customHeight="1">
      <c r="O250" s="387"/>
      <c r="P250" s="387"/>
      <c r="Q250" s="387"/>
    </row>
    <row r="251" spans="15:17" ht="20.100000000000001" customHeight="1">
      <c r="O251" s="387"/>
      <c r="P251" s="387"/>
      <c r="Q251" s="387"/>
    </row>
    <row r="252" spans="15:17" ht="20.100000000000001" customHeight="1">
      <c r="O252" s="387"/>
      <c r="P252" s="387"/>
      <c r="Q252" s="387"/>
    </row>
    <row r="253" spans="15:17" ht="20.100000000000001" customHeight="1">
      <c r="O253" s="387"/>
      <c r="P253" s="387"/>
      <c r="Q253" s="387"/>
    </row>
    <row r="254" spans="15:17" ht="20.100000000000001" customHeight="1">
      <c r="O254" s="387"/>
      <c r="P254" s="387"/>
      <c r="Q254" s="387"/>
    </row>
    <row r="255" spans="15:17" ht="20.100000000000001" customHeight="1">
      <c r="O255" s="387"/>
      <c r="P255" s="387"/>
      <c r="Q255" s="387"/>
    </row>
    <row r="256" spans="15:17" ht="20.100000000000001" customHeight="1">
      <c r="O256" s="387"/>
      <c r="P256" s="387"/>
      <c r="Q256" s="387"/>
    </row>
    <row r="257" spans="15:17" ht="20.100000000000001" customHeight="1">
      <c r="O257" s="387"/>
      <c r="P257" s="387"/>
      <c r="Q257" s="387"/>
    </row>
    <row r="258" spans="15:17" ht="20.100000000000001" customHeight="1">
      <c r="O258" s="387"/>
      <c r="P258" s="387"/>
      <c r="Q258" s="387"/>
    </row>
    <row r="259" spans="15:17" ht="20.100000000000001" customHeight="1">
      <c r="O259" s="387"/>
      <c r="P259" s="387"/>
      <c r="Q259" s="387"/>
    </row>
    <row r="260" spans="15:17" ht="20.100000000000001" customHeight="1">
      <c r="O260" s="387"/>
      <c r="P260" s="387"/>
      <c r="Q260" s="387"/>
    </row>
    <row r="261" spans="15:17" ht="20.100000000000001" customHeight="1">
      <c r="O261" s="387"/>
      <c r="P261" s="387"/>
      <c r="Q261" s="387"/>
    </row>
    <row r="262" spans="15:17" ht="20.100000000000001" customHeight="1">
      <c r="O262" s="387"/>
      <c r="P262" s="387"/>
      <c r="Q262" s="387"/>
    </row>
    <row r="263" spans="15:17" ht="20.100000000000001" customHeight="1">
      <c r="O263" s="387"/>
      <c r="P263" s="387"/>
      <c r="Q263" s="387"/>
    </row>
    <row r="264" spans="15:17" ht="20.100000000000001" customHeight="1">
      <c r="O264" s="387"/>
      <c r="P264" s="387"/>
      <c r="Q264" s="387"/>
    </row>
    <row r="265" spans="15:17" ht="20.100000000000001" customHeight="1">
      <c r="O265" s="387"/>
      <c r="P265" s="387"/>
      <c r="Q265" s="387"/>
    </row>
    <row r="266" spans="15:17" ht="20.100000000000001" customHeight="1">
      <c r="O266" s="387"/>
      <c r="P266" s="387"/>
      <c r="Q266" s="387"/>
    </row>
    <row r="267" spans="15:17" ht="20.100000000000001" customHeight="1">
      <c r="O267" s="387"/>
      <c r="P267" s="387"/>
      <c r="Q267" s="387"/>
    </row>
    <row r="268" spans="15:17" ht="20.100000000000001" customHeight="1">
      <c r="O268" s="387"/>
      <c r="P268" s="387"/>
      <c r="Q268" s="387"/>
    </row>
    <row r="269" spans="15:17" ht="20.100000000000001" customHeight="1">
      <c r="O269" s="387"/>
      <c r="P269" s="387"/>
      <c r="Q269" s="387"/>
    </row>
    <row r="270" spans="15:17" ht="20.100000000000001" customHeight="1">
      <c r="O270" s="387"/>
      <c r="P270" s="387"/>
      <c r="Q270" s="387"/>
    </row>
    <row r="271" spans="15:17" ht="20.100000000000001" customHeight="1">
      <c r="O271" s="387"/>
      <c r="P271" s="387"/>
      <c r="Q271" s="387"/>
    </row>
    <row r="272" spans="15:17" ht="20.100000000000001" customHeight="1">
      <c r="O272" s="387"/>
      <c r="P272" s="387"/>
      <c r="Q272" s="387"/>
    </row>
    <row r="273" spans="15:17" ht="20.100000000000001" customHeight="1">
      <c r="O273" s="387"/>
      <c r="P273" s="387"/>
      <c r="Q273" s="387"/>
    </row>
    <row r="274" spans="15:17" ht="20.100000000000001" customHeight="1">
      <c r="O274" s="387"/>
      <c r="P274" s="387"/>
      <c r="Q274" s="387"/>
    </row>
    <row r="275" spans="15:17" ht="20.100000000000001" customHeight="1">
      <c r="O275" s="387"/>
      <c r="P275" s="387"/>
      <c r="Q275" s="387"/>
    </row>
    <row r="276" spans="15:17" ht="20.100000000000001" customHeight="1">
      <c r="O276" s="387"/>
      <c r="P276" s="387"/>
      <c r="Q276" s="387"/>
    </row>
    <row r="277" spans="15:17" ht="20.100000000000001" customHeight="1">
      <c r="O277" s="387"/>
      <c r="P277" s="387"/>
      <c r="Q277" s="387"/>
    </row>
    <row r="278" spans="15:17" ht="20.100000000000001" customHeight="1">
      <c r="O278" s="387"/>
      <c r="P278" s="387"/>
      <c r="Q278" s="387"/>
    </row>
    <row r="279" spans="15:17" ht="20.100000000000001" customHeight="1">
      <c r="O279" s="387"/>
      <c r="P279" s="387"/>
      <c r="Q279" s="387"/>
    </row>
    <row r="280" spans="15:17" ht="20.100000000000001" customHeight="1">
      <c r="O280" s="387"/>
      <c r="P280" s="387"/>
      <c r="Q280" s="387"/>
    </row>
    <row r="281" spans="15:17" ht="20.100000000000001" customHeight="1">
      <c r="O281" s="387"/>
      <c r="P281" s="387"/>
      <c r="Q281" s="387"/>
    </row>
    <row r="282" spans="15:17" ht="20.100000000000001" customHeight="1">
      <c r="O282" s="387"/>
      <c r="P282" s="387"/>
      <c r="Q282" s="387"/>
    </row>
    <row r="283" spans="15:17" ht="20.100000000000001" customHeight="1">
      <c r="O283" s="387"/>
      <c r="P283" s="387"/>
      <c r="Q283" s="387"/>
    </row>
    <row r="284" spans="15:17" ht="20.100000000000001" customHeight="1">
      <c r="O284" s="387"/>
      <c r="P284" s="387"/>
      <c r="Q284" s="387"/>
    </row>
    <row r="285" spans="15:17" ht="20.100000000000001" customHeight="1">
      <c r="O285" s="387"/>
      <c r="P285" s="387"/>
      <c r="Q285" s="387"/>
    </row>
    <row r="286" spans="15:17" ht="20.100000000000001" customHeight="1">
      <c r="O286" s="387"/>
      <c r="P286" s="387"/>
      <c r="Q286" s="387"/>
    </row>
    <row r="287" spans="15:17" ht="20.100000000000001" customHeight="1">
      <c r="O287" s="387"/>
      <c r="P287" s="387"/>
      <c r="Q287" s="387"/>
    </row>
    <row r="288" spans="15:17" ht="20.100000000000001" customHeight="1">
      <c r="O288" s="387"/>
      <c r="P288" s="387"/>
      <c r="Q288" s="387"/>
    </row>
    <row r="289" spans="15:17" ht="20.100000000000001" customHeight="1">
      <c r="O289" s="387"/>
      <c r="P289" s="387"/>
      <c r="Q289" s="387"/>
    </row>
    <row r="290" spans="15:17" ht="20.100000000000001" customHeight="1">
      <c r="O290" s="387"/>
      <c r="P290" s="387"/>
      <c r="Q290" s="387"/>
    </row>
    <row r="291" spans="15:17" ht="20.100000000000001" customHeight="1">
      <c r="O291" s="387"/>
      <c r="P291" s="387"/>
      <c r="Q291" s="387"/>
    </row>
    <row r="292" spans="15:17" ht="20.100000000000001" customHeight="1">
      <c r="O292" s="387"/>
      <c r="P292" s="387"/>
      <c r="Q292" s="387"/>
    </row>
    <row r="293" spans="15:17" ht="20.100000000000001" customHeight="1">
      <c r="O293" s="387"/>
      <c r="P293" s="387"/>
      <c r="Q293" s="387"/>
    </row>
    <row r="294" spans="15:17" ht="20.100000000000001" customHeight="1">
      <c r="O294" s="387"/>
      <c r="P294" s="387"/>
      <c r="Q294" s="387"/>
    </row>
    <row r="295" spans="15:17" ht="20.100000000000001" customHeight="1">
      <c r="O295" s="387"/>
      <c r="P295" s="387"/>
      <c r="Q295" s="387"/>
    </row>
    <row r="296" spans="15:17" ht="20.100000000000001" customHeight="1">
      <c r="O296" s="387"/>
      <c r="P296" s="387"/>
      <c r="Q296" s="387"/>
    </row>
    <row r="297" spans="15:17" ht="20.100000000000001" customHeight="1">
      <c r="O297" s="387"/>
      <c r="P297" s="387"/>
      <c r="Q297" s="387"/>
    </row>
    <row r="298" spans="15:17" ht="20.100000000000001" customHeight="1">
      <c r="O298" s="387"/>
      <c r="P298" s="387"/>
      <c r="Q298" s="387"/>
    </row>
    <row r="299" spans="15:17" ht="20.100000000000001" customHeight="1">
      <c r="O299" s="387"/>
      <c r="P299" s="387"/>
      <c r="Q299" s="387"/>
    </row>
    <row r="300" spans="15:17" ht="20.100000000000001" customHeight="1">
      <c r="O300" s="387"/>
      <c r="P300" s="387"/>
      <c r="Q300" s="387"/>
    </row>
    <row r="301" spans="15:17" ht="20.100000000000001" customHeight="1">
      <c r="O301" s="387"/>
      <c r="P301" s="387"/>
      <c r="Q301" s="387"/>
    </row>
    <row r="302" spans="15:17" ht="20.100000000000001" customHeight="1">
      <c r="O302" s="387"/>
      <c r="P302" s="387"/>
      <c r="Q302" s="387"/>
    </row>
    <row r="303" spans="15:17" ht="20.100000000000001" customHeight="1">
      <c r="O303" s="387"/>
      <c r="P303" s="387"/>
      <c r="Q303" s="387"/>
    </row>
    <row r="304" spans="15:17" ht="20.100000000000001" customHeight="1">
      <c r="O304" s="387"/>
      <c r="P304" s="387"/>
      <c r="Q304" s="387"/>
    </row>
    <row r="305" spans="15:17" ht="20.100000000000001" customHeight="1">
      <c r="O305" s="387"/>
      <c r="P305" s="387"/>
      <c r="Q305" s="387"/>
    </row>
    <row r="306" spans="15:17" ht="20.100000000000001" customHeight="1">
      <c r="O306" s="387"/>
      <c r="P306" s="387"/>
      <c r="Q306" s="387"/>
    </row>
    <row r="307" spans="15:17" ht="20.100000000000001" customHeight="1">
      <c r="O307" s="387"/>
      <c r="P307" s="387"/>
      <c r="Q307" s="387"/>
    </row>
    <row r="308" spans="15:17" ht="20.100000000000001" customHeight="1">
      <c r="O308" s="387"/>
      <c r="P308" s="387"/>
      <c r="Q308" s="387"/>
    </row>
    <row r="309" spans="15:17" ht="20.100000000000001" customHeight="1">
      <c r="O309" s="387"/>
      <c r="P309" s="387"/>
      <c r="Q309" s="387"/>
    </row>
    <row r="310" spans="15:17" ht="20.100000000000001" customHeight="1">
      <c r="O310" s="387"/>
      <c r="P310" s="387"/>
      <c r="Q310" s="387"/>
    </row>
    <row r="311" spans="15:17" ht="20.100000000000001" customHeight="1">
      <c r="O311" s="387"/>
      <c r="P311" s="387"/>
      <c r="Q311" s="387"/>
    </row>
    <row r="312" spans="15:17" ht="20.100000000000001" customHeight="1">
      <c r="O312" s="387"/>
      <c r="P312" s="387"/>
      <c r="Q312" s="387"/>
    </row>
    <row r="313" spans="15:17" ht="20.100000000000001" customHeight="1">
      <c r="O313" s="387"/>
      <c r="P313" s="387"/>
      <c r="Q313" s="387"/>
    </row>
    <row r="314" spans="15:17" ht="20.100000000000001" customHeight="1">
      <c r="O314" s="387"/>
      <c r="P314" s="387"/>
      <c r="Q314" s="387"/>
    </row>
    <row r="315" spans="15:17" ht="20.100000000000001" customHeight="1">
      <c r="O315" s="387"/>
      <c r="P315" s="387"/>
      <c r="Q315" s="387"/>
    </row>
    <row r="316" spans="15:17" ht="20.100000000000001" customHeight="1">
      <c r="O316" s="387"/>
      <c r="P316" s="387"/>
      <c r="Q316" s="387"/>
    </row>
    <row r="317" spans="15:17" ht="20.100000000000001" customHeight="1">
      <c r="O317" s="387"/>
      <c r="P317" s="387"/>
      <c r="Q317" s="387"/>
    </row>
    <row r="318" spans="15:17" ht="20.100000000000001" customHeight="1">
      <c r="O318" s="387"/>
      <c r="P318" s="387"/>
      <c r="Q318" s="387"/>
    </row>
    <row r="319" spans="15:17" ht="20.100000000000001" customHeight="1">
      <c r="O319" s="387"/>
      <c r="P319" s="387"/>
      <c r="Q319" s="387"/>
    </row>
    <row r="320" spans="15:17" ht="20.100000000000001" customHeight="1">
      <c r="O320" s="387"/>
      <c r="P320" s="387"/>
      <c r="Q320" s="387"/>
    </row>
    <row r="321" spans="15:17" ht="20.100000000000001" customHeight="1">
      <c r="O321" s="387"/>
      <c r="P321" s="387"/>
      <c r="Q321" s="387"/>
    </row>
    <row r="322" spans="15:17" ht="20.100000000000001" customHeight="1">
      <c r="O322" s="387"/>
      <c r="P322" s="387"/>
      <c r="Q322" s="387"/>
    </row>
    <row r="323" spans="15:17" ht="20.100000000000001" customHeight="1">
      <c r="O323" s="387"/>
      <c r="P323" s="387"/>
      <c r="Q323" s="387"/>
    </row>
    <row r="324" spans="15:17" ht="20.100000000000001" customHeight="1">
      <c r="O324" s="387"/>
      <c r="P324" s="387"/>
      <c r="Q324" s="387"/>
    </row>
    <row r="325" spans="15:17" ht="20.100000000000001" customHeight="1">
      <c r="O325" s="387"/>
      <c r="P325" s="387"/>
      <c r="Q325" s="387"/>
    </row>
    <row r="326" spans="15:17" ht="20.100000000000001" customHeight="1">
      <c r="O326" s="387"/>
      <c r="P326" s="387"/>
      <c r="Q326" s="387"/>
    </row>
    <row r="327" spans="15:17" ht="20.100000000000001" customHeight="1">
      <c r="O327" s="387"/>
      <c r="P327" s="387"/>
      <c r="Q327" s="387"/>
    </row>
    <row r="328" spans="15:17" ht="20.100000000000001" customHeight="1">
      <c r="O328" s="387"/>
      <c r="P328" s="387"/>
      <c r="Q328" s="387"/>
    </row>
    <row r="329" spans="15:17" ht="20.100000000000001" customHeight="1">
      <c r="O329" s="387"/>
      <c r="P329" s="387"/>
      <c r="Q329" s="387"/>
    </row>
    <row r="330" spans="15:17" ht="20.100000000000001" customHeight="1">
      <c r="O330" s="387"/>
      <c r="P330" s="387"/>
      <c r="Q330" s="387"/>
    </row>
    <row r="331" spans="15:17" ht="20.100000000000001" customHeight="1">
      <c r="O331" s="387"/>
      <c r="P331" s="387"/>
      <c r="Q331" s="387"/>
    </row>
    <row r="332" spans="15:17" ht="20.100000000000001" customHeight="1">
      <c r="O332" s="387"/>
      <c r="P332" s="387"/>
      <c r="Q332" s="387"/>
    </row>
    <row r="333" spans="15:17" ht="20.100000000000001" customHeight="1">
      <c r="O333" s="387"/>
      <c r="P333" s="387"/>
      <c r="Q333" s="387"/>
    </row>
    <row r="334" spans="15:17" ht="20.100000000000001" customHeight="1">
      <c r="O334" s="387"/>
      <c r="P334" s="387"/>
      <c r="Q334" s="387"/>
    </row>
    <row r="335" spans="15:17" ht="20.100000000000001" customHeight="1">
      <c r="O335" s="387"/>
      <c r="P335" s="387"/>
      <c r="Q335" s="387"/>
    </row>
    <row r="336" spans="15:17" ht="20.100000000000001" customHeight="1">
      <c r="O336" s="387"/>
      <c r="P336" s="387"/>
      <c r="Q336" s="387"/>
    </row>
    <row r="337" spans="15:17" ht="20.100000000000001" customHeight="1">
      <c r="O337" s="387"/>
      <c r="P337" s="387"/>
      <c r="Q337" s="387"/>
    </row>
    <row r="338" spans="15:17" ht="20.100000000000001" customHeight="1">
      <c r="O338" s="387"/>
      <c r="P338" s="387"/>
      <c r="Q338" s="387"/>
    </row>
    <row r="339" spans="15:17" ht="20.100000000000001" customHeight="1">
      <c r="O339" s="387"/>
      <c r="P339" s="387"/>
      <c r="Q339" s="387"/>
    </row>
    <row r="340" spans="15:17" ht="20.100000000000001" customHeight="1">
      <c r="O340" s="387"/>
      <c r="P340" s="387"/>
      <c r="Q340" s="387"/>
    </row>
    <row r="341" spans="15:17" ht="20.100000000000001" customHeight="1">
      <c r="O341" s="387"/>
      <c r="P341" s="387"/>
      <c r="Q341" s="387"/>
    </row>
    <row r="342" spans="15:17" ht="20.100000000000001" customHeight="1">
      <c r="O342" s="387"/>
      <c r="P342" s="387"/>
      <c r="Q342" s="387"/>
    </row>
    <row r="343" spans="15:17" ht="20.100000000000001" customHeight="1">
      <c r="O343" s="387"/>
      <c r="P343" s="387"/>
      <c r="Q343" s="387"/>
    </row>
    <row r="344" spans="15:17" ht="20.100000000000001" customHeight="1">
      <c r="O344" s="387"/>
      <c r="P344" s="387"/>
      <c r="Q344" s="387"/>
    </row>
    <row r="345" spans="15:17" ht="20.100000000000001" customHeight="1">
      <c r="O345" s="387"/>
      <c r="P345" s="387"/>
      <c r="Q345" s="387"/>
    </row>
    <row r="346" spans="15:17" ht="20.100000000000001" customHeight="1">
      <c r="O346" s="387"/>
      <c r="P346" s="387"/>
      <c r="Q346" s="387"/>
    </row>
    <row r="347" spans="15:17" ht="20.100000000000001" customHeight="1">
      <c r="O347" s="387"/>
      <c r="P347" s="387"/>
      <c r="Q347" s="387"/>
    </row>
    <row r="348" spans="15:17" ht="20.100000000000001" customHeight="1">
      <c r="O348" s="387"/>
      <c r="P348" s="387"/>
      <c r="Q348" s="387"/>
    </row>
    <row r="349" spans="15:17" ht="20.100000000000001" customHeight="1">
      <c r="O349" s="387"/>
      <c r="P349" s="387"/>
      <c r="Q349" s="387"/>
    </row>
    <row r="350" spans="15:17" ht="20.100000000000001" customHeight="1">
      <c r="O350" s="387"/>
      <c r="P350" s="387"/>
      <c r="Q350" s="387"/>
    </row>
    <row r="351" spans="15:17" ht="20.100000000000001" customHeight="1">
      <c r="O351" s="387"/>
      <c r="P351" s="387"/>
      <c r="Q351" s="387"/>
    </row>
    <row r="352" spans="15:17" ht="20.100000000000001" customHeight="1">
      <c r="O352" s="387"/>
      <c r="P352" s="387"/>
      <c r="Q352" s="387"/>
    </row>
    <row r="353" spans="15:17" ht="20.100000000000001" customHeight="1">
      <c r="O353" s="387"/>
      <c r="P353" s="387"/>
      <c r="Q353" s="387"/>
    </row>
    <row r="354" spans="15:17" ht="20.100000000000001" customHeight="1">
      <c r="O354" s="387"/>
      <c r="P354" s="387"/>
      <c r="Q354" s="387"/>
    </row>
    <row r="355" spans="15:17" ht="20.100000000000001" customHeight="1">
      <c r="O355" s="387"/>
      <c r="P355" s="387"/>
      <c r="Q355" s="387"/>
    </row>
    <row r="356" spans="15:17" ht="20.100000000000001" customHeight="1">
      <c r="O356" s="387"/>
      <c r="P356" s="387"/>
      <c r="Q356" s="387"/>
    </row>
    <row r="357" spans="15:17" ht="20.100000000000001" customHeight="1">
      <c r="O357" s="387"/>
      <c r="P357" s="387"/>
      <c r="Q357" s="387"/>
    </row>
    <row r="358" spans="15:17" ht="20.100000000000001" customHeight="1">
      <c r="O358" s="387"/>
      <c r="P358" s="387"/>
      <c r="Q358" s="387"/>
    </row>
    <row r="359" spans="15:17" ht="20.100000000000001" customHeight="1">
      <c r="O359" s="387"/>
      <c r="P359" s="387"/>
      <c r="Q359" s="387"/>
    </row>
    <row r="360" spans="15:17" ht="20.100000000000001" customHeight="1">
      <c r="O360" s="387"/>
      <c r="P360" s="387"/>
      <c r="Q360" s="387"/>
    </row>
    <row r="361" spans="15:17" ht="20.100000000000001" customHeight="1">
      <c r="O361" s="387"/>
      <c r="P361" s="387"/>
      <c r="Q361" s="387"/>
    </row>
    <row r="362" spans="15:17" ht="20.100000000000001" customHeight="1">
      <c r="O362" s="387"/>
      <c r="P362" s="387"/>
      <c r="Q362" s="387"/>
    </row>
    <row r="363" spans="15:17" ht="20.100000000000001" customHeight="1">
      <c r="O363" s="387"/>
      <c r="P363" s="387"/>
      <c r="Q363" s="387"/>
    </row>
    <row r="364" spans="15:17" ht="20.100000000000001" customHeight="1">
      <c r="O364" s="387"/>
      <c r="P364" s="387"/>
      <c r="Q364" s="387"/>
    </row>
    <row r="365" spans="15:17" ht="20.100000000000001" customHeight="1">
      <c r="O365" s="387"/>
      <c r="P365" s="387"/>
      <c r="Q365" s="387"/>
    </row>
    <row r="366" spans="15:17" ht="20.100000000000001" customHeight="1">
      <c r="O366" s="387"/>
      <c r="P366" s="387"/>
      <c r="Q366" s="387"/>
    </row>
    <row r="367" spans="15:17" ht="20.100000000000001" customHeight="1">
      <c r="O367" s="387"/>
      <c r="P367" s="387"/>
      <c r="Q367" s="387"/>
    </row>
    <row r="368" spans="15:17" ht="20.100000000000001" customHeight="1">
      <c r="O368" s="387"/>
      <c r="P368" s="387"/>
      <c r="Q368" s="387"/>
    </row>
    <row r="369" spans="15:17" ht="20.100000000000001" customHeight="1">
      <c r="O369" s="387"/>
      <c r="P369" s="387"/>
      <c r="Q369" s="387"/>
    </row>
    <row r="370" spans="15:17" ht="20.100000000000001" customHeight="1">
      <c r="O370" s="387"/>
      <c r="P370" s="387"/>
      <c r="Q370" s="387"/>
    </row>
    <row r="371" spans="15:17" ht="20.100000000000001" customHeight="1">
      <c r="O371" s="387"/>
      <c r="P371" s="387"/>
      <c r="Q371" s="387"/>
    </row>
    <row r="372" spans="15:17" ht="20.100000000000001" customHeight="1">
      <c r="O372" s="387"/>
      <c r="P372" s="387"/>
      <c r="Q372" s="387"/>
    </row>
    <row r="373" spans="15:17" ht="20.100000000000001" customHeight="1">
      <c r="O373" s="387"/>
      <c r="P373" s="387"/>
      <c r="Q373" s="387"/>
    </row>
    <row r="374" spans="15:17" ht="20.100000000000001" customHeight="1">
      <c r="O374" s="387"/>
      <c r="P374" s="387"/>
      <c r="Q374" s="387"/>
    </row>
    <row r="375" spans="15:17" ht="20.100000000000001" customHeight="1">
      <c r="O375" s="387"/>
      <c r="P375" s="387"/>
      <c r="Q375" s="387"/>
    </row>
    <row r="376" spans="15:17" ht="20.100000000000001" customHeight="1">
      <c r="O376" s="387"/>
      <c r="P376" s="387"/>
      <c r="Q376" s="387"/>
    </row>
    <row r="377" spans="15:17" ht="20.100000000000001" customHeight="1">
      <c r="O377" s="387"/>
      <c r="P377" s="387"/>
      <c r="Q377" s="387"/>
    </row>
    <row r="378" spans="15:17" ht="20.100000000000001" customHeight="1">
      <c r="O378" s="387"/>
      <c r="P378" s="387"/>
      <c r="Q378" s="387"/>
    </row>
    <row r="379" spans="15:17" ht="20.100000000000001" customHeight="1">
      <c r="O379" s="387"/>
      <c r="P379" s="387"/>
      <c r="Q379" s="387"/>
    </row>
    <row r="380" spans="15:17" ht="20.100000000000001" customHeight="1">
      <c r="O380" s="387"/>
      <c r="P380" s="387"/>
      <c r="Q380" s="387"/>
    </row>
    <row r="381" spans="15:17" ht="20.100000000000001" customHeight="1">
      <c r="O381" s="387"/>
      <c r="P381" s="387"/>
      <c r="Q381" s="387"/>
    </row>
    <row r="382" spans="15:17" ht="20.100000000000001" customHeight="1">
      <c r="O382" s="387"/>
      <c r="P382" s="387"/>
      <c r="Q382" s="387"/>
    </row>
    <row r="383" spans="15:17" ht="20.100000000000001" customHeight="1">
      <c r="O383" s="387"/>
      <c r="P383" s="387"/>
      <c r="Q383" s="387"/>
    </row>
    <row r="384" spans="15:17" ht="20.100000000000001" customHeight="1">
      <c r="O384" s="387"/>
      <c r="P384" s="387"/>
      <c r="Q384" s="387"/>
    </row>
    <row r="385" spans="15:17" ht="20.100000000000001" customHeight="1">
      <c r="O385" s="387"/>
      <c r="P385" s="387"/>
      <c r="Q385" s="387"/>
    </row>
    <row r="386" spans="15:17" ht="20.100000000000001" customHeight="1">
      <c r="O386" s="387"/>
      <c r="P386" s="387"/>
      <c r="Q386" s="387"/>
    </row>
    <row r="387" spans="15:17" ht="20.100000000000001" customHeight="1">
      <c r="O387" s="387"/>
      <c r="P387" s="387"/>
      <c r="Q387" s="387"/>
    </row>
    <row r="388" spans="15:17" ht="20.100000000000001" customHeight="1">
      <c r="O388" s="387"/>
      <c r="P388" s="387"/>
      <c r="Q388" s="387"/>
    </row>
    <row r="389" spans="15:17" ht="20.100000000000001" customHeight="1">
      <c r="O389" s="387"/>
      <c r="P389" s="387"/>
      <c r="Q389" s="387"/>
    </row>
    <row r="390" spans="15:17" ht="20.100000000000001" customHeight="1">
      <c r="O390" s="387"/>
      <c r="P390" s="387"/>
      <c r="Q390" s="387"/>
    </row>
    <row r="391" spans="15:17" ht="20.100000000000001" customHeight="1">
      <c r="O391" s="387"/>
      <c r="P391" s="387"/>
      <c r="Q391" s="387"/>
    </row>
    <row r="392" spans="15:17" ht="20.100000000000001" customHeight="1">
      <c r="O392" s="387"/>
      <c r="P392" s="387"/>
      <c r="Q392" s="387"/>
    </row>
    <row r="393" spans="15:17" ht="20.100000000000001" customHeight="1">
      <c r="O393" s="387"/>
      <c r="P393" s="387"/>
      <c r="Q393" s="387"/>
    </row>
    <row r="394" spans="15:17" ht="20.100000000000001" customHeight="1">
      <c r="O394" s="387"/>
      <c r="P394" s="387"/>
      <c r="Q394" s="387"/>
    </row>
    <row r="395" spans="15:17" ht="20.100000000000001" customHeight="1">
      <c r="O395" s="387"/>
      <c r="P395" s="387"/>
      <c r="Q395" s="387"/>
    </row>
    <row r="396" spans="15:17" ht="20.100000000000001" customHeight="1">
      <c r="O396" s="387"/>
      <c r="P396" s="387"/>
      <c r="Q396" s="387"/>
    </row>
    <row r="397" spans="15:17" ht="20.100000000000001" customHeight="1">
      <c r="O397" s="387"/>
      <c r="P397" s="387"/>
      <c r="Q397" s="387"/>
    </row>
    <row r="398" spans="15:17" ht="20.100000000000001" customHeight="1">
      <c r="O398" s="387"/>
      <c r="P398" s="387"/>
      <c r="Q398" s="387"/>
    </row>
    <row r="399" spans="15:17" ht="20.100000000000001" customHeight="1">
      <c r="O399" s="387"/>
      <c r="P399" s="387"/>
      <c r="Q399" s="387"/>
    </row>
    <row r="400" spans="15:17" ht="20.100000000000001" customHeight="1">
      <c r="O400" s="387"/>
      <c r="P400" s="387"/>
      <c r="Q400" s="387"/>
    </row>
    <row r="401" spans="15:17" ht="20.100000000000001" customHeight="1">
      <c r="O401" s="387"/>
      <c r="P401" s="387"/>
      <c r="Q401" s="387"/>
    </row>
    <row r="402" spans="15:17" ht="20.100000000000001" customHeight="1">
      <c r="O402" s="387"/>
      <c r="P402" s="387"/>
      <c r="Q402" s="387"/>
    </row>
    <row r="403" spans="15:17" ht="20.100000000000001" customHeight="1">
      <c r="O403" s="387"/>
      <c r="P403" s="387"/>
      <c r="Q403" s="387"/>
    </row>
    <row r="404" spans="15:17" ht="20.100000000000001" customHeight="1">
      <c r="O404" s="387"/>
      <c r="P404" s="387"/>
      <c r="Q404" s="387"/>
    </row>
    <row r="405" spans="15:17" ht="20.100000000000001" customHeight="1">
      <c r="O405" s="387"/>
      <c r="P405" s="387"/>
      <c r="Q405" s="387"/>
    </row>
    <row r="406" spans="15:17" ht="20.100000000000001" customHeight="1">
      <c r="O406" s="387"/>
      <c r="P406" s="387"/>
      <c r="Q406" s="387"/>
    </row>
    <row r="407" spans="15:17" ht="20.100000000000001" customHeight="1">
      <c r="O407" s="387"/>
      <c r="P407" s="387"/>
      <c r="Q407" s="387"/>
    </row>
    <row r="408" spans="15:17" ht="20.100000000000001" customHeight="1">
      <c r="O408" s="387"/>
      <c r="P408" s="387"/>
      <c r="Q408" s="387"/>
    </row>
    <row r="409" spans="15:17" ht="20.100000000000001" customHeight="1">
      <c r="O409" s="387"/>
      <c r="P409" s="387"/>
      <c r="Q409" s="387"/>
    </row>
    <row r="410" spans="15:17" ht="20.100000000000001" customHeight="1">
      <c r="O410" s="387"/>
      <c r="P410" s="387"/>
      <c r="Q410" s="387"/>
    </row>
    <row r="411" spans="15:17" ht="20.100000000000001" customHeight="1">
      <c r="O411" s="387"/>
      <c r="P411" s="387"/>
      <c r="Q411" s="387"/>
    </row>
    <row r="412" spans="15:17" ht="20.100000000000001" customHeight="1">
      <c r="O412" s="387"/>
      <c r="P412" s="387"/>
      <c r="Q412" s="387"/>
    </row>
    <row r="413" spans="15:17" ht="20.100000000000001" customHeight="1">
      <c r="O413" s="387"/>
      <c r="P413" s="387"/>
      <c r="Q413" s="387"/>
    </row>
    <row r="414" spans="15:17" ht="20.100000000000001" customHeight="1">
      <c r="O414" s="387"/>
      <c r="P414" s="387"/>
      <c r="Q414" s="387"/>
    </row>
    <row r="415" spans="15:17" ht="20.100000000000001" customHeight="1">
      <c r="O415" s="387"/>
      <c r="P415" s="387"/>
      <c r="Q415" s="387"/>
    </row>
    <row r="416" spans="15:17" ht="20.100000000000001" customHeight="1">
      <c r="O416" s="387"/>
      <c r="P416" s="387"/>
      <c r="Q416" s="387"/>
    </row>
    <row r="417" spans="15:17" ht="20.100000000000001" customHeight="1">
      <c r="O417" s="387"/>
      <c r="P417" s="387"/>
      <c r="Q417" s="387"/>
    </row>
    <row r="418" spans="15:17" ht="20.100000000000001" customHeight="1">
      <c r="O418" s="387"/>
      <c r="P418" s="387"/>
      <c r="Q418" s="387"/>
    </row>
    <row r="419" spans="15:17" ht="20.100000000000001" customHeight="1">
      <c r="O419" s="387"/>
      <c r="P419" s="387"/>
      <c r="Q419" s="387"/>
    </row>
    <row r="420" spans="15:17" ht="20.100000000000001" customHeight="1">
      <c r="O420" s="387"/>
      <c r="P420" s="387"/>
      <c r="Q420" s="387"/>
    </row>
    <row r="421" spans="15:17" ht="20.100000000000001" customHeight="1">
      <c r="O421" s="387"/>
      <c r="P421" s="387"/>
      <c r="Q421" s="387"/>
    </row>
    <row r="422" spans="15:17" ht="20.100000000000001" customHeight="1">
      <c r="O422" s="387"/>
      <c r="P422" s="387"/>
      <c r="Q422" s="387"/>
    </row>
    <row r="423" spans="15:17" ht="20.100000000000001" customHeight="1">
      <c r="O423" s="387"/>
      <c r="P423" s="387"/>
      <c r="Q423" s="387"/>
    </row>
    <row r="424" spans="15:17" ht="20.100000000000001" customHeight="1">
      <c r="O424" s="387"/>
      <c r="P424" s="387"/>
      <c r="Q424" s="387"/>
    </row>
    <row r="425" spans="15:17" ht="20.100000000000001" customHeight="1">
      <c r="O425" s="387"/>
      <c r="P425" s="387"/>
      <c r="Q425" s="387"/>
    </row>
    <row r="426" spans="15:17" ht="20.100000000000001" customHeight="1">
      <c r="O426" s="387"/>
      <c r="P426" s="387"/>
      <c r="Q426" s="387"/>
    </row>
    <row r="427" spans="15:17" ht="20.100000000000001" customHeight="1">
      <c r="O427" s="387"/>
      <c r="P427" s="387"/>
      <c r="Q427" s="387"/>
    </row>
    <row r="428" spans="15:17" ht="20.100000000000001" customHeight="1">
      <c r="O428" s="387"/>
      <c r="P428" s="387"/>
      <c r="Q428" s="387"/>
    </row>
    <row r="429" spans="15:17" ht="20.100000000000001" customHeight="1">
      <c r="O429" s="387"/>
      <c r="P429" s="387"/>
      <c r="Q429" s="387"/>
    </row>
    <row r="430" spans="15:17" ht="20.100000000000001" customHeight="1">
      <c r="O430" s="387"/>
      <c r="P430" s="387"/>
      <c r="Q430" s="387"/>
    </row>
    <row r="431" spans="15:17" ht="20.100000000000001" customHeight="1">
      <c r="O431" s="387"/>
      <c r="P431" s="387"/>
      <c r="Q431" s="387"/>
    </row>
    <row r="432" spans="15:17" ht="20.100000000000001" customHeight="1">
      <c r="O432" s="387"/>
      <c r="P432" s="387"/>
      <c r="Q432" s="387"/>
    </row>
    <row r="433" spans="15:17" ht="20.100000000000001" customHeight="1">
      <c r="O433" s="387"/>
      <c r="P433" s="387"/>
      <c r="Q433" s="387"/>
    </row>
    <row r="434" spans="15:17" ht="20.100000000000001" customHeight="1">
      <c r="O434" s="387"/>
      <c r="P434" s="387"/>
      <c r="Q434" s="387"/>
    </row>
    <row r="435" spans="15:17" ht="20.100000000000001" customHeight="1">
      <c r="O435" s="387"/>
      <c r="P435" s="387"/>
      <c r="Q435" s="387"/>
    </row>
    <row r="436" spans="15:17" ht="20.100000000000001" customHeight="1">
      <c r="O436" s="387"/>
      <c r="P436" s="387"/>
      <c r="Q436" s="387"/>
    </row>
    <row r="437" spans="15:17" ht="20.100000000000001" customHeight="1">
      <c r="O437" s="387"/>
      <c r="P437" s="387"/>
      <c r="Q437" s="387"/>
    </row>
    <row r="438" spans="15:17" ht="20.100000000000001" customHeight="1">
      <c r="O438" s="387"/>
      <c r="P438" s="387"/>
      <c r="Q438" s="387"/>
    </row>
    <row r="439" spans="15:17" ht="20.100000000000001" customHeight="1">
      <c r="O439" s="387"/>
      <c r="P439" s="387"/>
      <c r="Q439" s="387"/>
    </row>
    <row r="440" spans="15:17" ht="20.100000000000001" customHeight="1">
      <c r="O440" s="387"/>
      <c r="P440" s="387"/>
      <c r="Q440" s="387"/>
    </row>
    <row r="441" spans="15:17" ht="20.100000000000001" customHeight="1">
      <c r="O441" s="387"/>
      <c r="P441" s="387"/>
      <c r="Q441" s="387"/>
    </row>
    <row r="442" spans="15:17" ht="20.100000000000001" customHeight="1">
      <c r="O442" s="387"/>
      <c r="P442" s="387"/>
      <c r="Q442" s="387"/>
    </row>
    <row r="443" spans="15:17" ht="20.100000000000001" customHeight="1">
      <c r="O443" s="387"/>
      <c r="P443" s="387"/>
      <c r="Q443" s="387"/>
    </row>
    <row r="444" spans="15:17" ht="20.100000000000001" customHeight="1">
      <c r="O444" s="387"/>
      <c r="P444" s="387"/>
      <c r="Q444" s="387"/>
    </row>
    <row r="445" spans="15:17" ht="20.100000000000001" customHeight="1">
      <c r="O445" s="387"/>
      <c r="P445" s="387"/>
      <c r="Q445" s="387"/>
    </row>
    <row r="446" spans="15:17" ht="20.100000000000001" customHeight="1">
      <c r="O446" s="387"/>
      <c r="P446" s="387"/>
      <c r="Q446" s="387"/>
    </row>
    <row r="447" spans="15:17" ht="20.100000000000001" customHeight="1">
      <c r="O447" s="387"/>
      <c r="P447" s="387"/>
      <c r="Q447" s="387"/>
    </row>
    <row r="448" spans="15:17" ht="20.100000000000001" customHeight="1">
      <c r="O448" s="387"/>
      <c r="P448" s="387"/>
      <c r="Q448" s="387"/>
    </row>
    <row r="449" spans="15:17" ht="20.100000000000001" customHeight="1">
      <c r="O449" s="387"/>
      <c r="P449" s="387"/>
      <c r="Q449" s="387"/>
    </row>
    <row r="450" spans="15:17" ht="20.100000000000001" customHeight="1">
      <c r="O450" s="387"/>
      <c r="P450" s="387"/>
      <c r="Q450" s="387"/>
    </row>
    <row r="451" spans="15:17" ht="20.100000000000001" customHeight="1">
      <c r="O451" s="387"/>
      <c r="P451" s="387"/>
      <c r="Q451" s="387"/>
    </row>
    <row r="452" spans="15:17" ht="20.100000000000001" customHeight="1">
      <c r="O452" s="387"/>
      <c r="P452" s="387"/>
      <c r="Q452" s="387"/>
    </row>
    <row r="453" spans="15:17" ht="20.100000000000001" customHeight="1">
      <c r="O453" s="387"/>
      <c r="P453" s="387"/>
      <c r="Q453" s="387"/>
    </row>
    <row r="454" spans="15:17" ht="20.100000000000001" customHeight="1">
      <c r="O454" s="387"/>
      <c r="P454" s="387"/>
      <c r="Q454" s="387"/>
    </row>
    <row r="455" spans="15:17" ht="20.100000000000001" customHeight="1">
      <c r="O455" s="387"/>
      <c r="P455" s="387"/>
      <c r="Q455" s="387"/>
    </row>
    <row r="456" spans="15:17" ht="20.100000000000001" customHeight="1">
      <c r="O456" s="387"/>
      <c r="P456" s="387"/>
      <c r="Q456" s="387"/>
    </row>
    <row r="457" spans="15:17" ht="20.100000000000001" customHeight="1">
      <c r="O457" s="387"/>
      <c r="P457" s="387"/>
      <c r="Q457" s="387"/>
    </row>
    <row r="458" spans="15:17" ht="20.100000000000001" customHeight="1">
      <c r="O458" s="387"/>
      <c r="P458" s="387"/>
      <c r="Q458" s="387"/>
    </row>
    <row r="459" spans="15:17" ht="20.100000000000001" customHeight="1">
      <c r="O459" s="387"/>
      <c r="P459" s="387"/>
      <c r="Q459" s="387"/>
    </row>
    <row r="460" spans="15:17" ht="20.100000000000001" customHeight="1">
      <c r="O460" s="387"/>
      <c r="P460" s="387"/>
      <c r="Q460" s="387"/>
    </row>
    <row r="461" spans="15:17" ht="20.100000000000001" customHeight="1">
      <c r="O461" s="387"/>
      <c r="P461" s="387"/>
      <c r="Q461" s="387"/>
    </row>
    <row r="462" spans="15:17" ht="20.100000000000001" customHeight="1">
      <c r="O462" s="387"/>
      <c r="P462" s="387"/>
      <c r="Q462" s="387"/>
    </row>
    <row r="463" spans="15:17" ht="20.100000000000001" customHeight="1">
      <c r="O463" s="387"/>
      <c r="P463" s="387"/>
      <c r="Q463" s="387"/>
    </row>
    <row r="464" spans="15:17" ht="20.100000000000001" customHeight="1">
      <c r="O464" s="387"/>
      <c r="P464" s="387"/>
      <c r="Q464" s="387"/>
    </row>
    <row r="465" spans="15:17" ht="20.100000000000001" customHeight="1">
      <c r="O465" s="387"/>
      <c r="P465" s="387"/>
      <c r="Q465" s="387"/>
    </row>
    <row r="466" spans="15:17" ht="20.100000000000001" customHeight="1">
      <c r="O466" s="387"/>
      <c r="P466" s="387"/>
      <c r="Q466" s="387"/>
    </row>
    <row r="467" spans="15:17" ht="20.100000000000001" customHeight="1">
      <c r="O467" s="387"/>
      <c r="P467" s="387"/>
      <c r="Q467" s="387"/>
    </row>
    <row r="468" spans="15:17" ht="20.100000000000001" customHeight="1">
      <c r="O468" s="387"/>
      <c r="P468" s="387"/>
      <c r="Q468" s="387"/>
    </row>
    <row r="469" spans="15:17" ht="20.100000000000001" customHeight="1">
      <c r="O469" s="387"/>
      <c r="P469" s="387"/>
      <c r="Q469" s="387"/>
    </row>
    <row r="470" spans="15:17" ht="20.100000000000001" customHeight="1">
      <c r="O470" s="387"/>
      <c r="P470" s="387"/>
      <c r="Q470" s="387"/>
    </row>
    <row r="471" spans="15:17" ht="20.100000000000001" customHeight="1">
      <c r="O471" s="387"/>
      <c r="P471" s="387"/>
      <c r="Q471" s="387"/>
    </row>
    <row r="472" spans="15:17" ht="20.100000000000001" customHeight="1">
      <c r="O472" s="387"/>
      <c r="P472" s="387"/>
      <c r="Q472" s="387"/>
    </row>
    <row r="473" spans="15:17" ht="20.100000000000001" customHeight="1">
      <c r="O473" s="387"/>
      <c r="P473" s="387"/>
      <c r="Q473" s="387"/>
    </row>
    <row r="474" spans="15:17" ht="20.100000000000001" customHeight="1">
      <c r="O474" s="387"/>
      <c r="P474" s="387"/>
      <c r="Q474" s="387"/>
    </row>
    <row r="475" spans="15:17" ht="20.100000000000001" customHeight="1">
      <c r="O475" s="387"/>
      <c r="P475" s="387"/>
      <c r="Q475" s="387"/>
    </row>
    <row r="476" spans="15:17" ht="20.100000000000001" customHeight="1">
      <c r="O476" s="387"/>
      <c r="P476" s="387"/>
      <c r="Q476" s="387"/>
    </row>
    <row r="477" spans="15:17" ht="20.100000000000001" customHeight="1">
      <c r="O477" s="387"/>
      <c r="P477" s="387"/>
      <c r="Q477" s="387"/>
    </row>
    <row r="478" spans="15:17" ht="20.100000000000001" customHeight="1">
      <c r="O478" s="387"/>
      <c r="P478" s="387"/>
      <c r="Q478" s="387"/>
    </row>
    <row r="479" spans="15:17" ht="20.100000000000001" customHeight="1">
      <c r="O479" s="387"/>
      <c r="P479" s="387"/>
      <c r="Q479" s="387"/>
    </row>
    <row r="480" spans="15:17" ht="20.100000000000001" customHeight="1">
      <c r="O480" s="387"/>
      <c r="P480" s="387"/>
      <c r="Q480" s="387"/>
    </row>
    <row r="481" spans="15:17" ht="20.100000000000001" customHeight="1">
      <c r="O481" s="387"/>
      <c r="P481" s="387"/>
      <c r="Q481" s="387"/>
    </row>
    <row r="482" spans="15:17" ht="20.100000000000001" customHeight="1">
      <c r="O482" s="387"/>
      <c r="P482" s="387"/>
      <c r="Q482" s="387"/>
    </row>
    <row r="483" spans="15:17" ht="20.100000000000001" customHeight="1">
      <c r="O483" s="387"/>
      <c r="P483" s="387"/>
      <c r="Q483" s="387"/>
    </row>
    <row r="484" spans="15:17" ht="20.100000000000001" customHeight="1">
      <c r="O484" s="387"/>
      <c r="P484" s="387"/>
      <c r="Q484" s="387"/>
    </row>
    <row r="485" spans="15:17" ht="20.100000000000001" customHeight="1">
      <c r="O485" s="387"/>
      <c r="P485" s="387"/>
      <c r="Q485" s="387"/>
    </row>
    <row r="486" spans="15:17" ht="20.100000000000001" customHeight="1">
      <c r="O486" s="387"/>
      <c r="P486" s="387"/>
      <c r="Q486" s="387"/>
    </row>
    <row r="487" spans="15:17" ht="20.100000000000001" customHeight="1">
      <c r="O487" s="387"/>
      <c r="P487" s="387"/>
      <c r="Q487" s="387"/>
    </row>
    <row r="488" spans="15:17" ht="20.100000000000001" customHeight="1">
      <c r="O488" s="387"/>
      <c r="P488" s="387"/>
      <c r="Q488" s="387"/>
    </row>
    <row r="489" spans="15:17" ht="20.100000000000001" customHeight="1">
      <c r="O489" s="387"/>
      <c r="P489" s="387"/>
      <c r="Q489" s="387"/>
    </row>
    <row r="490" spans="15:17" ht="20.100000000000001" customHeight="1">
      <c r="O490" s="387"/>
      <c r="P490" s="387"/>
      <c r="Q490" s="387"/>
    </row>
    <row r="491" spans="15:17" ht="20.100000000000001" customHeight="1">
      <c r="O491" s="387"/>
      <c r="P491" s="387"/>
      <c r="Q491" s="387"/>
    </row>
    <row r="492" spans="15:17" ht="20.100000000000001" customHeight="1">
      <c r="O492" s="387"/>
      <c r="P492" s="387"/>
      <c r="Q492" s="387"/>
    </row>
    <row r="493" spans="15:17" ht="20.100000000000001" customHeight="1">
      <c r="O493" s="387"/>
      <c r="P493" s="387"/>
      <c r="Q493" s="387"/>
    </row>
    <row r="494" spans="15:17" ht="20.100000000000001" customHeight="1">
      <c r="O494" s="387"/>
      <c r="P494" s="387"/>
      <c r="Q494" s="387"/>
    </row>
    <row r="495" spans="15:17" ht="20.100000000000001" customHeight="1">
      <c r="O495" s="387"/>
      <c r="P495" s="387"/>
      <c r="Q495" s="387"/>
    </row>
    <row r="496" spans="15:17" ht="20.100000000000001" customHeight="1">
      <c r="O496" s="387"/>
      <c r="P496" s="387"/>
      <c r="Q496" s="387"/>
    </row>
    <row r="497" spans="15:17" ht="20.100000000000001" customHeight="1">
      <c r="O497" s="387"/>
      <c r="P497" s="387"/>
      <c r="Q497" s="387"/>
    </row>
    <row r="498" spans="15:17" ht="20.100000000000001" customHeight="1">
      <c r="O498" s="387"/>
      <c r="P498" s="387"/>
      <c r="Q498" s="387"/>
    </row>
    <row r="499" spans="15:17" ht="20.100000000000001" customHeight="1">
      <c r="O499" s="387"/>
      <c r="P499" s="387"/>
      <c r="Q499" s="387"/>
    </row>
    <row r="500" spans="15:17" ht="20.100000000000001" customHeight="1">
      <c r="O500" s="387"/>
      <c r="P500" s="387"/>
      <c r="Q500" s="387"/>
    </row>
    <row r="501" spans="15:17" ht="20.100000000000001" customHeight="1">
      <c r="O501" s="387"/>
      <c r="P501" s="387"/>
      <c r="Q501" s="387"/>
    </row>
    <row r="502" spans="15:17" ht="20.100000000000001" customHeight="1">
      <c r="O502" s="387"/>
      <c r="P502" s="387"/>
      <c r="Q502" s="387"/>
    </row>
    <row r="503" spans="15:17" ht="20.100000000000001" customHeight="1">
      <c r="O503" s="387"/>
      <c r="P503" s="387"/>
      <c r="Q503" s="387"/>
    </row>
    <row r="504" spans="15:17" ht="20.100000000000001" customHeight="1">
      <c r="O504" s="387"/>
      <c r="P504" s="387"/>
      <c r="Q504" s="387"/>
    </row>
    <row r="505" spans="15:17" ht="20.100000000000001" customHeight="1">
      <c r="O505" s="387"/>
      <c r="P505" s="387"/>
      <c r="Q505" s="387"/>
    </row>
    <row r="506" spans="15:17" ht="20.100000000000001" customHeight="1">
      <c r="O506" s="387"/>
      <c r="P506" s="387"/>
      <c r="Q506" s="387"/>
    </row>
    <row r="507" spans="15:17" ht="20.100000000000001" customHeight="1">
      <c r="O507" s="387"/>
      <c r="P507" s="387"/>
      <c r="Q507" s="387"/>
    </row>
    <row r="508" spans="15:17" ht="20.100000000000001" customHeight="1">
      <c r="O508" s="387"/>
      <c r="P508" s="387"/>
      <c r="Q508" s="387"/>
    </row>
    <row r="509" spans="15:17" ht="20.100000000000001" customHeight="1">
      <c r="O509" s="387"/>
      <c r="P509" s="387"/>
      <c r="Q509" s="387"/>
    </row>
    <row r="510" spans="15:17" ht="20.100000000000001" customHeight="1">
      <c r="O510" s="387"/>
      <c r="P510" s="387"/>
      <c r="Q510" s="387"/>
    </row>
    <row r="511" spans="15:17" ht="20.100000000000001" customHeight="1">
      <c r="O511" s="387"/>
      <c r="P511" s="387"/>
      <c r="Q511" s="387"/>
    </row>
    <row r="512" spans="15:17" ht="20.100000000000001" customHeight="1">
      <c r="O512" s="387"/>
      <c r="P512" s="387"/>
      <c r="Q512" s="387"/>
    </row>
    <row r="513" spans="15:17" ht="20.100000000000001" customHeight="1">
      <c r="O513" s="387"/>
      <c r="P513" s="387"/>
      <c r="Q513" s="387"/>
    </row>
    <row r="514" spans="15:17" ht="20.100000000000001" customHeight="1">
      <c r="O514" s="387"/>
      <c r="P514" s="387"/>
      <c r="Q514" s="387"/>
    </row>
    <row r="515" spans="15:17" ht="20.100000000000001" customHeight="1">
      <c r="O515" s="387"/>
      <c r="P515" s="387"/>
      <c r="Q515" s="387"/>
    </row>
    <row r="516" spans="15:17" ht="20.100000000000001" customHeight="1">
      <c r="O516" s="387"/>
      <c r="P516" s="387"/>
      <c r="Q516" s="387"/>
    </row>
    <row r="517" spans="15:17" ht="20.100000000000001" customHeight="1">
      <c r="O517" s="387"/>
      <c r="P517" s="387"/>
      <c r="Q517" s="387"/>
    </row>
    <row r="518" spans="15:17" ht="20.100000000000001" customHeight="1">
      <c r="O518" s="387"/>
      <c r="P518" s="387"/>
      <c r="Q518" s="387"/>
    </row>
    <row r="519" spans="15:17" ht="20.100000000000001" customHeight="1">
      <c r="O519" s="387"/>
      <c r="P519" s="387"/>
      <c r="Q519" s="387"/>
    </row>
    <row r="520" spans="15:17" ht="20.100000000000001" customHeight="1">
      <c r="O520" s="387"/>
      <c r="P520" s="387"/>
      <c r="Q520" s="387"/>
    </row>
    <row r="521" spans="15:17" ht="20.100000000000001" customHeight="1">
      <c r="O521" s="387"/>
      <c r="P521" s="387"/>
      <c r="Q521" s="387"/>
    </row>
    <row r="522" spans="15:17" ht="20.100000000000001" customHeight="1">
      <c r="O522" s="387"/>
      <c r="P522" s="387"/>
      <c r="Q522" s="387"/>
    </row>
    <row r="523" spans="15:17" ht="20.100000000000001" customHeight="1">
      <c r="O523" s="387"/>
      <c r="P523" s="387"/>
      <c r="Q523" s="387"/>
    </row>
    <row r="524" spans="15:17" ht="20.100000000000001" customHeight="1">
      <c r="O524" s="387"/>
      <c r="P524" s="387"/>
      <c r="Q524" s="387"/>
    </row>
    <row r="525" spans="15:17" ht="20.100000000000001" customHeight="1">
      <c r="O525" s="387"/>
      <c r="P525" s="387"/>
      <c r="Q525" s="387"/>
    </row>
    <row r="526" spans="15:17" ht="20.100000000000001" customHeight="1">
      <c r="O526" s="387"/>
      <c r="P526" s="387"/>
      <c r="Q526" s="387"/>
    </row>
    <row r="527" spans="15:17" ht="20.100000000000001" customHeight="1">
      <c r="O527" s="387"/>
      <c r="P527" s="387"/>
      <c r="Q527" s="387"/>
    </row>
    <row r="528" spans="15:17" ht="20.100000000000001" customHeight="1">
      <c r="O528" s="387"/>
      <c r="P528" s="387"/>
      <c r="Q528" s="387"/>
    </row>
    <row r="529" spans="15:17" ht="20.100000000000001" customHeight="1">
      <c r="O529" s="387"/>
      <c r="P529" s="387"/>
      <c r="Q529" s="387"/>
    </row>
    <row r="530" spans="15:17" ht="20.100000000000001" customHeight="1">
      <c r="O530" s="387"/>
      <c r="P530" s="387"/>
      <c r="Q530" s="387"/>
    </row>
    <row r="531" spans="15:17" ht="20.100000000000001" customHeight="1">
      <c r="O531" s="387"/>
      <c r="P531" s="387"/>
      <c r="Q531" s="387"/>
    </row>
    <row r="532" spans="15:17" ht="20.100000000000001" customHeight="1">
      <c r="O532" s="387"/>
      <c r="P532" s="387"/>
      <c r="Q532" s="387"/>
    </row>
    <row r="533" spans="15:17" ht="20.100000000000001" customHeight="1">
      <c r="O533" s="387"/>
      <c r="P533" s="387"/>
      <c r="Q533" s="387"/>
    </row>
    <row r="534" spans="15:17" ht="20.100000000000001" customHeight="1">
      <c r="O534" s="387"/>
      <c r="P534" s="387"/>
      <c r="Q534" s="387"/>
    </row>
    <row r="535" spans="15:17" ht="20.100000000000001" customHeight="1">
      <c r="O535" s="387"/>
      <c r="P535" s="387"/>
      <c r="Q535" s="387"/>
    </row>
    <row r="536" spans="15:17" ht="20.100000000000001" customHeight="1">
      <c r="O536" s="387"/>
      <c r="P536" s="387"/>
      <c r="Q536" s="387"/>
    </row>
    <row r="537" spans="15:17" ht="20.100000000000001" customHeight="1">
      <c r="O537" s="387"/>
      <c r="P537" s="387"/>
      <c r="Q537" s="387"/>
    </row>
    <row r="538" spans="15:17" ht="20.100000000000001" customHeight="1">
      <c r="O538" s="387"/>
      <c r="P538" s="387"/>
      <c r="Q538" s="387"/>
    </row>
    <row r="539" spans="15:17" ht="20.100000000000001" customHeight="1">
      <c r="O539" s="387"/>
      <c r="P539" s="387"/>
      <c r="Q539" s="387"/>
    </row>
    <row r="540" spans="15:17" ht="20.100000000000001" customHeight="1">
      <c r="O540" s="387"/>
      <c r="P540" s="387"/>
      <c r="Q540" s="387"/>
    </row>
    <row r="541" spans="15:17" ht="20.100000000000001" customHeight="1">
      <c r="O541" s="387"/>
      <c r="P541" s="387"/>
      <c r="Q541" s="387"/>
    </row>
    <row r="542" spans="15:17" ht="20.100000000000001" customHeight="1">
      <c r="O542" s="387"/>
      <c r="P542" s="387"/>
      <c r="Q542" s="387"/>
    </row>
    <row r="543" spans="15:17" ht="20.100000000000001" customHeight="1">
      <c r="O543" s="387"/>
      <c r="P543" s="387"/>
      <c r="Q543" s="387"/>
    </row>
    <row r="544" spans="15:17" ht="20.100000000000001" customHeight="1">
      <c r="O544" s="387"/>
      <c r="P544" s="387"/>
      <c r="Q544" s="387"/>
    </row>
    <row r="545" spans="15:17" ht="20.100000000000001" customHeight="1">
      <c r="O545" s="387"/>
      <c r="P545" s="387"/>
      <c r="Q545" s="387"/>
    </row>
    <row r="546" spans="15:17" ht="20.100000000000001" customHeight="1">
      <c r="O546" s="387"/>
      <c r="P546" s="387"/>
      <c r="Q546" s="387"/>
    </row>
    <row r="547" spans="15:17" ht="20.100000000000001" customHeight="1">
      <c r="O547" s="387"/>
      <c r="P547" s="387"/>
      <c r="Q547" s="387"/>
    </row>
    <row r="548" spans="15:17" ht="20.100000000000001" customHeight="1">
      <c r="O548" s="387"/>
      <c r="P548" s="387"/>
      <c r="Q548" s="387"/>
    </row>
    <row r="549" spans="15:17" ht="20.100000000000001" customHeight="1">
      <c r="O549" s="387"/>
      <c r="P549" s="387"/>
      <c r="Q549" s="387"/>
    </row>
    <row r="550" spans="15:17" ht="20.100000000000001" customHeight="1">
      <c r="O550" s="387"/>
      <c r="P550" s="387"/>
      <c r="Q550" s="387"/>
    </row>
    <row r="551" spans="15:17" ht="20.100000000000001" customHeight="1">
      <c r="O551" s="387"/>
      <c r="P551" s="387"/>
      <c r="Q551" s="387"/>
    </row>
    <row r="552" spans="15:17" ht="20.100000000000001" customHeight="1">
      <c r="O552" s="387"/>
      <c r="P552" s="387"/>
      <c r="Q552" s="387"/>
    </row>
    <row r="553" spans="15:17" ht="20.100000000000001" customHeight="1">
      <c r="O553" s="387"/>
      <c r="P553" s="387"/>
      <c r="Q553" s="387"/>
    </row>
    <row r="554" spans="15:17" ht="20.100000000000001" customHeight="1">
      <c r="O554" s="387"/>
      <c r="P554" s="387"/>
      <c r="Q554" s="387"/>
    </row>
    <row r="555" spans="15:17" ht="20.100000000000001" customHeight="1">
      <c r="O555" s="387"/>
      <c r="P555" s="387"/>
      <c r="Q555" s="387"/>
    </row>
    <row r="556" spans="15:17" ht="20.100000000000001" customHeight="1">
      <c r="O556" s="387"/>
      <c r="P556" s="387"/>
      <c r="Q556" s="387"/>
    </row>
    <row r="557" spans="15:17" ht="20.100000000000001" customHeight="1">
      <c r="O557" s="387"/>
      <c r="P557" s="387"/>
      <c r="Q557" s="387"/>
    </row>
    <row r="558" spans="15:17" ht="20.100000000000001" customHeight="1">
      <c r="O558" s="387"/>
      <c r="P558" s="387"/>
      <c r="Q558" s="387"/>
    </row>
    <row r="559" spans="15:17" ht="20.100000000000001" customHeight="1">
      <c r="O559" s="387"/>
      <c r="P559" s="387"/>
      <c r="Q559" s="387"/>
    </row>
    <row r="560" spans="15:17" ht="20.100000000000001" customHeight="1">
      <c r="O560" s="387"/>
      <c r="P560" s="387"/>
      <c r="Q560" s="387"/>
    </row>
    <row r="561" spans="15:17" ht="20.100000000000001" customHeight="1">
      <c r="O561" s="387"/>
      <c r="P561" s="387"/>
      <c r="Q561" s="387"/>
    </row>
    <row r="562" spans="15:17" ht="20.100000000000001" customHeight="1">
      <c r="O562" s="387"/>
      <c r="P562" s="387"/>
      <c r="Q562" s="387"/>
    </row>
    <row r="563" spans="15:17" ht="20.100000000000001" customHeight="1">
      <c r="O563" s="387"/>
      <c r="P563" s="387"/>
      <c r="Q563" s="387"/>
    </row>
    <row r="564" spans="15:17" ht="20.100000000000001" customHeight="1">
      <c r="O564" s="387"/>
      <c r="P564" s="387"/>
      <c r="Q564" s="387"/>
    </row>
    <row r="565" spans="15:17" ht="20.100000000000001" customHeight="1">
      <c r="O565" s="387"/>
      <c r="P565" s="387"/>
      <c r="Q565" s="387"/>
    </row>
    <row r="566" spans="15:17" ht="20.100000000000001" customHeight="1">
      <c r="O566" s="387"/>
      <c r="P566" s="387"/>
      <c r="Q566" s="387"/>
    </row>
    <row r="567" spans="15:17" ht="20.100000000000001" customHeight="1">
      <c r="O567" s="387"/>
      <c r="P567" s="387"/>
      <c r="Q567" s="387"/>
    </row>
    <row r="568" spans="15:17" ht="20.100000000000001" customHeight="1">
      <c r="O568" s="387"/>
      <c r="P568" s="387"/>
      <c r="Q568" s="387"/>
    </row>
    <row r="569" spans="15:17" ht="20.100000000000001" customHeight="1">
      <c r="O569" s="387"/>
      <c r="P569" s="387"/>
      <c r="Q569" s="387"/>
    </row>
    <row r="570" spans="15:17" ht="20.100000000000001" customHeight="1">
      <c r="O570" s="387"/>
      <c r="P570" s="387"/>
      <c r="Q570" s="387"/>
    </row>
    <row r="571" spans="15:17" ht="20.100000000000001" customHeight="1">
      <c r="O571" s="387"/>
      <c r="P571" s="387"/>
      <c r="Q571" s="387"/>
    </row>
    <row r="572" spans="15:17" ht="20.100000000000001" customHeight="1">
      <c r="O572" s="387"/>
      <c r="P572" s="387"/>
      <c r="Q572" s="387"/>
    </row>
    <row r="573" spans="15:17" ht="20.100000000000001" customHeight="1">
      <c r="O573" s="387"/>
      <c r="P573" s="387"/>
      <c r="Q573" s="387"/>
    </row>
    <row r="574" spans="15:17" ht="20.100000000000001" customHeight="1">
      <c r="O574" s="387"/>
      <c r="P574" s="387"/>
      <c r="Q574" s="387"/>
    </row>
    <row r="575" spans="15:17" ht="20.100000000000001" customHeight="1">
      <c r="O575" s="387"/>
      <c r="P575" s="387"/>
      <c r="Q575" s="387"/>
    </row>
    <row r="576" spans="15:17" ht="20.100000000000001" customHeight="1">
      <c r="O576" s="387"/>
      <c r="P576" s="387"/>
      <c r="Q576" s="387"/>
    </row>
    <row r="577" spans="15:17" ht="20.100000000000001" customHeight="1">
      <c r="O577" s="387"/>
      <c r="P577" s="387"/>
      <c r="Q577" s="387"/>
    </row>
    <row r="578" spans="15:17" ht="20.100000000000001" customHeight="1">
      <c r="O578" s="387"/>
      <c r="P578" s="387"/>
      <c r="Q578" s="387"/>
    </row>
    <row r="579" spans="15:17" ht="20.100000000000001" customHeight="1">
      <c r="O579" s="387"/>
      <c r="P579" s="387"/>
      <c r="Q579" s="387"/>
    </row>
    <row r="580" spans="15:17" ht="20.100000000000001" customHeight="1">
      <c r="O580" s="387"/>
      <c r="P580" s="387"/>
      <c r="Q580" s="387"/>
    </row>
    <row r="581" spans="15:17" ht="20.100000000000001" customHeight="1">
      <c r="O581" s="387"/>
      <c r="P581" s="387"/>
      <c r="Q581" s="387"/>
    </row>
    <row r="582" spans="15:17" ht="20.100000000000001" customHeight="1">
      <c r="O582" s="387"/>
      <c r="P582" s="387"/>
      <c r="Q582" s="387"/>
    </row>
    <row r="583" spans="15:17" ht="20.100000000000001" customHeight="1">
      <c r="O583" s="387"/>
      <c r="P583" s="387"/>
      <c r="Q583" s="387"/>
    </row>
    <row r="584" spans="15:17" ht="20.100000000000001" customHeight="1">
      <c r="O584" s="387"/>
      <c r="P584" s="387"/>
      <c r="Q584" s="387"/>
    </row>
    <row r="585" spans="15:17" ht="20.100000000000001" customHeight="1">
      <c r="O585" s="387"/>
      <c r="P585" s="387"/>
      <c r="Q585" s="387"/>
    </row>
    <row r="586" spans="15:17" ht="20.100000000000001" customHeight="1">
      <c r="O586" s="387"/>
      <c r="P586" s="387"/>
      <c r="Q586" s="387"/>
    </row>
    <row r="587" spans="15:17" ht="20.100000000000001" customHeight="1">
      <c r="O587" s="387"/>
      <c r="P587" s="387"/>
      <c r="Q587" s="387"/>
    </row>
    <row r="588" spans="15:17" ht="20.100000000000001" customHeight="1">
      <c r="O588" s="387"/>
      <c r="P588" s="387"/>
      <c r="Q588" s="387"/>
    </row>
    <row r="589" spans="15:17" ht="20.100000000000001" customHeight="1">
      <c r="O589" s="387"/>
      <c r="P589" s="387"/>
      <c r="Q589" s="387"/>
    </row>
    <row r="590" spans="15:17" ht="20.100000000000001" customHeight="1">
      <c r="O590" s="387"/>
      <c r="P590" s="387"/>
      <c r="Q590" s="387"/>
    </row>
    <row r="591" spans="15:17" ht="20.100000000000001" customHeight="1">
      <c r="O591" s="387"/>
      <c r="P591" s="387"/>
      <c r="Q591" s="387"/>
    </row>
    <row r="592" spans="15:17" ht="20.100000000000001" customHeight="1">
      <c r="O592" s="387"/>
      <c r="P592" s="387"/>
      <c r="Q592" s="387"/>
    </row>
    <row r="593" spans="15:17" ht="20.100000000000001" customHeight="1">
      <c r="O593" s="387"/>
      <c r="P593" s="387"/>
      <c r="Q593" s="387"/>
    </row>
    <row r="594" spans="15:17" ht="20.100000000000001" customHeight="1">
      <c r="O594" s="387"/>
      <c r="P594" s="387"/>
      <c r="Q594" s="387"/>
    </row>
    <row r="595" spans="15:17" ht="20.100000000000001" customHeight="1">
      <c r="O595" s="387"/>
      <c r="P595" s="387"/>
      <c r="Q595" s="387"/>
    </row>
    <row r="596" spans="15:17" ht="20.100000000000001" customHeight="1">
      <c r="O596" s="387"/>
      <c r="P596" s="387"/>
      <c r="Q596" s="387"/>
    </row>
    <row r="597" spans="15:17" ht="20.100000000000001" customHeight="1">
      <c r="O597" s="387"/>
      <c r="P597" s="387"/>
      <c r="Q597" s="387"/>
    </row>
    <row r="598" spans="15:17" ht="20.100000000000001" customHeight="1">
      <c r="O598" s="387"/>
      <c r="P598" s="387"/>
      <c r="Q598" s="387"/>
    </row>
    <row r="599" spans="15:17" ht="20.100000000000001" customHeight="1">
      <c r="O599" s="387"/>
      <c r="P599" s="387"/>
      <c r="Q599" s="387"/>
    </row>
    <row r="600" spans="15:17" ht="20.100000000000001" customHeight="1">
      <c r="O600" s="387"/>
      <c r="P600" s="387"/>
      <c r="Q600" s="387"/>
    </row>
    <row r="601" spans="15:17" ht="20.100000000000001" customHeight="1">
      <c r="O601" s="387"/>
      <c r="P601" s="387"/>
      <c r="Q601" s="387"/>
    </row>
    <row r="602" spans="15:17" ht="20.100000000000001" customHeight="1">
      <c r="O602" s="387"/>
      <c r="P602" s="387"/>
      <c r="Q602" s="387"/>
    </row>
    <row r="603" spans="15:17" ht="20.100000000000001" customHeight="1">
      <c r="O603" s="387"/>
      <c r="P603" s="387"/>
      <c r="Q603" s="387"/>
    </row>
    <row r="604" spans="15:17" ht="20.100000000000001" customHeight="1">
      <c r="O604" s="387"/>
      <c r="P604" s="387"/>
      <c r="Q604" s="387"/>
    </row>
    <row r="605" spans="15:17" ht="20.100000000000001" customHeight="1">
      <c r="O605" s="387"/>
      <c r="P605" s="387"/>
      <c r="Q605" s="387"/>
    </row>
    <row r="606" spans="15:17" ht="20.100000000000001" customHeight="1">
      <c r="O606" s="387"/>
      <c r="P606" s="387"/>
      <c r="Q606" s="387"/>
    </row>
    <row r="607" spans="15:17" ht="20.100000000000001" customHeight="1">
      <c r="O607" s="387"/>
      <c r="P607" s="387"/>
      <c r="Q607" s="387"/>
    </row>
    <row r="608" spans="15:17" ht="20.100000000000001" customHeight="1">
      <c r="O608" s="387"/>
      <c r="P608" s="387"/>
      <c r="Q608" s="387"/>
    </row>
    <row r="609" spans="15:17" ht="20.100000000000001" customHeight="1">
      <c r="O609" s="387"/>
      <c r="P609" s="387"/>
      <c r="Q609" s="387"/>
    </row>
    <row r="610" spans="15:17" ht="20.100000000000001" customHeight="1">
      <c r="O610" s="387"/>
      <c r="P610" s="387"/>
      <c r="Q610" s="387"/>
    </row>
    <row r="611" spans="15:17" ht="20.100000000000001" customHeight="1">
      <c r="O611" s="387"/>
      <c r="P611" s="387"/>
      <c r="Q611" s="387"/>
    </row>
    <row r="612" spans="15:17" ht="20.100000000000001" customHeight="1">
      <c r="O612" s="387"/>
      <c r="P612" s="387"/>
      <c r="Q612" s="387"/>
    </row>
    <row r="613" spans="15:17" ht="20.100000000000001" customHeight="1">
      <c r="O613" s="387"/>
      <c r="P613" s="387"/>
      <c r="Q613" s="387"/>
    </row>
    <row r="614" spans="15:17" ht="20.100000000000001" customHeight="1">
      <c r="O614" s="387"/>
      <c r="P614" s="387"/>
      <c r="Q614" s="387"/>
    </row>
    <row r="615" spans="15:17" ht="20.100000000000001" customHeight="1">
      <c r="O615" s="387"/>
      <c r="P615" s="387"/>
      <c r="Q615" s="387"/>
    </row>
    <row r="616" spans="15:17" ht="20.100000000000001" customHeight="1">
      <c r="O616" s="387"/>
      <c r="P616" s="387"/>
      <c r="Q616" s="387"/>
    </row>
    <row r="617" spans="15:17" ht="20.100000000000001" customHeight="1">
      <c r="O617" s="387"/>
      <c r="P617" s="387"/>
      <c r="Q617" s="387"/>
    </row>
    <row r="618" spans="15:17" ht="20.100000000000001" customHeight="1">
      <c r="O618" s="387"/>
      <c r="P618" s="387"/>
      <c r="Q618" s="387"/>
    </row>
    <row r="619" spans="15:17" ht="20.100000000000001" customHeight="1">
      <c r="O619" s="387"/>
      <c r="P619" s="387"/>
      <c r="Q619" s="387"/>
    </row>
    <row r="620" spans="15:17" ht="20.100000000000001" customHeight="1">
      <c r="O620" s="387"/>
      <c r="P620" s="387"/>
      <c r="Q620" s="387"/>
    </row>
    <row r="621" spans="15:17" ht="20.100000000000001" customHeight="1">
      <c r="O621" s="387"/>
      <c r="P621" s="387"/>
      <c r="Q621" s="387"/>
    </row>
    <row r="622" spans="15:17" ht="20.100000000000001" customHeight="1">
      <c r="O622" s="387"/>
      <c r="P622" s="387"/>
      <c r="Q622" s="387"/>
    </row>
    <row r="623" spans="15:17" ht="20.100000000000001" customHeight="1">
      <c r="O623" s="387"/>
      <c r="P623" s="387"/>
      <c r="Q623" s="387"/>
    </row>
    <row r="624" spans="15:17" ht="20.100000000000001" customHeight="1">
      <c r="O624" s="387"/>
      <c r="P624" s="387"/>
      <c r="Q624" s="387"/>
    </row>
    <row r="625" spans="15:17" ht="20.100000000000001" customHeight="1">
      <c r="O625" s="387"/>
      <c r="P625" s="387"/>
      <c r="Q625" s="387"/>
    </row>
    <row r="626" spans="15:17" ht="20.100000000000001" customHeight="1">
      <c r="O626" s="387"/>
      <c r="P626" s="387"/>
      <c r="Q626" s="387"/>
    </row>
    <row r="627" spans="15:17" ht="20.100000000000001" customHeight="1">
      <c r="O627" s="387"/>
      <c r="P627" s="387"/>
      <c r="Q627" s="387"/>
    </row>
    <row r="628" spans="15:17" ht="20.100000000000001" customHeight="1">
      <c r="O628" s="387"/>
      <c r="P628" s="387"/>
      <c r="Q628" s="387"/>
    </row>
    <row r="629" spans="15:17" ht="20.100000000000001" customHeight="1">
      <c r="O629" s="387"/>
      <c r="P629" s="387"/>
      <c r="Q629" s="387"/>
    </row>
    <row r="630" spans="15:17" ht="20.100000000000001" customHeight="1">
      <c r="O630" s="387"/>
      <c r="P630" s="387"/>
      <c r="Q630" s="387"/>
    </row>
    <row r="631" spans="15:17" ht="20.100000000000001" customHeight="1">
      <c r="O631" s="387"/>
      <c r="P631" s="387"/>
      <c r="Q631" s="387"/>
    </row>
    <row r="632" spans="15:17" ht="20.100000000000001" customHeight="1">
      <c r="O632" s="387"/>
      <c r="P632" s="387"/>
      <c r="Q632" s="387"/>
    </row>
    <row r="633" spans="15:17" ht="20.100000000000001" customHeight="1">
      <c r="O633" s="387"/>
      <c r="P633" s="387"/>
      <c r="Q633" s="387"/>
    </row>
    <row r="634" spans="15:17" ht="20.100000000000001" customHeight="1">
      <c r="O634" s="387"/>
      <c r="P634" s="387"/>
      <c r="Q634" s="387"/>
    </row>
    <row r="635" spans="15:17" ht="20.100000000000001" customHeight="1">
      <c r="O635" s="387"/>
      <c r="P635" s="387"/>
      <c r="Q635" s="387"/>
    </row>
    <row r="636" spans="15:17" ht="20.100000000000001" customHeight="1">
      <c r="O636" s="387"/>
      <c r="P636" s="387"/>
      <c r="Q636" s="387"/>
    </row>
    <row r="637" spans="15:17" ht="20.100000000000001" customHeight="1">
      <c r="O637" s="387"/>
      <c r="P637" s="387"/>
      <c r="Q637" s="387"/>
    </row>
    <row r="638" spans="15:17" ht="20.100000000000001" customHeight="1">
      <c r="O638" s="387"/>
      <c r="P638" s="387"/>
      <c r="Q638" s="387"/>
    </row>
    <row r="639" spans="15:17" ht="20.100000000000001" customHeight="1">
      <c r="O639" s="387"/>
      <c r="P639" s="387"/>
      <c r="Q639" s="387"/>
    </row>
    <row r="640" spans="15:17" ht="20.100000000000001" customHeight="1">
      <c r="O640" s="387"/>
      <c r="P640" s="387"/>
      <c r="Q640" s="387"/>
    </row>
    <row r="641" spans="15:17" ht="20.100000000000001" customHeight="1">
      <c r="O641" s="387"/>
      <c r="P641" s="387"/>
      <c r="Q641" s="387"/>
    </row>
    <row r="642" spans="15:17" ht="20.100000000000001" customHeight="1">
      <c r="O642" s="387"/>
      <c r="P642" s="387"/>
      <c r="Q642" s="387"/>
    </row>
    <row r="643" spans="15:17" ht="20.100000000000001" customHeight="1">
      <c r="O643" s="387"/>
      <c r="P643" s="387"/>
      <c r="Q643" s="387"/>
    </row>
    <row r="644" spans="15:17" ht="20.100000000000001" customHeight="1">
      <c r="O644" s="387"/>
      <c r="P644" s="387"/>
      <c r="Q644" s="387"/>
    </row>
    <row r="645" spans="15:17" ht="20.100000000000001" customHeight="1">
      <c r="O645" s="387"/>
      <c r="P645" s="387"/>
      <c r="Q645" s="387"/>
    </row>
    <row r="646" spans="15:17" ht="20.100000000000001" customHeight="1">
      <c r="O646" s="387"/>
      <c r="P646" s="387"/>
      <c r="Q646" s="387"/>
    </row>
    <row r="647" spans="15:17" ht="20.100000000000001" customHeight="1">
      <c r="O647" s="387"/>
      <c r="P647" s="387"/>
      <c r="Q647" s="387"/>
    </row>
    <row r="648" spans="15:17" ht="20.100000000000001" customHeight="1">
      <c r="O648" s="387"/>
      <c r="P648" s="387"/>
      <c r="Q648" s="387"/>
    </row>
    <row r="649" spans="15:17" ht="20.100000000000001" customHeight="1">
      <c r="O649" s="387"/>
      <c r="P649" s="387"/>
      <c r="Q649" s="387"/>
    </row>
    <row r="650" spans="15:17" ht="20.100000000000001" customHeight="1">
      <c r="O650" s="387"/>
      <c r="P650" s="387"/>
      <c r="Q650" s="387"/>
    </row>
    <row r="651" spans="15:17" ht="20.100000000000001" customHeight="1">
      <c r="O651" s="387"/>
      <c r="P651" s="387"/>
      <c r="Q651" s="387"/>
    </row>
    <row r="652" spans="15:17" ht="20.100000000000001" customHeight="1">
      <c r="O652" s="387"/>
      <c r="P652" s="387"/>
      <c r="Q652" s="387"/>
    </row>
    <row r="653" spans="15:17" ht="20.100000000000001" customHeight="1">
      <c r="O653" s="387"/>
      <c r="P653" s="387"/>
      <c r="Q653" s="387"/>
    </row>
    <row r="654" spans="15:17" ht="20.100000000000001" customHeight="1">
      <c r="O654" s="387"/>
      <c r="P654" s="387"/>
      <c r="Q654" s="387"/>
    </row>
    <row r="655" spans="15:17" ht="20.100000000000001" customHeight="1">
      <c r="O655" s="387"/>
      <c r="P655" s="387"/>
      <c r="Q655" s="387"/>
    </row>
    <row r="656" spans="15:17" ht="20.100000000000001" customHeight="1">
      <c r="O656" s="387"/>
      <c r="P656" s="387"/>
      <c r="Q656" s="387"/>
    </row>
    <row r="657" spans="15:17" ht="20.100000000000001" customHeight="1">
      <c r="O657" s="387"/>
      <c r="P657" s="387"/>
      <c r="Q657" s="387"/>
    </row>
    <row r="658" spans="15:17" ht="20.100000000000001" customHeight="1">
      <c r="O658" s="387"/>
      <c r="P658" s="387"/>
      <c r="Q658" s="387"/>
    </row>
    <row r="659" spans="15:17" ht="20.100000000000001" customHeight="1">
      <c r="O659" s="387"/>
      <c r="P659" s="387"/>
      <c r="Q659" s="387"/>
    </row>
    <row r="660" spans="15:17" ht="20.100000000000001" customHeight="1">
      <c r="O660" s="387"/>
      <c r="P660" s="387"/>
      <c r="Q660" s="387"/>
    </row>
    <row r="661" spans="15:17" ht="20.100000000000001" customHeight="1">
      <c r="O661" s="387"/>
      <c r="P661" s="387"/>
      <c r="Q661" s="387"/>
    </row>
    <row r="662" spans="15:17" ht="20.100000000000001" customHeight="1">
      <c r="O662" s="387"/>
      <c r="P662" s="387"/>
      <c r="Q662" s="387"/>
    </row>
    <row r="663" spans="15:17" ht="20.100000000000001" customHeight="1">
      <c r="O663" s="387"/>
      <c r="P663" s="387"/>
      <c r="Q663" s="387"/>
    </row>
    <row r="664" spans="15:17" ht="20.100000000000001" customHeight="1">
      <c r="O664" s="387"/>
      <c r="P664" s="387"/>
      <c r="Q664" s="387"/>
    </row>
    <row r="665" spans="15:17" ht="20.100000000000001" customHeight="1">
      <c r="O665" s="387"/>
      <c r="P665" s="387"/>
      <c r="Q665" s="387"/>
    </row>
    <row r="666" spans="15:17" ht="20.100000000000001" customHeight="1">
      <c r="O666" s="387"/>
      <c r="P666" s="387"/>
      <c r="Q666" s="387"/>
    </row>
    <row r="667" spans="15:17" ht="20.100000000000001" customHeight="1">
      <c r="O667" s="387"/>
      <c r="P667" s="387"/>
      <c r="Q667" s="387"/>
    </row>
    <row r="668" spans="15:17" ht="20.100000000000001" customHeight="1">
      <c r="O668" s="387"/>
      <c r="P668" s="387"/>
      <c r="Q668" s="387"/>
    </row>
    <row r="669" spans="15:17" ht="20.100000000000001" customHeight="1">
      <c r="O669" s="387"/>
      <c r="P669" s="387"/>
      <c r="Q669" s="387"/>
    </row>
    <row r="670" spans="15:17" ht="20.100000000000001" customHeight="1">
      <c r="O670" s="387"/>
      <c r="P670" s="387"/>
      <c r="Q670" s="387"/>
    </row>
    <row r="671" spans="15:17" ht="20.100000000000001" customHeight="1">
      <c r="O671" s="387"/>
      <c r="P671" s="387"/>
      <c r="Q671" s="387"/>
    </row>
    <row r="672" spans="15:17" ht="20.100000000000001" customHeight="1">
      <c r="O672" s="387"/>
      <c r="P672" s="387"/>
      <c r="Q672" s="387"/>
    </row>
    <row r="673" spans="15:17" ht="20.100000000000001" customHeight="1">
      <c r="O673" s="387"/>
      <c r="P673" s="387"/>
      <c r="Q673" s="387"/>
    </row>
    <row r="674" spans="15:17" ht="20.100000000000001" customHeight="1">
      <c r="O674" s="387"/>
      <c r="P674" s="387"/>
      <c r="Q674" s="387"/>
    </row>
    <row r="675" spans="15:17" ht="20.100000000000001" customHeight="1">
      <c r="O675" s="387"/>
      <c r="P675" s="387"/>
      <c r="Q675" s="387"/>
    </row>
    <row r="676" spans="15:17" ht="20.100000000000001" customHeight="1">
      <c r="O676" s="387"/>
      <c r="P676" s="387"/>
      <c r="Q676" s="387"/>
    </row>
    <row r="677" spans="15:17" ht="20.100000000000001" customHeight="1">
      <c r="O677" s="387"/>
      <c r="P677" s="387"/>
      <c r="Q677" s="387"/>
    </row>
    <row r="678" spans="15:17" ht="20.100000000000001" customHeight="1">
      <c r="O678" s="387"/>
      <c r="P678" s="387"/>
      <c r="Q678" s="387"/>
    </row>
    <row r="679" spans="15:17" ht="20.100000000000001" customHeight="1">
      <c r="O679" s="387"/>
      <c r="P679" s="387"/>
      <c r="Q679" s="387"/>
    </row>
    <row r="680" spans="15:17" ht="20.100000000000001" customHeight="1">
      <c r="O680" s="387"/>
      <c r="P680" s="387"/>
      <c r="Q680" s="387"/>
    </row>
    <row r="681" spans="15:17" ht="20.100000000000001" customHeight="1">
      <c r="O681" s="387"/>
      <c r="P681" s="387"/>
      <c r="Q681" s="387"/>
    </row>
    <row r="682" spans="15:17" ht="20.100000000000001" customHeight="1">
      <c r="O682" s="387"/>
      <c r="P682" s="387"/>
      <c r="Q682" s="387"/>
    </row>
    <row r="683" spans="15:17" ht="20.100000000000001" customHeight="1">
      <c r="O683" s="387"/>
      <c r="P683" s="387"/>
      <c r="Q683" s="387"/>
    </row>
    <row r="684" spans="15:17" ht="20.100000000000001" customHeight="1">
      <c r="O684" s="387"/>
      <c r="P684" s="387"/>
      <c r="Q684" s="387"/>
    </row>
    <row r="685" spans="15:17" ht="20.100000000000001" customHeight="1">
      <c r="O685" s="387"/>
      <c r="P685" s="387"/>
      <c r="Q685" s="387"/>
    </row>
    <row r="686" spans="15:17" ht="20.100000000000001" customHeight="1">
      <c r="O686" s="387"/>
      <c r="P686" s="387"/>
      <c r="Q686" s="387"/>
    </row>
    <row r="687" spans="15:17" ht="20.100000000000001" customHeight="1">
      <c r="O687" s="387"/>
      <c r="P687" s="387"/>
      <c r="Q687" s="387"/>
    </row>
    <row r="688" spans="15:17" ht="20.100000000000001" customHeight="1">
      <c r="O688" s="387"/>
      <c r="P688" s="387"/>
      <c r="Q688" s="387"/>
    </row>
    <row r="689" spans="15:17" ht="20.100000000000001" customHeight="1">
      <c r="O689" s="387"/>
      <c r="P689" s="387"/>
      <c r="Q689" s="387"/>
    </row>
    <row r="690" spans="15:17" ht="20.100000000000001" customHeight="1">
      <c r="O690" s="387"/>
      <c r="P690" s="387"/>
      <c r="Q690" s="387"/>
    </row>
    <row r="691" spans="15:17" ht="20.100000000000001" customHeight="1">
      <c r="O691" s="387"/>
      <c r="P691" s="387"/>
      <c r="Q691" s="387"/>
    </row>
    <row r="692" spans="15:17" ht="20.100000000000001" customHeight="1">
      <c r="O692" s="387"/>
      <c r="P692" s="387"/>
      <c r="Q692" s="387"/>
    </row>
    <row r="693" spans="15:17" ht="20.100000000000001" customHeight="1">
      <c r="O693" s="387"/>
      <c r="P693" s="387"/>
      <c r="Q693" s="387"/>
    </row>
    <row r="694" spans="15:17" ht="20.100000000000001" customHeight="1">
      <c r="O694" s="387"/>
      <c r="P694" s="387"/>
      <c r="Q694" s="387"/>
    </row>
    <row r="695" spans="15:17" ht="20.100000000000001" customHeight="1">
      <c r="O695" s="387"/>
      <c r="P695" s="387"/>
      <c r="Q695" s="387"/>
    </row>
    <row r="696" spans="15:17" ht="20.100000000000001" customHeight="1">
      <c r="O696" s="387"/>
      <c r="P696" s="387"/>
      <c r="Q696" s="387"/>
    </row>
    <row r="697" spans="15:17" ht="20.100000000000001" customHeight="1">
      <c r="O697" s="387"/>
      <c r="P697" s="387"/>
      <c r="Q697" s="387"/>
    </row>
    <row r="698" spans="15:17" ht="20.100000000000001" customHeight="1">
      <c r="O698" s="387"/>
      <c r="P698" s="387"/>
      <c r="Q698" s="387"/>
    </row>
    <row r="699" spans="15:17" ht="20.100000000000001" customHeight="1">
      <c r="O699" s="387"/>
      <c r="P699" s="387"/>
      <c r="Q699" s="387"/>
    </row>
    <row r="700" spans="15:17" ht="20.100000000000001" customHeight="1">
      <c r="O700" s="387"/>
      <c r="P700" s="387"/>
      <c r="Q700" s="387"/>
    </row>
    <row r="701" spans="15:17" ht="20.100000000000001" customHeight="1">
      <c r="O701" s="387"/>
      <c r="P701" s="387"/>
      <c r="Q701" s="387"/>
    </row>
    <row r="702" spans="15:17" ht="20.100000000000001" customHeight="1">
      <c r="O702" s="387"/>
      <c r="P702" s="387"/>
      <c r="Q702" s="387"/>
    </row>
    <row r="703" spans="15:17" ht="20.100000000000001" customHeight="1">
      <c r="O703" s="387"/>
      <c r="P703" s="387"/>
      <c r="Q703" s="387"/>
    </row>
    <row r="704" spans="15:17" ht="20.100000000000001" customHeight="1">
      <c r="O704" s="387"/>
      <c r="P704" s="387"/>
      <c r="Q704" s="387"/>
    </row>
    <row r="705" spans="15:17" ht="20.100000000000001" customHeight="1">
      <c r="O705" s="387"/>
      <c r="P705" s="387"/>
      <c r="Q705" s="387"/>
    </row>
    <row r="706" spans="15:17" ht="20.100000000000001" customHeight="1">
      <c r="O706" s="387"/>
      <c r="P706" s="387"/>
      <c r="Q706" s="387"/>
    </row>
    <row r="707" spans="15:17" ht="20.100000000000001" customHeight="1">
      <c r="O707" s="387"/>
      <c r="P707" s="387"/>
      <c r="Q707" s="387"/>
    </row>
    <row r="708" spans="15:17" ht="20.100000000000001" customHeight="1">
      <c r="O708" s="387"/>
      <c r="P708" s="387"/>
      <c r="Q708" s="387"/>
    </row>
    <row r="709" spans="15:17" ht="20.100000000000001" customHeight="1">
      <c r="O709" s="387"/>
      <c r="P709" s="387"/>
      <c r="Q709" s="387"/>
    </row>
    <row r="710" spans="15:17" ht="20.100000000000001" customHeight="1">
      <c r="O710" s="387"/>
      <c r="P710" s="387"/>
      <c r="Q710" s="387"/>
    </row>
    <row r="711" spans="15:17" ht="20.100000000000001" customHeight="1">
      <c r="O711" s="387"/>
      <c r="P711" s="387"/>
      <c r="Q711" s="387"/>
    </row>
    <row r="712" spans="15:17" ht="20.100000000000001" customHeight="1">
      <c r="O712" s="387"/>
      <c r="P712" s="387"/>
      <c r="Q712" s="387"/>
    </row>
    <row r="713" spans="15:17" ht="20.100000000000001" customHeight="1">
      <c r="O713" s="387"/>
      <c r="P713" s="387"/>
      <c r="Q713" s="387"/>
    </row>
    <row r="714" spans="15:17" ht="20.100000000000001" customHeight="1">
      <c r="O714" s="387"/>
      <c r="P714" s="387"/>
      <c r="Q714" s="387"/>
    </row>
    <row r="715" spans="15:17" ht="20.100000000000001" customHeight="1">
      <c r="O715" s="387"/>
      <c r="P715" s="387"/>
      <c r="Q715" s="387"/>
    </row>
    <row r="716" spans="15:17" ht="20.100000000000001" customHeight="1">
      <c r="O716" s="387"/>
      <c r="P716" s="387"/>
      <c r="Q716" s="387"/>
    </row>
    <row r="717" spans="15:17" ht="20.100000000000001" customHeight="1">
      <c r="O717" s="387"/>
      <c r="P717" s="387"/>
      <c r="Q717" s="387"/>
    </row>
    <row r="718" spans="15:17" ht="20.100000000000001" customHeight="1">
      <c r="O718" s="387"/>
      <c r="P718" s="387"/>
      <c r="Q718" s="387"/>
    </row>
    <row r="719" spans="15:17" ht="20.100000000000001" customHeight="1">
      <c r="O719" s="387"/>
      <c r="P719" s="387"/>
      <c r="Q719" s="387"/>
    </row>
    <row r="720" spans="15:17" ht="20.100000000000001" customHeight="1">
      <c r="O720" s="387"/>
      <c r="P720" s="387"/>
      <c r="Q720" s="387"/>
    </row>
    <row r="721" spans="15:17" ht="20.100000000000001" customHeight="1">
      <c r="O721" s="387"/>
      <c r="P721" s="387"/>
      <c r="Q721" s="387"/>
    </row>
    <row r="722" spans="15:17" ht="20.100000000000001" customHeight="1">
      <c r="O722" s="387"/>
      <c r="P722" s="387"/>
      <c r="Q722" s="387"/>
    </row>
    <row r="723" spans="15:17" ht="20.100000000000001" customHeight="1">
      <c r="O723" s="387"/>
      <c r="P723" s="387"/>
      <c r="Q723" s="387"/>
    </row>
    <row r="724" spans="15:17" ht="20.100000000000001" customHeight="1">
      <c r="O724" s="387"/>
      <c r="P724" s="387"/>
      <c r="Q724" s="387"/>
    </row>
    <row r="725" spans="15:17" ht="20.100000000000001" customHeight="1">
      <c r="O725" s="387"/>
      <c r="P725" s="387"/>
      <c r="Q725" s="387"/>
    </row>
    <row r="726" spans="15:17" ht="20.100000000000001" customHeight="1">
      <c r="O726" s="387"/>
      <c r="P726" s="387"/>
      <c r="Q726" s="387"/>
    </row>
    <row r="727" spans="15:17" ht="20.100000000000001" customHeight="1">
      <c r="O727" s="387"/>
      <c r="P727" s="387"/>
      <c r="Q727" s="387"/>
    </row>
    <row r="728" spans="15:17" ht="20.100000000000001" customHeight="1">
      <c r="O728" s="387"/>
      <c r="P728" s="387"/>
      <c r="Q728" s="387"/>
    </row>
    <row r="729" spans="15:17" ht="20.100000000000001" customHeight="1">
      <c r="O729" s="387"/>
      <c r="P729" s="387"/>
      <c r="Q729" s="387"/>
    </row>
    <row r="730" spans="15:17" ht="20.100000000000001" customHeight="1">
      <c r="O730" s="387"/>
      <c r="P730" s="387"/>
      <c r="Q730" s="387"/>
    </row>
    <row r="731" spans="15:17" ht="20.100000000000001" customHeight="1">
      <c r="O731" s="387"/>
      <c r="P731" s="387"/>
      <c r="Q731" s="387"/>
    </row>
    <row r="732" spans="15:17" ht="20.100000000000001" customHeight="1">
      <c r="O732" s="387"/>
      <c r="P732" s="387"/>
      <c r="Q732" s="387"/>
    </row>
    <row r="733" spans="15:17" ht="20.100000000000001" customHeight="1">
      <c r="O733" s="387"/>
      <c r="P733" s="387"/>
      <c r="Q733" s="387"/>
    </row>
    <row r="734" spans="15:17" ht="20.100000000000001" customHeight="1">
      <c r="O734" s="387"/>
      <c r="P734" s="387"/>
      <c r="Q734" s="387"/>
    </row>
    <row r="735" spans="15:17" ht="20.100000000000001" customHeight="1">
      <c r="O735" s="387"/>
      <c r="P735" s="387"/>
      <c r="Q735" s="387"/>
    </row>
    <row r="736" spans="15:17" ht="20.100000000000001" customHeight="1">
      <c r="O736" s="387"/>
      <c r="P736" s="387"/>
      <c r="Q736" s="387"/>
    </row>
    <row r="737" spans="15:17" ht="20.100000000000001" customHeight="1">
      <c r="O737" s="387"/>
      <c r="P737" s="387"/>
      <c r="Q737" s="387"/>
    </row>
    <row r="738" spans="15:17" ht="20.100000000000001" customHeight="1">
      <c r="O738" s="387"/>
      <c r="P738" s="387"/>
      <c r="Q738" s="387"/>
    </row>
    <row r="739" spans="15:17" ht="20.100000000000001" customHeight="1">
      <c r="O739" s="387"/>
      <c r="P739" s="387"/>
      <c r="Q739" s="387"/>
    </row>
    <row r="740" spans="15:17" ht="20.100000000000001" customHeight="1">
      <c r="O740" s="387"/>
      <c r="P740" s="387"/>
      <c r="Q740" s="387"/>
    </row>
    <row r="741" spans="15:17" ht="20.100000000000001" customHeight="1">
      <c r="O741" s="387"/>
      <c r="P741" s="387"/>
      <c r="Q741" s="387"/>
    </row>
    <row r="742" spans="15:17" ht="20.100000000000001" customHeight="1">
      <c r="O742" s="387"/>
      <c r="P742" s="387"/>
      <c r="Q742" s="387"/>
    </row>
    <row r="743" spans="15:17" ht="20.100000000000001" customHeight="1">
      <c r="O743" s="387"/>
      <c r="P743" s="387"/>
      <c r="Q743" s="387"/>
    </row>
    <row r="744" spans="15:17" ht="20.100000000000001" customHeight="1">
      <c r="O744" s="387"/>
      <c r="P744" s="387"/>
      <c r="Q744" s="387"/>
    </row>
    <row r="745" spans="15:17" ht="20.100000000000001" customHeight="1">
      <c r="O745" s="387"/>
      <c r="P745" s="387"/>
      <c r="Q745" s="387"/>
    </row>
    <row r="746" spans="15:17" ht="20.100000000000001" customHeight="1">
      <c r="O746" s="387"/>
      <c r="P746" s="387"/>
      <c r="Q746" s="387"/>
    </row>
    <row r="747" spans="15:17" ht="20.100000000000001" customHeight="1">
      <c r="O747" s="387"/>
      <c r="P747" s="387"/>
      <c r="Q747" s="387"/>
    </row>
    <row r="748" spans="15:17" ht="20.100000000000001" customHeight="1">
      <c r="O748" s="387"/>
      <c r="P748" s="387"/>
      <c r="Q748" s="387"/>
    </row>
    <row r="749" spans="15:17" ht="20.100000000000001" customHeight="1">
      <c r="O749" s="387"/>
      <c r="P749" s="387"/>
      <c r="Q749" s="387"/>
    </row>
    <row r="750" spans="15:17" ht="20.100000000000001" customHeight="1">
      <c r="O750" s="387"/>
      <c r="P750" s="387"/>
      <c r="Q750" s="387"/>
    </row>
    <row r="751" spans="15:17" ht="20.100000000000001" customHeight="1">
      <c r="O751" s="387"/>
      <c r="P751" s="387"/>
      <c r="Q751" s="387"/>
    </row>
    <row r="752" spans="15:17" ht="20.100000000000001" customHeight="1">
      <c r="O752" s="387"/>
      <c r="P752" s="387"/>
      <c r="Q752" s="387"/>
    </row>
    <row r="753" spans="15:17" ht="20.100000000000001" customHeight="1">
      <c r="O753" s="387"/>
      <c r="P753" s="387"/>
      <c r="Q753" s="387"/>
    </row>
    <row r="754" spans="15:17" ht="20.100000000000001" customHeight="1">
      <c r="O754" s="387"/>
      <c r="P754" s="387"/>
      <c r="Q754" s="387"/>
    </row>
    <row r="755" spans="15:17" ht="20.100000000000001" customHeight="1">
      <c r="O755" s="387"/>
      <c r="P755" s="387"/>
      <c r="Q755" s="387"/>
    </row>
    <row r="756" spans="15:17" ht="20.100000000000001" customHeight="1">
      <c r="O756" s="387"/>
      <c r="P756" s="387"/>
      <c r="Q756" s="387"/>
    </row>
    <row r="757" spans="15:17" ht="20.100000000000001" customHeight="1">
      <c r="O757" s="387"/>
      <c r="P757" s="387"/>
      <c r="Q757" s="387"/>
    </row>
    <row r="758" spans="15:17" ht="20.100000000000001" customHeight="1">
      <c r="O758" s="387"/>
      <c r="P758" s="387"/>
      <c r="Q758" s="387"/>
    </row>
    <row r="759" spans="15:17" ht="20.100000000000001" customHeight="1">
      <c r="O759" s="387"/>
      <c r="P759" s="387"/>
      <c r="Q759" s="387"/>
    </row>
    <row r="760" spans="15:17" ht="20.100000000000001" customHeight="1">
      <c r="O760" s="387"/>
      <c r="P760" s="387"/>
      <c r="Q760" s="387"/>
    </row>
    <row r="761" spans="15:17" ht="20.100000000000001" customHeight="1">
      <c r="O761" s="387"/>
      <c r="P761" s="387"/>
      <c r="Q761" s="387"/>
    </row>
    <row r="762" spans="15:17" ht="20.100000000000001" customHeight="1">
      <c r="O762" s="387"/>
      <c r="P762" s="387"/>
      <c r="Q762" s="387"/>
    </row>
    <row r="763" spans="15:17" ht="20.100000000000001" customHeight="1">
      <c r="O763" s="387"/>
      <c r="P763" s="387"/>
      <c r="Q763" s="387"/>
    </row>
    <row r="764" spans="15:17" ht="20.100000000000001" customHeight="1">
      <c r="O764" s="387"/>
      <c r="P764" s="387"/>
      <c r="Q764" s="387"/>
    </row>
    <row r="765" spans="15:17" ht="20.100000000000001" customHeight="1">
      <c r="O765" s="387"/>
      <c r="P765" s="387"/>
      <c r="Q765" s="387"/>
    </row>
    <row r="766" spans="15:17" ht="20.100000000000001" customHeight="1">
      <c r="O766" s="387"/>
      <c r="P766" s="387"/>
      <c r="Q766" s="387"/>
    </row>
    <row r="767" spans="15:17" ht="20.100000000000001" customHeight="1">
      <c r="O767" s="387"/>
      <c r="P767" s="387"/>
      <c r="Q767" s="387"/>
    </row>
    <row r="768" spans="15:17" ht="20.100000000000001" customHeight="1">
      <c r="O768" s="387"/>
      <c r="P768" s="387"/>
      <c r="Q768" s="387"/>
    </row>
    <row r="769" spans="15:17" ht="20.100000000000001" customHeight="1">
      <c r="O769" s="387"/>
      <c r="P769" s="387"/>
      <c r="Q769" s="387"/>
    </row>
    <row r="770" spans="15:17" ht="20.100000000000001" customHeight="1">
      <c r="O770" s="387"/>
      <c r="P770" s="387"/>
      <c r="Q770" s="387"/>
    </row>
    <row r="771" spans="15:17" ht="20.100000000000001" customHeight="1">
      <c r="O771" s="387"/>
      <c r="P771" s="387"/>
      <c r="Q771" s="387"/>
    </row>
    <row r="772" spans="15:17" ht="20.100000000000001" customHeight="1">
      <c r="O772" s="387"/>
      <c r="P772" s="387"/>
      <c r="Q772" s="387"/>
    </row>
    <row r="773" spans="15:17" ht="20.100000000000001" customHeight="1">
      <c r="O773" s="387"/>
      <c r="P773" s="387"/>
      <c r="Q773" s="387"/>
    </row>
    <row r="774" spans="15:17" ht="20.100000000000001" customHeight="1">
      <c r="O774" s="387"/>
      <c r="P774" s="387"/>
      <c r="Q774" s="387"/>
    </row>
    <row r="775" spans="15:17" ht="20.100000000000001" customHeight="1">
      <c r="O775" s="387"/>
      <c r="P775" s="387"/>
      <c r="Q775" s="387"/>
    </row>
    <row r="776" spans="15:17" ht="20.100000000000001" customHeight="1">
      <c r="O776" s="387"/>
      <c r="P776" s="387"/>
      <c r="Q776" s="387"/>
    </row>
    <row r="777" spans="15:17" ht="20.100000000000001" customHeight="1">
      <c r="O777" s="387"/>
      <c r="P777" s="387"/>
      <c r="Q777" s="387"/>
    </row>
    <row r="778" spans="15:17" ht="20.100000000000001" customHeight="1">
      <c r="O778" s="387"/>
      <c r="P778" s="387"/>
      <c r="Q778" s="387"/>
    </row>
    <row r="779" spans="15:17" ht="20.100000000000001" customHeight="1">
      <c r="O779" s="387"/>
      <c r="P779" s="387"/>
      <c r="Q779" s="387"/>
    </row>
    <row r="780" spans="15:17" ht="20.100000000000001" customHeight="1">
      <c r="O780" s="387"/>
      <c r="P780" s="387"/>
      <c r="Q780" s="387"/>
    </row>
    <row r="781" spans="15:17" ht="20.100000000000001" customHeight="1">
      <c r="O781" s="387"/>
      <c r="P781" s="387"/>
      <c r="Q781" s="387"/>
    </row>
    <row r="782" spans="15:17" ht="20.100000000000001" customHeight="1">
      <c r="O782" s="387"/>
      <c r="P782" s="387"/>
      <c r="Q782" s="387"/>
    </row>
    <row r="783" spans="15:17" ht="20.100000000000001" customHeight="1">
      <c r="O783" s="387"/>
      <c r="P783" s="387"/>
      <c r="Q783" s="387"/>
    </row>
    <row r="784" spans="15:17" ht="20.100000000000001" customHeight="1">
      <c r="O784" s="387"/>
      <c r="P784" s="387"/>
      <c r="Q784" s="387"/>
    </row>
    <row r="785" spans="15:17" ht="20.100000000000001" customHeight="1">
      <c r="O785" s="387"/>
      <c r="P785" s="387"/>
      <c r="Q785" s="387"/>
    </row>
    <row r="786" spans="15:17" ht="20.100000000000001" customHeight="1">
      <c r="O786" s="387"/>
      <c r="P786" s="387"/>
      <c r="Q786" s="387"/>
    </row>
    <row r="787" spans="15:17" ht="20.100000000000001" customHeight="1">
      <c r="O787" s="387"/>
      <c r="P787" s="387"/>
      <c r="Q787" s="387"/>
    </row>
    <row r="788" spans="15:17" ht="20.100000000000001" customHeight="1">
      <c r="O788" s="387"/>
      <c r="P788" s="387"/>
      <c r="Q788" s="387"/>
    </row>
    <row r="789" spans="15:17" ht="20.100000000000001" customHeight="1">
      <c r="O789" s="387"/>
      <c r="P789" s="387"/>
      <c r="Q789" s="387"/>
    </row>
    <row r="790" spans="15:17" ht="20.100000000000001" customHeight="1">
      <c r="O790" s="387"/>
      <c r="P790" s="387"/>
      <c r="Q790" s="387"/>
    </row>
    <row r="791" spans="15:17" ht="20.100000000000001" customHeight="1">
      <c r="O791" s="387"/>
      <c r="P791" s="387"/>
      <c r="Q791" s="387"/>
    </row>
    <row r="792" spans="15:17" ht="20.100000000000001" customHeight="1">
      <c r="O792" s="387"/>
      <c r="P792" s="387"/>
      <c r="Q792" s="387"/>
    </row>
    <row r="793" spans="15:17" ht="20.100000000000001" customHeight="1">
      <c r="O793" s="387"/>
      <c r="P793" s="387"/>
      <c r="Q793" s="387"/>
    </row>
    <row r="794" spans="15:17" ht="20.100000000000001" customHeight="1">
      <c r="O794" s="387"/>
      <c r="P794" s="387"/>
      <c r="Q794" s="387"/>
    </row>
    <row r="795" spans="15:17" ht="20.100000000000001" customHeight="1">
      <c r="O795" s="387"/>
      <c r="P795" s="387"/>
      <c r="Q795" s="387"/>
    </row>
    <row r="796" spans="15:17" ht="20.100000000000001" customHeight="1">
      <c r="O796" s="387"/>
      <c r="P796" s="387"/>
      <c r="Q796" s="387"/>
    </row>
    <row r="797" spans="15:17" ht="20.100000000000001" customHeight="1">
      <c r="O797" s="387"/>
      <c r="P797" s="387"/>
      <c r="Q797" s="387"/>
    </row>
    <row r="798" spans="15:17" ht="20.100000000000001" customHeight="1">
      <c r="O798" s="387"/>
      <c r="P798" s="387"/>
      <c r="Q798" s="387"/>
    </row>
    <row r="799" spans="15:17" ht="20.100000000000001" customHeight="1">
      <c r="O799" s="387"/>
      <c r="P799" s="387"/>
      <c r="Q799" s="387"/>
    </row>
    <row r="800" spans="15:17" ht="20.100000000000001" customHeight="1">
      <c r="O800" s="387"/>
      <c r="P800" s="387"/>
      <c r="Q800" s="387"/>
    </row>
    <row r="801" spans="15:17" ht="20.100000000000001" customHeight="1">
      <c r="O801" s="387"/>
      <c r="P801" s="387"/>
      <c r="Q801" s="387"/>
    </row>
    <row r="802" spans="15:17" ht="20.100000000000001" customHeight="1">
      <c r="O802" s="387"/>
      <c r="P802" s="387"/>
      <c r="Q802" s="387"/>
    </row>
    <row r="803" spans="15:17" ht="20.100000000000001" customHeight="1">
      <c r="O803" s="387"/>
      <c r="P803" s="387"/>
      <c r="Q803" s="387"/>
    </row>
    <row r="804" spans="15:17" ht="20.100000000000001" customHeight="1">
      <c r="O804" s="387"/>
      <c r="P804" s="387"/>
      <c r="Q804" s="387"/>
    </row>
    <row r="805" spans="15:17" ht="20.100000000000001" customHeight="1">
      <c r="O805" s="387"/>
      <c r="P805" s="387"/>
      <c r="Q805" s="387"/>
    </row>
    <row r="806" spans="15:17" ht="20.100000000000001" customHeight="1">
      <c r="O806" s="387"/>
      <c r="P806" s="387"/>
      <c r="Q806" s="387"/>
    </row>
    <row r="807" spans="15:17" ht="20.100000000000001" customHeight="1">
      <c r="O807" s="387"/>
      <c r="P807" s="387"/>
      <c r="Q807" s="387"/>
    </row>
    <row r="808" spans="15:17" ht="20.100000000000001" customHeight="1">
      <c r="O808" s="387"/>
      <c r="P808" s="387"/>
      <c r="Q808" s="387"/>
    </row>
    <row r="809" spans="15:17" ht="20.100000000000001" customHeight="1">
      <c r="O809" s="387"/>
      <c r="P809" s="387"/>
      <c r="Q809" s="387"/>
    </row>
    <row r="810" spans="15:17" ht="20.100000000000001" customHeight="1">
      <c r="O810" s="387"/>
      <c r="P810" s="387"/>
      <c r="Q810" s="387"/>
    </row>
    <row r="811" spans="15:17" ht="20.100000000000001" customHeight="1">
      <c r="O811" s="387"/>
      <c r="P811" s="387"/>
      <c r="Q811" s="387"/>
    </row>
    <row r="812" spans="15:17" ht="20.100000000000001" customHeight="1">
      <c r="O812" s="387"/>
      <c r="P812" s="387"/>
      <c r="Q812" s="387"/>
    </row>
    <row r="813" spans="15:17" ht="20.100000000000001" customHeight="1">
      <c r="O813" s="387"/>
      <c r="P813" s="387"/>
      <c r="Q813" s="387"/>
    </row>
    <row r="814" spans="15:17" ht="20.100000000000001" customHeight="1">
      <c r="O814" s="387"/>
      <c r="P814" s="387"/>
      <c r="Q814" s="387"/>
    </row>
    <row r="815" spans="15:17" ht="20.100000000000001" customHeight="1">
      <c r="O815" s="387"/>
      <c r="P815" s="387"/>
      <c r="Q815" s="387"/>
    </row>
    <row r="816" spans="15:17" ht="20.100000000000001" customHeight="1">
      <c r="O816" s="387"/>
      <c r="P816" s="387"/>
      <c r="Q816" s="387"/>
    </row>
    <row r="817" spans="15:17" ht="20.100000000000001" customHeight="1">
      <c r="O817" s="387"/>
      <c r="P817" s="387"/>
      <c r="Q817" s="387"/>
    </row>
    <row r="818" spans="15:17" ht="20.100000000000001" customHeight="1">
      <c r="O818" s="387"/>
      <c r="P818" s="387"/>
      <c r="Q818" s="387"/>
    </row>
    <row r="819" spans="15:17" ht="20.100000000000001" customHeight="1">
      <c r="O819" s="387"/>
      <c r="P819" s="387"/>
      <c r="Q819" s="387"/>
    </row>
    <row r="820" spans="15:17" ht="20.100000000000001" customHeight="1">
      <c r="O820" s="387"/>
      <c r="P820" s="387"/>
      <c r="Q820" s="387"/>
    </row>
    <row r="821" spans="15:17" ht="20.100000000000001" customHeight="1">
      <c r="O821" s="387"/>
      <c r="P821" s="387"/>
      <c r="Q821" s="387"/>
    </row>
    <row r="822" spans="15:17" ht="20.100000000000001" customHeight="1">
      <c r="O822" s="387"/>
      <c r="P822" s="387"/>
      <c r="Q822" s="387"/>
    </row>
    <row r="823" spans="15:17" ht="20.100000000000001" customHeight="1">
      <c r="O823" s="387"/>
      <c r="P823" s="387"/>
      <c r="Q823" s="387"/>
    </row>
    <row r="824" spans="15:17" ht="20.100000000000001" customHeight="1">
      <c r="O824" s="387"/>
      <c r="P824" s="387"/>
      <c r="Q824" s="387"/>
    </row>
    <row r="825" spans="15:17" ht="20.100000000000001" customHeight="1">
      <c r="O825" s="387"/>
      <c r="P825" s="387"/>
      <c r="Q825" s="387"/>
    </row>
    <row r="826" spans="15:17" ht="20.100000000000001" customHeight="1">
      <c r="O826" s="387"/>
      <c r="P826" s="387"/>
      <c r="Q826" s="387"/>
    </row>
    <row r="827" spans="15:17" ht="20.100000000000001" customHeight="1">
      <c r="O827" s="387"/>
      <c r="P827" s="387"/>
      <c r="Q827" s="387"/>
    </row>
    <row r="828" spans="15:17" ht="20.100000000000001" customHeight="1">
      <c r="O828" s="387"/>
      <c r="P828" s="387"/>
      <c r="Q828" s="387"/>
    </row>
    <row r="829" spans="15:17" ht="20.100000000000001" customHeight="1">
      <c r="O829" s="387"/>
      <c r="P829" s="387"/>
      <c r="Q829" s="387"/>
    </row>
    <row r="830" spans="15:17" ht="20.100000000000001" customHeight="1">
      <c r="O830" s="387"/>
      <c r="P830" s="387"/>
      <c r="Q830" s="387"/>
    </row>
    <row r="831" spans="15:17" ht="20.100000000000001" customHeight="1">
      <c r="O831" s="387"/>
      <c r="P831" s="387"/>
      <c r="Q831" s="387"/>
    </row>
    <row r="832" spans="15:17" ht="20.100000000000001" customHeight="1">
      <c r="O832" s="387"/>
      <c r="P832" s="387"/>
      <c r="Q832" s="387"/>
    </row>
    <row r="833" spans="15:17" ht="20.100000000000001" customHeight="1">
      <c r="O833" s="387"/>
      <c r="P833" s="387"/>
      <c r="Q833" s="387"/>
    </row>
    <row r="834" spans="15:17" ht="20.100000000000001" customHeight="1">
      <c r="O834" s="387"/>
      <c r="P834" s="387"/>
      <c r="Q834" s="387"/>
    </row>
    <row r="835" spans="15:17" ht="20.100000000000001" customHeight="1">
      <c r="O835" s="387"/>
      <c r="P835" s="387"/>
      <c r="Q835" s="387"/>
    </row>
    <row r="836" spans="15:17" ht="20.100000000000001" customHeight="1">
      <c r="O836" s="387"/>
      <c r="P836" s="387"/>
      <c r="Q836" s="387"/>
    </row>
    <row r="837" spans="15:17" ht="20.100000000000001" customHeight="1">
      <c r="O837" s="387"/>
      <c r="P837" s="387"/>
      <c r="Q837" s="387"/>
    </row>
    <row r="838" spans="15:17" ht="20.100000000000001" customHeight="1">
      <c r="O838" s="387"/>
      <c r="P838" s="387"/>
      <c r="Q838" s="387"/>
    </row>
    <row r="839" spans="15:17" ht="20.100000000000001" customHeight="1">
      <c r="O839" s="387"/>
      <c r="P839" s="387"/>
      <c r="Q839" s="387"/>
    </row>
    <row r="840" spans="15:17" ht="20.100000000000001" customHeight="1">
      <c r="O840" s="387"/>
      <c r="P840" s="387"/>
      <c r="Q840" s="387"/>
    </row>
    <row r="841" spans="15:17" ht="20.100000000000001" customHeight="1">
      <c r="O841" s="387"/>
      <c r="P841" s="387"/>
      <c r="Q841" s="387"/>
    </row>
    <row r="842" spans="15:17" ht="20.100000000000001" customHeight="1">
      <c r="O842" s="387"/>
      <c r="P842" s="387"/>
      <c r="Q842" s="387"/>
    </row>
    <row r="843" spans="15:17" ht="20.100000000000001" customHeight="1">
      <c r="O843" s="387"/>
      <c r="P843" s="387"/>
      <c r="Q843" s="387"/>
    </row>
    <row r="844" spans="15:17" ht="20.100000000000001" customHeight="1">
      <c r="O844" s="387"/>
      <c r="P844" s="387"/>
      <c r="Q844" s="387"/>
    </row>
    <row r="845" spans="15:17" ht="20.100000000000001" customHeight="1">
      <c r="O845" s="387"/>
      <c r="P845" s="387"/>
      <c r="Q845" s="387"/>
    </row>
    <row r="846" spans="15:17" ht="20.100000000000001" customHeight="1">
      <c r="O846" s="387"/>
      <c r="P846" s="387"/>
      <c r="Q846" s="387"/>
    </row>
    <row r="847" spans="15:17" ht="20.100000000000001" customHeight="1">
      <c r="O847" s="387"/>
      <c r="P847" s="387"/>
      <c r="Q847" s="387"/>
    </row>
    <row r="848" spans="15:17" ht="20.100000000000001" customHeight="1">
      <c r="O848" s="387"/>
      <c r="P848" s="387"/>
      <c r="Q848" s="387"/>
    </row>
    <row r="849" spans="15:17" ht="20.100000000000001" customHeight="1">
      <c r="O849" s="387"/>
      <c r="P849" s="387"/>
      <c r="Q849" s="387"/>
    </row>
    <row r="850" spans="15:17" ht="20.100000000000001" customHeight="1">
      <c r="O850" s="387"/>
      <c r="P850" s="387"/>
      <c r="Q850" s="387"/>
    </row>
    <row r="851" spans="15:17" ht="20.100000000000001" customHeight="1">
      <c r="O851" s="387"/>
      <c r="P851" s="387"/>
      <c r="Q851" s="387"/>
    </row>
    <row r="852" spans="15:17" ht="20.100000000000001" customHeight="1">
      <c r="O852" s="387"/>
      <c r="P852" s="387"/>
      <c r="Q852" s="387"/>
    </row>
    <row r="853" spans="15:17" ht="20.100000000000001" customHeight="1">
      <c r="O853" s="387"/>
      <c r="P853" s="387"/>
      <c r="Q853" s="387"/>
    </row>
    <row r="854" spans="15:17" ht="20.100000000000001" customHeight="1">
      <c r="O854" s="387"/>
      <c r="P854" s="387"/>
      <c r="Q854" s="387"/>
    </row>
    <row r="855" spans="15:17" ht="20.100000000000001" customHeight="1">
      <c r="O855" s="387"/>
      <c r="P855" s="387"/>
      <c r="Q855" s="387"/>
    </row>
    <row r="856" spans="15:17" ht="20.100000000000001" customHeight="1">
      <c r="O856" s="387"/>
      <c r="P856" s="387"/>
      <c r="Q856" s="387"/>
    </row>
    <row r="857" spans="15:17" ht="20.100000000000001" customHeight="1">
      <c r="O857" s="387"/>
      <c r="P857" s="387"/>
      <c r="Q857" s="387"/>
    </row>
    <row r="858" spans="15:17" ht="20.100000000000001" customHeight="1">
      <c r="O858" s="387"/>
      <c r="P858" s="387"/>
      <c r="Q858" s="387"/>
    </row>
    <row r="859" spans="15:17" ht="20.100000000000001" customHeight="1">
      <c r="O859" s="387"/>
      <c r="P859" s="387"/>
      <c r="Q859" s="387"/>
    </row>
    <row r="860" spans="15:17" ht="20.100000000000001" customHeight="1">
      <c r="O860" s="387"/>
      <c r="P860" s="387"/>
      <c r="Q860" s="387"/>
    </row>
    <row r="861" spans="15:17" ht="20.100000000000001" customHeight="1">
      <c r="O861" s="387"/>
      <c r="P861" s="387"/>
      <c r="Q861" s="387"/>
    </row>
    <row r="862" spans="15:17" ht="20.100000000000001" customHeight="1">
      <c r="O862" s="387"/>
      <c r="P862" s="387"/>
      <c r="Q862" s="387"/>
    </row>
    <row r="863" spans="15:17" ht="20.100000000000001" customHeight="1">
      <c r="O863" s="387"/>
      <c r="P863" s="387"/>
      <c r="Q863" s="387"/>
    </row>
    <row r="864" spans="15:17" ht="20.100000000000001" customHeight="1">
      <c r="O864" s="387"/>
      <c r="P864" s="387"/>
      <c r="Q864" s="387"/>
    </row>
    <row r="865" spans="15:17" ht="20.100000000000001" customHeight="1">
      <c r="O865" s="387"/>
      <c r="P865" s="387"/>
      <c r="Q865" s="387"/>
    </row>
    <row r="866" spans="15:17" ht="20.100000000000001" customHeight="1">
      <c r="O866" s="387"/>
      <c r="P866" s="387"/>
      <c r="Q866" s="387"/>
    </row>
    <row r="867" spans="15:17" ht="20.100000000000001" customHeight="1">
      <c r="O867" s="387"/>
      <c r="P867" s="387"/>
      <c r="Q867" s="387"/>
    </row>
    <row r="868" spans="15:17" ht="20.100000000000001" customHeight="1">
      <c r="O868" s="387"/>
      <c r="P868" s="387"/>
      <c r="Q868" s="387"/>
    </row>
    <row r="869" spans="15:17" ht="20.100000000000001" customHeight="1">
      <c r="O869" s="387"/>
      <c r="P869" s="387"/>
      <c r="Q869" s="387"/>
    </row>
    <row r="870" spans="15:17" ht="20.100000000000001" customHeight="1">
      <c r="O870" s="387"/>
      <c r="P870" s="387"/>
      <c r="Q870" s="387"/>
    </row>
    <row r="871" spans="15:17" ht="20.100000000000001" customHeight="1">
      <c r="O871" s="387"/>
      <c r="P871" s="387"/>
      <c r="Q871" s="387"/>
    </row>
    <row r="872" spans="15:17" ht="20.100000000000001" customHeight="1">
      <c r="O872" s="387"/>
      <c r="P872" s="387"/>
      <c r="Q872" s="387"/>
    </row>
    <row r="873" spans="15:17" ht="20.100000000000001" customHeight="1">
      <c r="O873" s="387"/>
      <c r="P873" s="387"/>
      <c r="Q873" s="387"/>
    </row>
    <row r="874" spans="15:17" ht="20.100000000000001" customHeight="1">
      <c r="O874" s="387"/>
      <c r="P874" s="387"/>
      <c r="Q874" s="387"/>
    </row>
    <row r="875" spans="15:17" ht="20.100000000000001" customHeight="1">
      <c r="O875" s="387"/>
      <c r="P875" s="387"/>
      <c r="Q875" s="387"/>
    </row>
    <row r="876" spans="15:17" ht="20.100000000000001" customHeight="1">
      <c r="O876" s="387"/>
      <c r="P876" s="387"/>
      <c r="Q876" s="387"/>
    </row>
    <row r="877" spans="15:17" ht="20.100000000000001" customHeight="1">
      <c r="O877" s="387"/>
      <c r="P877" s="387"/>
      <c r="Q877" s="387"/>
    </row>
    <row r="878" spans="15:17" ht="20.100000000000001" customHeight="1">
      <c r="O878" s="387"/>
      <c r="P878" s="387"/>
      <c r="Q878" s="387"/>
    </row>
    <row r="879" spans="15:17" ht="20.100000000000001" customHeight="1">
      <c r="O879" s="387"/>
      <c r="P879" s="387"/>
      <c r="Q879" s="387"/>
    </row>
    <row r="880" spans="15:17" ht="20.100000000000001" customHeight="1">
      <c r="O880" s="387"/>
      <c r="P880" s="387"/>
      <c r="Q880" s="387"/>
    </row>
    <row r="881" spans="15:17" ht="20.100000000000001" customHeight="1">
      <c r="O881" s="387"/>
      <c r="P881" s="387"/>
      <c r="Q881" s="387"/>
    </row>
    <row r="882" spans="15:17" ht="20.100000000000001" customHeight="1">
      <c r="O882" s="387"/>
      <c r="P882" s="387"/>
      <c r="Q882" s="387"/>
    </row>
    <row r="883" spans="15:17" ht="20.100000000000001" customHeight="1">
      <c r="O883" s="387"/>
      <c r="P883" s="387"/>
      <c r="Q883" s="387"/>
    </row>
    <row r="884" spans="15:17" ht="20.100000000000001" customHeight="1">
      <c r="O884" s="387"/>
      <c r="P884" s="387"/>
      <c r="Q884" s="387"/>
    </row>
    <row r="885" spans="15:17" ht="20.100000000000001" customHeight="1">
      <c r="O885" s="387"/>
      <c r="P885" s="387"/>
      <c r="Q885" s="387"/>
    </row>
    <row r="886" spans="15:17" ht="20.100000000000001" customHeight="1">
      <c r="O886" s="387"/>
      <c r="P886" s="387"/>
      <c r="Q886" s="387"/>
    </row>
    <row r="887" spans="15:17" ht="20.100000000000001" customHeight="1">
      <c r="O887" s="387"/>
      <c r="P887" s="387"/>
      <c r="Q887" s="387"/>
    </row>
    <row r="888" spans="15:17" ht="20.100000000000001" customHeight="1">
      <c r="O888" s="387"/>
      <c r="P888" s="387"/>
      <c r="Q888" s="387"/>
    </row>
    <row r="889" spans="15:17" ht="20.100000000000001" customHeight="1">
      <c r="O889" s="387"/>
      <c r="P889" s="387"/>
      <c r="Q889" s="387"/>
    </row>
    <row r="890" spans="15:17" ht="20.100000000000001" customHeight="1">
      <c r="O890" s="387"/>
      <c r="P890" s="387"/>
      <c r="Q890" s="387"/>
    </row>
    <row r="891" spans="15:17" ht="20.100000000000001" customHeight="1">
      <c r="O891" s="387"/>
      <c r="P891" s="387"/>
      <c r="Q891" s="387"/>
    </row>
    <row r="892" spans="15:17" ht="20.100000000000001" customHeight="1">
      <c r="O892" s="387"/>
      <c r="P892" s="387"/>
      <c r="Q892" s="387"/>
    </row>
    <row r="893" spans="15:17" ht="20.100000000000001" customHeight="1">
      <c r="O893" s="387"/>
      <c r="P893" s="387"/>
      <c r="Q893" s="387"/>
    </row>
    <row r="894" spans="15:17" ht="20.100000000000001" customHeight="1">
      <c r="O894" s="387"/>
      <c r="P894" s="387"/>
      <c r="Q894" s="387"/>
    </row>
    <row r="895" spans="15:17" ht="20.100000000000001" customHeight="1">
      <c r="O895" s="387"/>
      <c r="P895" s="387"/>
      <c r="Q895" s="387"/>
    </row>
    <row r="896" spans="15:17" ht="20.100000000000001" customHeight="1">
      <c r="O896" s="387"/>
      <c r="P896" s="387"/>
      <c r="Q896" s="387"/>
    </row>
    <row r="897" spans="15:17" ht="20.100000000000001" customHeight="1">
      <c r="O897" s="387"/>
      <c r="P897" s="387"/>
      <c r="Q897" s="387"/>
    </row>
    <row r="898" spans="15:17" ht="20.100000000000001" customHeight="1">
      <c r="O898" s="387"/>
      <c r="P898" s="387"/>
      <c r="Q898" s="387"/>
    </row>
    <row r="899" spans="15:17" ht="20.100000000000001" customHeight="1">
      <c r="O899" s="387"/>
      <c r="P899" s="387"/>
      <c r="Q899" s="387"/>
    </row>
    <row r="900" spans="15:17" ht="20.100000000000001" customHeight="1">
      <c r="O900" s="387"/>
      <c r="P900" s="387"/>
      <c r="Q900" s="387"/>
    </row>
    <row r="901" spans="15:17" ht="20.100000000000001" customHeight="1">
      <c r="O901" s="387"/>
      <c r="P901" s="387"/>
      <c r="Q901" s="387"/>
    </row>
    <row r="902" spans="15:17" ht="20.100000000000001" customHeight="1">
      <c r="O902" s="387"/>
      <c r="P902" s="387"/>
      <c r="Q902" s="387"/>
    </row>
    <row r="903" spans="15:17" ht="20.100000000000001" customHeight="1">
      <c r="O903" s="387"/>
      <c r="P903" s="387"/>
      <c r="Q903" s="387"/>
    </row>
    <row r="904" spans="15:17" ht="20.100000000000001" customHeight="1">
      <c r="O904" s="387"/>
      <c r="P904" s="387"/>
      <c r="Q904" s="387"/>
    </row>
    <row r="905" spans="15:17" ht="20.100000000000001" customHeight="1">
      <c r="O905" s="387"/>
      <c r="P905" s="387"/>
      <c r="Q905" s="387"/>
    </row>
    <row r="906" spans="15:17" ht="20.100000000000001" customHeight="1">
      <c r="O906" s="387"/>
      <c r="P906" s="387"/>
      <c r="Q906" s="387"/>
    </row>
    <row r="907" spans="15:17" ht="20.100000000000001" customHeight="1">
      <c r="O907" s="387"/>
      <c r="P907" s="387"/>
      <c r="Q907" s="387"/>
    </row>
    <row r="908" spans="15:17" ht="20.100000000000001" customHeight="1">
      <c r="O908" s="387"/>
      <c r="P908" s="387"/>
      <c r="Q908" s="387"/>
    </row>
    <row r="909" spans="15:17" ht="20.100000000000001" customHeight="1">
      <c r="O909" s="387"/>
      <c r="P909" s="387"/>
      <c r="Q909" s="387"/>
    </row>
    <row r="910" spans="15:17" ht="20.100000000000001" customHeight="1">
      <c r="O910" s="387"/>
      <c r="P910" s="387"/>
      <c r="Q910" s="387"/>
    </row>
    <row r="911" spans="15:17" ht="20.100000000000001" customHeight="1">
      <c r="O911" s="387"/>
      <c r="P911" s="387"/>
      <c r="Q911" s="387"/>
    </row>
    <row r="912" spans="15:17" ht="20.100000000000001" customHeight="1">
      <c r="O912" s="387"/>
      <c r="P912" s="387"/>
      <c r="Q912" s="387"/>
    </row>
    <row r="913" spans="15:17" ht="20.100000000000001" customHeight="1">
      <c r="O913" s="387"/>
      <c r="P913" s="387"/>
      <c r="Q913" s="387"/>
    </row>
    <row r="914" spans="15:17" ht="20.100000000000001" customHeight="1">
      <c r="O914" s="387"/>
      <c r="P914" s="387"/>
      <c r="Q914" s="387"/>
    </row>
    <row r="915" spans="15:17" ht="20.100000000000001" customHeight="1">
      <c r="O915" s="387"/>
      <c r="P915" s="387"/>
      <c r="Q915" s="387"/>
    </row>
    <row r="916" spans="15:17" ht="20.100000000000001" customHeight="1">
      <c r="O916" s="387"/>
      <c r="P916" s="387"/>
      <c r="Q916" s="387"/>
    </row>
    <row r="917" spans="15:17" ht="20.100000000000001" customHeight="1">
      <c r="O917" s="387"/>
      <c r="P917" s="387"/>
      <c r="Q917" s="387"/>
    </row>
    <row r="918" spans="15:17" ht="20.100000000000001" customHeight="1">
      <c r="O918" s="387"/>
      <c r="P918" s="387"/>
      <c r="Q918" s="387"/>
    </row>
    <row r="919" spans="15:17" ht="20.100000000000001" customHeight="1">
      <c r="O919" s="387"/>
      <c r="P919" s="387"/>
      <c r="Q919" s="387"/>
    </row>
    <row r="920" spans="15:17" ht="20.100000000000001" customHeight="1">
      <c r="O920" s="387"/>
      <c r="P920" s="387"/>
      <c r="Q920" s="387"/>
    </row>
    <row r="921" spans="15:17" ht="20.100000000000001" customHeight="1">
      <c r="O921" s="387"/>
      <c r="P921" s="387"/>
      <c r="Q921" s="387"/>
    </row>
    <row r="922" spans="15:17" ht="20.100000000000001" customHeight="1">
      <c r="O922" s="387"/>
      <c r="P922" s="387"/>
      <c r="Q922" s="387"/>
    </row>
    <row r="923" spans="15:17" ht="20.100000000000001" customHeight="1">
      <c r="O923" s="387"/>
      <c r="P923" s="387"/>
      <c r="Q923" s="387"/>
    </row>
    <row r="924" spans="15:17" ht="20.100000000000001" customHeight="1">
      <c r="O924" s="387"/>
      <c r="P924" s="387"/>
      <c r="Q924" s="387"/>
    </row>
    <row r="925" spans="15:17" ht="20.100000000000001" customHeight="1">
      <c r="O925" s="387"/>
      <c r="P925" s="387"/>
      <c r="Q925" s="387"/>
    </row>
    <row r="926" spans="15:17" ht="20.100000000000001" customHeight="1">
      <c r="O926" s="387"/>
      <c r="P926" s="387"/>
      <c r="Q926" s="387"/>
    </row>
    <row r="927" spans="15:17" ht="20.100000000000001" customHeight="1">
      <c r="O927" s="387"/>
      <c r="P927" s="387"/>
      <c r="Q927" s="387"/>
    </row>
    <row r="928" spans="15:17" ht="20.100000000000001" customHeight="1">
      <c r="O928" s="387"/>
      <c r="P928" s="387"/>
      <c r="Q928" s="387"/>
    </row>
    <row r="929" spans="15:17" ht="20.100000000000001" customHeight="1">
      <c r="O929" s="387"/>
      <c r="P929" s="387"/>
      <c r="Q929" s="387"/>
    </row>
    <row r="930" spans="15:17" ht="20.100000000000001" customHeight="1">
      <c r="O930" s="387"/>
      <c r="P930" s="387"/>
      <c r="Q930" s="387"/>
    </row>
    <row r="931" spans="15:17" ht="20.100000000000001" customHeight="1">
      <c r="O931" s="387"/>
      <c r="P931" s="387"/>
      <c r="Q931" s="387"/>
    </row>
    <row r="932" spans="15:17" ht="20.100000000000001" customHeight="1">
      <c r="O932" s="387"/>
      <c r="P932" s="387"/>
      <c r="Q932" s="387"/>
    </row>
    <row r="933" spans="15:17" ht="20.100000000000001" customHeight="1">
      <c r="O933" s="387"/>
      <c r="P933" s="387"/>
      <c r="Q933" s="387"/>
    </row>
    <row r="934" spans="15:17" ht="20.100000000000001" customHeight="1">
      <c r="O934" s="387"/>
      <c r="P934" s="387"/>
      <c r="Q934" s="387"/>
    </row>
    <row r="935" spans="15:17" ht="20.100000000000001" customHeight="1">
      <c r="O935" s="387"/>
      <c r="P935" s="387"/>
      <c r="Q935" s="387"/>
    </row>
    <row r="936" spans="15:17" ht="20.100000000000001" customHeight="1">
      <c r="O936" s="387"/>
      <c r="P936" s="387"/>
      <c r="Q936" s="387"/>
    </row>
    <row r="937" spans="15:17" ht="20.100000000000001" customHeight="1">
      <c r="O937" s="387"/>
      <c r="P937" s="387"/>
      <c r="Q937" s="387"/>
    </row>
    <row r="938" spans="15:17" ht="20.100000000000001" customHeight="1">
      <c r="O938" s="387"/>
      <c r="P938" s="387"/>
      <c r="Q938" s="387"/>
    </row>
    <row r="939" spans="15:17" ht="20.100000000000001" customHeight="1">
      <c r="O939" s="387"/>
      <c r="P939" s="387"/>
      <c r="Q939" s="387"/>
    </row>
    <row r="940" spans="15:17" ht="20.100000000000001" customHeight="1">
      <c r="O940" s="387"/>
      <c r="P940" s="387"/>
      <c r="Q940" s="387"/>
    </row>
    <row r="941" spans="15:17" ht="20.100000000000001" customHeight="1">
      <c r="O941" s="387"/>
      <c r="P941" s="387"/>
      <c r="Q941" s="387"/>
    </row>
    <row r="942" spans="15:17" ht="20.100000000000001" customHeight="1">
      <c r="O942" s="387"/>
      <c r="P942" s="387"/>
      <c r="Q942" s="387"/>
    </row>
    <row r="943" spans="15:17" ht="20.100000000000001" customHeight="1">
      <c r="O943" s="387"/>
      <c r="P943" s="387"/>
      <c r="Q943" s="387"/>
    </row>
    <row r="944" spans="15:17" ht="20.100000000000001" customHeight="1">
      <c r="O944" s="387"/>
      <c r="P944" s="387"/>
      <c r="Q944" s="387"/>
    </row>
    <row r="945" spans="15:17" ht="20.100000000000001" customHeight="1">
      <c r="O945" s="387"/>
      <c r="P945" s="387"/>
      <c r="Q945" s="387"/>
    </row>
    <row r="946" spans="15:17" ht="20.100000000000001" customHeight="1">
      <c r="O946" s="387"/>
      <c r="P946" s="387"/>
      <c r="Q946" s="387"/>
    </row>
    <row r="947" spans="15:17" ht="20.100000000000001" customHeight="1">
      <c r="O947" s="387"/>
      <c r="P947" s="387"/>
      <c r="Q947" s="387"/>
    </row>
    <row r="948" spans="15:17" ht="20.100000000000001" customHeight="1">
      <c r="O948" s="387"/>
      <c r="P948" s="387"/>
      <c r="Q948" s="387"/>
    </row>
    <row r="949" spans="15:17" ht="20.100000000000001" customHeight="1">
      <c r="O949" s="387"/>
      <c r="P949" s="387"/>
      <c r="Q949" s="387"/>
    </row>
    <row r="950" spans="15:17" ht="20.100000000000001" customHeight="1">
      <c r="O950" s="387"/>
      <c r="P950" s="387"/>
      <c r="Q950" s="387"/>
    </row>
    <row r="951" spans="15:17" ht="20.100000000000001" customHeight="1">
      <c r="O951" s="387"/>
      <c r="P951" s="387"/>
      <c r="Q951" s="387"/>
    </row>
    <row r="952" spans="15:17" ht="20.100000000000001" customHeight="1">
      <c r="O952" s="387"/>
      <c r="P952" s="387"/>
      <c r="Q952" s="387"/>
    </row>
    <row r="953" spans="15:17" ht="20.100000000000001" customHeight="1">
      <c r="O953" s="387"/>
      <c r="P953" s="387"/>
      <c r="Q953" s="387"/>
    </row>
    <row r="954" spans="15:17" ht="20.100000000000001" customHeight="1">
      <c r="O954" s="387"/>
      <c r="P954" s="387"/>
      <c r="Q954" s="387"/>
    </row>
    <row r="955" spans="15:17" ht="20.100000000000001" customHeight="1">
      <c r="O955" s="387"/>
      <c r="P955" s="387"/>
      <c r="Q955" s="387"/>
    </row>
    <row r="956" spans="15:17" ht="20.100000000000001" customHeight="1">
      <c r="O956" s="387"/>
      <c r="P956" s="387"/>
      <c r="Q956" s="387"/>
    </row>
    <row r="957" spans="15:17" ht="20.100000000000001" customHeight="1">
      <c r="O957" s="387"/>
      <c r="P957" s="387"/>
      <c r="Q957" s="387"/>
    </row>
    <row r="958" spans="15:17" ht="20.100000000000001" customHeight="1">
      <c r="O958" s="387"/>
      <c r="P958" s="387"/>
      <c r="Q958" s="387"/>
    </row>
    <row r="959" spans="15:17" ht="20.100000000000001" customHeight="1">
      <c r="O959" s="387"/>
      <c r="P959" s="387"/>
      <c r="Q959" s="387"/>
    </row>
    <row r="960" spans="15:17" ht="20.100000000000001" customHeight="1">
      <c r="O960" s="387"/>
      <c r="P960" s="387"/>
      <c r="Q960" s="387"/>
    </row>
    <row r="961" spans="15:17" ht="20.100000000000001" customHeight="1">
      <c r="O961" s="387"/>
      <c r="P961" s="387"/>
      <c r="Q961" s="387"/>
    </row>
    <row r="962" spans="15:17" ht="20.100000000000001" customHeight="1">
      <c r="O962" s="387"/>
      <c r="P962" s="387"/>
      <c r="Q962" s="387"/>
    </row>
    <row r="963" spans="15:17" ht="20.100000000000001" customHeight="1">
      <c r="O963" s="387"/>
      <c r="P963" s="387"/>
      <c r="Q963" s="387"/>
    </row>
    <row r="964" spans="15:17" ht="20.100000000000001" customHeight="1">
      <c r="O964" s="387"/>
      <c r="P964" s="387"/>
      <c r="Q964" s="387"/>
    </row>
    <row r="965" spans="15:17" ht="20.100000000000001" customHeight="1">
      <c r="O965" s="387"/>
      <c r="P965" s="387"/>
      <c r="Q965" s="387"/>
    </row>
    <row r="966" spans="15:17" ht="20.100000000000001" customHeight="1">
      <c r="O966" s="387"/>
      <c r="P966" s="387"/>
      <c r="Q966" s="387"/>
    </row>
    <row r="967" spans="15:17" ht="20.100000000000001" customHeight="1">
      <c r="O967" s="387"/>
      <c r="P967" s="387"/>
      <c r="Q967" s="387"/>
    </row>
    <row r="968" spans="15:17" ht="20.100000000000001" customHeight="1">
      <c r="O968" s="387"/>
      <c r="P968" s="387"/>
      <c r="Q968" s="387"/>
    </row>
    <row r="969" spans="15:17" ht="20.100000000000001" customHeight="1">
      <c r="O969" s="387"/>
      <c r="P969" s="387"/>
      <c r="Q969" s="387"/>
    </row>
    <row r="970" spans="15:17" ht="20.100000000000001" customHeight="1">
      <c r="O970" s="387"/>
      <c r="P970" s="387"/>
      <c r="Q970" s="387"/>
    </row>
    <row r="971" spans="15:17" ht="20.100000000000001" customHeight="1">
      <c r="O971" s="387"/>
      <c r="P971" s="387"/>
      <c r="Q971" s="387"/>
    </row>
    <row r="972" spans="15:17" ht="20.100000000000001" customHeight="1">
      <c r="O972" s="387"/>
      <c r="P972" s="387"/>
      <c r="Q972" s="387"/>
    </row>
    <row r="973" spans="15:17" ht="20.100000000000001" customHeight="1">
      <c r="O973" s="387"/>
      <c r="P973" s="387"/>
      <c r="Q973" s="387"/>
    </row>
    <row r="974" spans="15:17" ht="20.100000000000001" customHeight="1">
      <c r="O974" s="387"/>
      <c r="P974" s="387"/>
      <c r="Q974" s="387"/>
    </row>
    <row r="975" spans="15:17" ht="20.100000000000001" customHeight="1">
      <c r="O975" s="387"/>
      <c r="P975" s="387"/>
      <c r="Q975" s="387"/>
    </row>
    <row r="976" spans="15:17" ht="20.100000000000001" customHeight="1">
      <c r="O976" s="387"/>
      <c r="P976" s="387"/>
      <c r="Q976" s="387"/>
    </row>
    <row r="977" spans="15:17" ht="20.100000000000001" customHeight="1">
      <c r="O977" s="387"/>
      <c r="P977" s="387"/>
      <c r="Q977" s="387"/>
    </row>
    <row r="978" spans="15:17" ht="20.100000000000001" customHeight="1">
      <c r="O978" s="387"/>
      <c r="P978" s="387"/>
      <c r="Q978" s="387"/>
    </row>
    <row r="979" spans="15:17" ht="20.100000000000001" customHeight="1">
      <c r="O979" s="387"/>
      <c r="P979" s="387"/>
      <c r="Q979" s="387"/>
    </row>
    <row r="980" spans="15:17" ht="20.100000000000001" customHeight="1">
      <c r="O980" s="387"/>
      <c r="P980" s="387"/>
      <c r="Q980" s="387"/>
    </row>
    <row r="981" spans="15:17" ht="20.100000000000001" customHeight="1">
      <c r="O981" s="387"/>
      <c r="P981" s="387"/>
      <c r="Q981" s="387"/>
    </row>
    <row r="982" spans="15:17" ht="20.100000000000001" customHeight="1">
      <c r="O982" s="387"/>
      <c r="P982" s="387"/>
      <c r="Q982" s="387"/>
    </row>
    <row r="983" spans="15:17" ht="20.100000000000001" customHeight="1">
      <c r="O983" s="387"/>
      <c r="P983" s="387"/>
      <c r="Q983" s="387"/>
    </row>
    <row r="984" spans="15:17" ht="20.100000000000001" customHeight="1">
      <c r="O984" s="387"/>
      <c r="P984" s="387"/>
      <c r="Q984" s="387"/>
    </row>
    <row r="985" spans="15:17" ht="20.100000000000001" customHeight="1">
      <c r="O985" s="387"/>
      <c r="P985" s="387"/>
      <c r="Q985" s="387"/>
    </row>
    <row r="986" spans="15:17" ht="20.100000000000001" customHeight="1">
      <c r="O986" s="387"/>
      <c r="P986" s="387"/>
      <c r="Q986" s="387"/>
    </row>
    <row r="987" spans="15:17" ht="20.100000000000001" customHeight="1">
      <c r="O987" s="387"/>
      <c r="P987" s="387"/>
      <c r="Q987" s="387"/>
    </row>
    <row r="988" spans="15:17" ht="20.100000000000001" customHeight="1">
      <c r="O988" s="387"/>
      <c r="P988" s="387"/>
      <c r="Q988" s="387"/>
    </row>
    <row r="989" spans="15:17" ht="20.100000000000001" customHeight="1">
      <c r="O989" s="387"/>
      <c r="P989" s="387"/>
      <c r="Q989" s="387"/>
    </row>
    <row r="990" spans="15:17" ht="20.100000000000001" customHeight="1">
      <c r="O990" s="387"/>
      <c r="P990" s="387"/>
      <c r="Q990" s="387"/>
    </row>
    <row r="991" spans="15:17" ht="20.100000000000001" customHeight="1">
      <c r="O991" s="387"/>
      <c r="P991" s="387"/>
      <c r="Q991" s="387"/>
    </row>
    <row r="992" spans="15:17" ht="20.100000000000001" customHeight="1">
      <c r="O992" s="387"/>
      <c r="P992" s="387"/>
      <c r="Q992" s="387"/>
    </row>
    <row r="993" spans="15:17" ht="20.100000000000001" customHeight="1">
      <c r="O993" s="387"/>
      <c r="P993" s="387"/>
      <c r="Q993" s="387"/>
    </row>
    <row r="994" spans="15:17" ht="20.100000000000001" customHeight="1">
      <c r="O994" s="387"/>
      <c r="P994" s="387"/>
      <c r="Q994" s="387"/>
    </row>
    <row r="995" spans="15:17" ht="20.100000000000001" customHeight="1">
      <c r="O995" s="387"/>
      <c r="P995" s="387"/>
      <c r="Q995" s="387"/>
    </row>
    <row r="996" spans="15:17" ht="20.100000000000001" customHeight="1">
      <c r="O996" s="387"/>
      <c r="P996" s="387"/>
      <c r="Q996" s="387"/>
    </row>
    <row r="997" spans="15:17" ht="20.100000000000001" customHeight="1">
      <c r="O997" s="387"/>
      <c r="P997" s="387"/>
      <c r="Q997" s="387"/>
    </row>
    <row r="998" spans="15:17" ht="20.100000000000001" customHeight="1">
      <c r="O998" s="387"/>
      <c r="P998" s="387"/>
      <c r="Q998" s="387"/>
    </row>
    <row r="999" spans="15:17" ht="20.100000000000001" customHeight="1">
      <c r="O999" s="387"/>
      <c r="P999" s="387"/>
      <c r="Q999" s="387"/>
    </row>
    <row r="1000" spans="15:17" ht="20.100000000000001" customHeight="1">
      <c r="O1000" s="387"/>
      <c r="P1000" s="387"/>
      <c r="Q1000" s="387"/>
    </row>
    <row r="1001" spans="15:17" ht="20.100000000000001" customHeight="1">
      <c r="O1001" s="387"/>
      <c r="P1001" s="387"/>
      <c r="Q1001" s="387"/>
    </row>
    <row r="1002" spans="15:17" ht="20.100000000000001" customHeight="1">
      <c r="O1002" s="387"/>
      <c r="P1002" s="387"/>
      <c r="Q1002" s="387"/>
    </row>
    <row r="1003" spans="15:17" ht="20.100000000000001" customHeight="1">
      <c r="O1003" s="387"/>
      <c r="P1003" s="387"/>
      <c r="Q1003" s="387"/>
    </row>
    <row r="1004" spans="15:17" ht="20.100000000000001" customHeight="1">
      <c r="O1004" s="387"/>
      <c r="P1004" s="387"/>
      <c r="Q1004" s="387"/>
    </row>
    <row r="1005" spans="15:17" ht="20.100000000000001" customHeight="1">
      <c r="O1005" s="387"/>
      <c r="P1005" s="387"/>
      <c r="Q1005" s="387"/>
    </row>
    <row r="1006" spans="15:17" ht="20.100000000000001" customHeight="1">
      <c r="O1006" s="387"/>
      <c r="P1006" s="387"/>
      <c r="Q1006" s="387"/>
    </row>
    <row r="1007" spans="15:17" ht="20.100000000000001" customHeight="1">
      <c r="O1007" s="387"/>
      <c r="P1007" s="387"/>
      <c r="Q1007" s="387"/>
    </row>
    <row r="1008" spans="15:17" ht="20.100000000000001" customHeight="1">
      <c r="O1008" s="387"/>
      <c r="P1008" s="387"/>
      <c r="Q1008" s="387"/>
    </row>
    <row r="1009" spans="15:17" ht="20.100000000000001" customHeight="1">
      <c r="O1009" s="387"/>
      <c r="P1009" s="387"/>
      <c r="Q1009" s="387"/>
    </row>
    <row r="1010" spans="15:17" ht="20.100000000000001" customHeight="1">
      <c r="O1010" s="387"/>
      <c r="P1010" s="387"/>
      <c r="Q1010" s="387"/>
    </row>
    <row r="1011" spans="15:17" ht="20.100000000000001" customHeight="1">
      <c r="O1011" s="387"/>
      <c r="P1011" s="387"/>
      <c r="Q1011" s="387"/>
    </row>
    <row r="1012" spans="15:17" ht="20.100000000000001" customHeight="1">
      <c r="O1012" s="387"/>
      <c r="P1012" s="387"/>
      <c r="Q1012" s="387"/>
    </row>
    <row r="1013" spans="15:17" ht="20.100000000000001" customHeight="1">
      <c r="O1013" s="387"/>
      <c r="P1013" s="387"/>
      <c r="Q1013" s="387"/>
    </row>
    <row r="1014" spans="15:17" ht="20.100000000000001" customHeight="1">
      <c r="O1014" s="387"/>
      <c r="P1014" s="387"/>
      <c r="Q1014" s="387"/>
    </row>
    <row r="1015" spans="15:17" ht="20.100000000000001" customHeight="1">
      <c r="O1015" s="387"/>
      <c r="P1015" s="387"/>
      <c r="Q1015" s="387"/>
    </row>
    <row r="1016" spans="15:17" ht="20.100000000000001" customHeight="1">
      <c r="O1016" s="387"/>
      <c r="P1016" s="387"/>
      <c r="Q1016" s="387"/>
    </row>
    <row r="1017" spans="15:17" ht="20.100000000000001" customHeight="1">
      <c r="O1017" s="387"/>
      <c r="P1017" s="387"/>
      <c r="Q1017" s="387"/>
    </row>
    <row r="1018" spans="15:17" ht="20.100000000000001" customHeight="1">
      <c r="O1018" s="387"/>
      <c r="P1018" s="387"/>
      <c r="Q1018" s="387"/>
    </row>
    <row r="1019" spans="15:17" ht="20.100000000000001" customHeight="1">
      <c r="O1019" s="387"/>
      <c r="P1019" s="387"/>
      <c r="Q1019" s="387"/>
    </row>
    <row r="1020" spans="15:17" ht="20.100000000000001" customHeight="1">
      <c r="O1020" s="387"/>
      <c r="P1020" s="387"/>
      <c r="Q1020" s="387"/>
    </row>
    <row r="1021" spans="15:17" ht="20.100000000000001" customHeight="1">
      <c r="O1021" s="387"/>
      <c r="P1021" s="387"/>
      <c r="Q1021" s="387"/>
    </row>
    <row r="1022" spans="15:17" ht="20.100000000000001" customHeight="1">
      <c r="O1022" s="387"/>
      <c r="P1022" s="387"/>
      <c r="Q1022" s="387"/>
    </row>
    <row r="1023" spans="15:17" ht="20.100000000000001" customHeight="1">
      <c r="O1023" s="387"/>
      <c r="P1023" s="387"/>
      <c r="Q1023" s="387"/>
    </row>
    <row r="1024" spans="15:17" ht="20.100000000000001" customHeight="1">
      <c r="O1024" s="387"/>
      <c r="P1024" s="387"/>
      <c r="Q1024" s="387"/>
    </row>
    <row r="1025" spans="15:17" ht="20.100000000000001" customHeight="1">
      <c r="O1025" s="387"/>
      <c r="P1025" s="387"/>
      <c r="Q1025" s="387"/>
    </row>
    <row r="1026" spans="15:17" ht="20.100000000000001" customHeight="1">
      <c r="O1026" s="387"/>
      <c r="P1026" s="387"/>
      <c r="Q1026" s="387"/>
    </row>
    <row r="1027" spans="15:17" ht="20.100000000000001" customHeight="1">
      <c r="O1027" s="387"/>
      <c r="P1027" s="387"/>
      <c r="Q1027" s="387"/>
    </row>
    <row r="1028" spans="15:17" ht="20.100000000000001" customHeight="1">
      <c r="O1028" s="387"/>
      <c r="P1028" s="387"/>
      <c r="Q1028" s="387"/>
    </row>
    <row r="1029" spans="15:17" ht="20.100000000000001" customHeight="1">
      <c r="O1029" s="387"/>
      <c r="P1029" s="387"/>
      <c r="Q1029" s="387"/>
    </row>
    <row r="1030" spans="15:17" ht="20.100000000000001" customHeight="1">
      <c r="O1030" s="387"/>
      <c r="P1030" s="387"/>
      <c r="Q1030" s="387"/>
    </row>
    <row r="1031" spans="15:17" ht="20.100000000000001" customHeight="1">
      <c r="O1031" s="387"/>
      <c r="P1031" s="387"/>
      <c r="Q1031" s="387"/>
    </row>
    <row r="1032" spans="15:17" ht="20.100000000000001" customHeight="1">
      <c r="O1032" s="387"/>
      <c r="P1032" s="387"/>
      <c r="Q1032" s="387"/>
    </row>
    <row r="1033" spans="15:17" ht="20.100000000000001" customHeight="1">
      <c r="O1033" s="387"/>
      <c r="P1033" s="387"/>
      <c r="Q1033" s="387"/>
    </row>
    <row r="1034" spans="15:17" ht="20.100000000000001" customHeight="1">
      <c r="O1034" s="387"/>
      <c r="P1034" s="387"/>
      <c r="Q1034" s="387"/>
    </row>
    <row r="1035" spans="15:17" ht="20.100000000000001" customHeight="1">
      <c r="O1035" s="387"/>
      <c r="P1035" s="387"/>
      <c r="Q1035" s="387"/>
    </row>
    <row r="1036" spans="15:17" ht="20.100000000000001" customHeight="1">
      <c r="O1036" s="387"/>
      <c r="P1036" s="387"/>
      <c r="Q1036" s="387"/>
    </row>
    <row r="1037" spans="15:17" ht="20.100000000000001" customHeight="1">
      <c r="O1037" s="387"/>
      <c r="P1037" s="387"/>
      <c r="Q1037" s="387"/>
    </row>
    <row r="1038" spans="15:17" ht="20.100000000000001" customHeight="1">
      <c r="O1038" s="387"/>
      <c r="P1038" s="387"/>
      <c r="Q1038" s="387"/>
    </row>
    <row r="1039" spans="15:17" ht="20.100000000000001" customHeight="1">
      <c r="O1039" s="387"/>
      <c r="P1039" s="387"/>
      <c r="Q1039" s="387"/>
    </row>
    <row r="1040" spans="15:17" ht="20.100000000000001" customHeight="1">
      <c r="O1040" s="387"/>
      <c r="P1040" s="387"/>
      <c r="Q1040" s="387"/>
    </row>
    <row r="1041" spans="15:17" ht="20.100000000000001" customHeight="1">
      <c r="O1041" s="387"/>
      <c r="P1041" s="387"/>
      <c r="Q1041" s="387"/>
    </row>
    <row r="1042" spans="15:17" ht="20.100000000000001" customHeight="1">
      <c r="O1042" s="387"/>
      <c r="P1042" s="387"/>
      <c r="Q1042" s="387"/>
    </row>
    <row r="1043" spans="15:17" ht="20.100000000000001" customHeight="1">
      <c r="O1043" s="387"/>
      <c r="P1043" s="387"/>
      <c r="Q1043" s="387"/>
    </row>
    <row r="1044" spans="15:17" ht="20.100000000000001" customHeight="1">
      <c r="O1044" s="387"/>
      <c r="P1044" s="387"/>
      <c r="Q1044" s="387"/>
    </row>
    <row r="1045" spans="15:17" ht="20.100000000000001" customHeight="1">
      <c r="O1045" s="387"/>
      <c r="P1045" s="387"/>
      <c r="Q1045" s="387"/>
    </row>
    <row r="1046" spans="15:17" ht="20.100000000000001" customHeight="1">
      <c r="O1046" s="387"/>
      <c r="P1046" s="387"/>
      <c r="Q1046" s="387"/>
    </row>
    <row r="1047" spans="15:17" ht="20.100000000000001" customHeight="1">
      <c r="O1047" s="387"/>
      <c r="P1047" s="387"/>
      <c r="Q1047" s="387"/>
    </row>
    <row r="1048" spans="15:17" ht="20.100000000000001" customHeight="1">
      <c r="O1048" s="387"/>
      <c r="P1048" s="387"/>
      <c r="Q1048" s="387"/>
    </row>
    <row r="1049" spans="15:17" ht="20.100000000000001" customHeight="1">
      <c r="O1049" s="387"/>
      <c r="P1049" s="387"/>
      <c r="Q1049" s="387"/>
    </row>
    <row r="1050" spans="15:17" ht="20.100000000000001" customHeight="1">
      <c r="O1050" s="387"/>
      <c r="P1050" s="387"/>
      <c r="Q1050" s="387"/>
    </row>
    <row r="1051" spans="15:17" ht="20.100000000000001" customHeight="1">
      <c r="O1051" s="387"/>
      <c r="P1051" s="387"/>
      <c r="Q1051" s="387"/>
    </row>
    <row r="1052" spans="15:17" ht="20.100000000000001" customHeight="1">
      <c r="O1052" s="387"/>
      <c r="P1052" s="387"/>
      <c r="Q1052" s="387"/>
    </row>
    <row r="1053" spans="15:17" ht="20.100000000000001" customHeight="1">
      <c r="O1053" s="387"/>
      <c r="P1053" s="387"/>
      <c r="Q1053" s="387"/>
    </row>
    <row r="1054" spans="15:17" ht="20.100000000000001" customHeight="1">
      <c r="O1054" s="387"/>
      <c r="P1054" s="387"/>
      <c r="Q1054" s="387"/>
    </row>
    <row r="1055" spans="15:17" ht="20.100000000000001" customHeight="1">
      <c r="O1055" s="387"/>
      <c r="P1055" s="387"/>
      <c r="Q1055" s="387"/>
    </row>
    <row r="1056" spans="15:17" ht="20.100000000000001" customHeight="1">
      <c r="O1056" s="387"/>
      <c r="P1056" s="387"/>
      <c r="Q1056" s="387"/>
    </row>
    <row r="1057" spans="15:17" ht="20.100000000000001" customHeight="1">
      <c r="O1057" s="387"/>
      <c r="P1057" s="387"/>
      <c r="Q1057" s="387"/>
    </row>
    <row r="1058" spans="15:17" ht="20.100000000000001" customHeight="1">
      <c r="O1058" s="387"/>
      <c r="P1058" s="387"/>
      <c r="Q1058" s="387"/>
    </row>
    <row r="1059" spans="15:17" ht="20.100000000000001" customHeight="1">
      <c r="O1059" s="387"/>
      <c r="P1059" s="387"/>
      <c r="Q1059" s="387"/>
    </row>
    <row r="1060" spans="15:17" ht="20.100000000000001" customHeight="1">
      <c r="O1060" s="387"/>
      <c r="P1060" s="387"/>
      <c r="Q1060" s="387"/>
    </row>
    <row r="1061" spans="15:17" ht="20.100000000000001" customHeight="1">
      <c r="O1061" s="387"/>
      <c r="P1061" s="387"/>
      <c r="Q1061" s="387"/>
    </row>
    <row r="1062" spans="15:17" ht="20.100000000000001" customHeight="1">
      <c r="O1062" s="387"/>
      <c r="P1062" s="387"/>
      <c r="Q1062" s="387"/>
    </row>
    <row r="1063" spans="15:17" ht="20.100000000000001" customHeight="1">
      <c r="O1063" s="387"/>
      <c r="P1063" s="387"/>
      <c r="Q1063" s="387"/>
    </row>
    <row r="1064" spans="15:17" ht="20.100000000000001" customHeight="1">
      <c r="O1064" s="387"/>
      <c r="P1064" s="387"/>
      <c r="Q1064" s="387"/>
    </row>
    <row r="1065" spans="15:17" ht="20.100000000000001" customHeight="1">
      <c r="O1065" s="387"/>
      <c r="P1065" s="387"/>
      <c r="Q1065" s="387"/>
    </row>
    <row r="1066" spans="15:17" ht="20.100000000000001" customHeight="1">
      <c r="O1066" s="387"/>
      <c r="P1066" s="387"/>
      <c r="Q1066" s="387"/>
    </row>
    <row r="1067" spans="15:17" ht="20.100000000000001" customHeight="1">
      <c r="O1067" s="387"/>
      <c r="P1067" s="387"/>
      <c r="Q1067" s="387"/>
    </row>
    <row r="1068" spans="15:17" ht="20.100000000000001" customHeight="1">
      <c r="O1068" s="387"/>
      <c r="P1068" s="387"/>
      <c r="Q1068" s="387"/>
    </row>
    <row r="1069" spans="15:17" ht="20.100000000000001" customHeight="1">
      <c r="O1069" s="387"/>
      <c r="P1069" s="387"/>
      <c r="Q1069" s="387"/>
    </row>
    <row r="1070" spans="15:17" ht="20.100000000000001" customHeight="1">
      <c r="O1070" s="387"/>
      <c r="P1070" s="387"/>
      <c r="Q1070" s="387"/>
    </row>
    <row r="1071" spans="15:17" ht="20.100000000000001" customHeight="1">
      <c r="O1071" s="387"/>
      <c r="P1071" s="387"/>
      <c r="Q1071" s="387"/>
    </row>
    <row r="1072" spans="15:17" ht="20.100000000000001" customHeight="1">
      <c r="O1072" s="387"/>
      <c r="P1072" s="387"/>
      <c r="Q1072" s="387"/>
    </row>
    <row r="1073" spans="15:17" ht="20.100000000000001" customHeight="1">
      <c r="O1073" s="387"/>
      <c r="P1073" s="387"/>
      <c r="Q1073" s="387"/>
    </row>
    <row r="1074" spans="15:17" ht="20.100000000000001" customHeight="1">
      <c r="O1074" s="387"/>
      <c r="P1074" s="387"/>
      <c r="Q1074" s="387"/>
    </row>
    <row r="1075" spans="15:17" ht="20.100000000000001" customHeight="1">
      <c r="O1075" s="387"/>
      <c r="P1075" s="387"/>
      <c r="Q1075" s="387"/>
    </row>
    <row r="1076" spans="15:17" ht="20.100000000000001" customHeight="1">
      <c r="O1076" s="387"/>
      <c r="P1076" s="387"/>
      <c r="Q1076" s="387"/>
    </row>
    <row r="1077" spans="15:17" ht="20.100000000000001" customHeight="1">
      <c r="O1077" s="387"/>
      <c r="P1077" s="387"/>
      <c r="Q1077" s="387"/>
    </row>
    <row r="1078" spans="15:17" ht="20.100000000000001" customHeight="1">
      <c r="O1078" s="387"/>
      <c r="P1078" s="387"/>
      <c r="Q1078" s="387"/>
    </row>
    <row r="1079" spans="15:17" ht="20.100000000000001" customHeight="1">
      <c r="O1079" s="387"/>
      <c r="P1079" s="387"/>
      <c r="Q1079" s="387"/>
    </row>
    <row r="1080" spans="15:17" ht="20.100000000000001" customHeight="1">
      <c r="O1080" s="387"/>
      <c r="P1080" s="387"/>
      <c r="Q1080" s="387"/>
    </row>
    <row r="1081" spans="15:17" ht="20.100000000000001" customHeight="1">
      <c r="O1081" s="387"/>
      <c r="P1081" s="387"/>
      <c r="Q1081" s="387"/>
    </row>
    <row r="1082" spans="15:17" ht="20.100000000000001" customHeight="1">
      <c r="O1082" s="387"/>
      <c r="P1082" s="387"/>
      <c r="Q1082" s="387"/>
    </row>
    <row r="1083" spans="15:17" ht="20.100000000000001" customHeight="1">
      <c r="O1083" s="387"/>
      <c r="P1083" s="387"/>
      <c r="Q1083" s="387"/>
    </row>
    <row r="1084" spans="15:17" ht="20.100000000000001" customHeight="1">
      <c r="O1084" s="387"/>
      <c r="P1084" s="387"/>
      <c r="Q1084" s="387"/>
    </row>
    <row r="1085" spans="15:17" ht="20.100000000000001" customHeight="1">
      <c r="O1085" s="387"/>
      <c r="P1085" s="387"/>
      <c r="Q1085" s="387"/>
    </row>
    <row r="1086" spans="15:17" ht="20.100000000000001" customHeight="1">
      <c r="O1086" s="387"/>
      <c r="P1086" s="387"/>
      <c r="Q1086" s="387"/>
    </row>
    <row r="1087" spans="15:17" ht="20.100000000000001" customHeight="1">
      <c r="O1087" s="387"/>
      <c r="P1087" s="387"/>
      <c r="Q1087" s="387"/>
    </row>
    <row r="1088" spans="15:17" ht="20.100000000000001" customHeight="1">
      <c r="O1088" s="387"/>
      <c r="P1088" s="387"/>
      <c r="Q1088" s="387"/>
    </row>
    <row r="1089" spans="15:17" ht="20.100000000000001" customHeight="1">
      <c r="O1089" s="387"/>
      <c r="P1089" s="387"/>
      <c r="Q1089" s="387"/>
    </row>
    <row r="1090" spans="15:17" ht="20.100000000000001" customHeight="1">
      <c r="O1090" s="387"/>
      <c r="P1090" s="387"/>
      <c r="Q1090" s="387"/>
    </row>
    <row r="1091" spans="15:17" ht="20.100000000000001" customHeight="1">
      <c r="O1091" s="387"/>
      <c r="P1091" s="387"/>
      <c r="Q1091" s="387"/>
    </row>
    <row r="1092" spans="15:17" ht="20.100000000000001" customHeight="1">
      <c r="O1092" s="387"/>
      <c r="P1092" s="387"/>
      <c r="Q1092" s="387"/>
    </row>
    <row r="1093" spans="15:17" ht="20.100000000000001" customHeight="1">
      <c r="O1093" s="387"/>
      <c r="P1093" s="387"/>
      <c r="Q1093" s="387"/>
    </row>
    <row r="1094" spans="15:17" ht="20.100000000000001" customHeight="1">
      <c r="O1094" s="387"/>
      <c r="P1094" s="387"/>
      <c r="Q1094" s="387"/>
    </row>
    <row r="1095" spans="15:17" ht="20.100000000000001" customHeight="1">
      <c r="O1095" s="387"/>
      <c r="P1095" s="387"/>
      <c r="Q1095" s="387"/>
    </row>
    <row r="1096" spans="15:17" ht="20.100000000000001" customHeight="1">
      <c r="O1096" s="387"/>
      <c r="P1096" s="387"/>
      <c r="Q1096" s="387"/>
    </row>
    <row r="1097" spans="15:17" ht="20.100000000000001" customHeight="1">
      <c r="O1097" s="387"/>
      <c r="P1097" s="387"/>
      <c r="Q1097" s="387"/>
    </row>
    <row r="1098" spans="15:17" ht="20.100000000000001" customHeight="1">
      <c r="O1098" s="387"/>
      <c r="P1098" s="387"/>
      <c r="Q1098" s="387"/>
    </row>
    <row r="1099" spans="15:17" ht="20.100000000000001" customHeight="1">
      <c r="O1099" s="387"/>
      <c r="P1099" s="387"/>
      <c r="Q1099" s="387"/>
    </row>
    <row r="1100" spans="15:17" ht="20.100000000000001" customHeight="1">
      <c r="O1100" s="387"/>
      <c r="P1100" s="387"/>
      <c r="Q1100" s="387"/>
    </row>
    <row r="1101" spans="15:17" ht="20.100000000000001" customHeight="1">
      <c r="O1101" s="387"/>
      <c r="P1101" s="387"/>
      <c r="Q1101" s="387"/>
    </row>
    <row r="1102" spans="15:17" ht="20.100000000000001" customHeight="1">
      <c r="O1102" s="387"/>
      <c r="P1102" s="387"/>
      <c r="Q1102" s="387"/>
    </row>
    <row r="1103" spans="15:17" ht="20.100000000000001" customHeight="1">
      <c r="O1103" s="387"/>
      <c r="P1103" s="387"/>
      <c r="Q1103" s="387"/>
    </row>
    <row r="1104" spans="15:17" ht="20.100000000000001" customHeight="1">
      <c r="O1104" s="387"/>
      <c r="P1104" s="387"/>
      <c r="Q1104" s="387"/>
    </row>
    <row r="1105" spans="15:17" ht="20.100000000000001" customHeight="1">
      <c r="O1105" s="387"/>
      <c r="P1105" s="387"/>
      <c r="Q1105" s="387"/>
    </row>
    <row r="1106" spans="15:17" ht="20.100000000000001" customHeight="1">
      <c r="O1106" s="387"/>
      <c r="P1106" s="387"/>
      <c r="Q1106" s="387"/>
    </row>
    <row r="1107" spans="15:17" ht="20.100000000000001" customHeight="1">
      <c r="O1107" s="387"/>
      <c r="P1107" s="387"/>
      <c r="Q1107" s="387"/>
    </row>
    <row r="1108" spans="15:17" ht="20.100000000000001" customHeight="1">
      <c r="O1108" s="387"/>
      <c r="P1108" s="387"/>
      <c r="Q1108" s="387"/>
    </row>
    <row r="1109" spans="15:17" ht="20.100000000000001" customHeight="1">
      <c r="O1109" s="387"/>
      <c r="P1109" s="387"/>
      <c r="Q1109" s="387"/>
    </row>
    <row r="1110" spans="15:17" ht="20.100000000000001" customHeight="1">
      <c r="O1110" s="387"/>
      <c r="P1110" s="387"/>
      <c r="Q1110" s="387"/>
    </row>
    <row r="1111" spans="15:17" ht="20.100000000000001" customHeight="1">
      <c r="O1111" s="387"/>
      <c r="P1111" s="387"/>
      <c r="Q1111" s="387"/>
    </row>
    <row r="1112" spans="15:17" ht="20.100000000000001" customHeight="1">
      <c r="O1112" s="387"/>
      <c r="P1112" s="387"/>
      <c r="Q1112" s="387"/>
    </row>
    <row r="1113" spans="15:17" ht="20.100000000000001" customHeight="1">
      <c r="O1113" s="387"/>
      <c r="P1113" s="387"/>
      <c r="Q1113" s="387"/>
    </row>
    <row r="1114" spans="15:17" ht="20.100000000000001" customHeight="1">
      <c r="O1114" s="387"/>
      <c r="P1114" s="387"/>
      <c r="Q1114" s="387"/>
    </row>
    <row r="1115" spans="15:17" ht="20.100000000000001" customHeight="1">
      <c r="O1115" s="387"/>
      <c r="P1115" s="387"/>
      <c r="Q1115" s="387"/>
    </row>
    <row r="1116" spans="15:17" ht="20.100000000000001" customHeight="1">
      <c r="O1116" s="387"/>
      <c r="P1116" s="387"/>
      <c r="Q1116" s="387"/>
    </row>
    <row r="1117" spans="15:17" ht="20.100000000000001" customHeight="1">
      <c r="O1117" s="387"/>
      <c r="P1117" s="387"/>
      <c r="Q1117" s="387"/>
    </row>
    <row r="1118" spans="15:17" ht="20.100000000000001" customHeight="1">
      <c r="O1118" s="387"/>
      <c r="P1118" s="387"/>
      <c r="Q1118" s="387"/>
    </row>
    <row r="1119" spans="15:17" ht="20.100000000000001" customHeight="1">
      <c r="O1119" s="387"/>
      <c r="P1119" s="387"/>
      <c r="Q1119" s="387"/>
    </row>
    <row r="1120" spans="15:17" ht="20.100000000000001" customHeight="1">
      <c r="O1120" s="387"/>
      <c r="P1120" s="387"/>
      <c r="Q1120" s="387"/>
    </row>
    <row r="1121" spans="15:17" ht="20.100000000000001" customHeight="1">
      <c r="O1121" s="387"/>
      <c r="P1121" s="387"/>
      <c r="Q1121" s="387"/>
    </row>
    <row r="1122" spans="15:17" ht="20.100000000000001" customHeight="1">
      <c r="O1122" s="387"/>
      <c r="P1122" s="387"/>
      <c r="Q1122" s="387"/>
    </row>
    <row r="1123" spans="15:17" ht="20.100000000000001" customHeight="1">
      <c r="O1123" s="387"/>
      <c r="P1123" s="387"/>
      <c r="Q1123" s="387"/>
    </row>
    <row r="1124" spans="15:17" ht="20.100000000000001" customHeight="1">
      <c r="O1124" s="387"/>
      <c r="P1124" s="387"/>
      <c r="Q1124" s="387"/>
    </row>
    <row r="1125" spans="15:17" ht="20.100000000000001" customHeight="1">
      <c r="O1125" s="387"/>
      <c r="P1125" s="387"/>
      <c r="Q1125" s="387"/>
    </row>
    <row r="1126" spans="15:17" ht="20.100000000000001" customHeight="1">
      <c r="O1126" s="387"/>
      <c r="P1126" s="387"/>
      <c r="Q1126" s="387"/>
    </row>
    <row r="1127" spans="15:17" ht="20.100000000000001" customHeight="1">
      <c r="O1127" s="387"/>
      <c r="P1127" s="387"/>
      <c r="Q1127" s="387"/>
    </row>
    <row r="1128" spans="15:17" ht="20.100000000000001" customHeight="1">
      <c r="O1128" s="387"/>
      <c r="P1128" s="387"/>
      <c r="Q1128" s="387"/>
    </row>
    <row r="1129" spans="15:17" ht="20.100000000000001" customHeight="1">
      <c r="O1129" s="387"/>
      <c r="P1129" s="387"/>
      <c r="Q1129" s="387"/>
    </row>
    <row r="1130" spans="15:17" ht="20.100000000000001" customHeight="1">
      <c r="O1130" s="387"/>
      <c r="P1130" s="387"/>
      <c r="Q1130" s="387"/>
    </row>
    <row r="1131" spans="15:17" ht="20.100000000000001" customHeight="1">
      <c r="O1131" s="387"/>
      <c r="P1131" s="387"/>
      <c r="Q1131" s="387"/>
    </row>
    <row r="1132" spans="15:17" ht="20.100000000000001" customHeight="1">
      <c r="O1132" s="387"/>
      <c r="P1132" s="387"/>
      <c r="Q1132" s="387"/>
    </row>
    <row r="1133" spans="15:17" ht="20.100000000000001" customHeight="1">
      <c r="O1133" s="387"/>
      <c r="P1133" s="387"/>
      <c r="Q1133" s="387"/>
    </row>
    <row r="1134" spans="15:17" ht="20.100000000000001" customHeight="1">
      <c r="O1134" s="387"/>
      <c r="P1134" s="387"/>
      <c r="Q1134" s="387"/>
    </row>
    <row r="1135" spans="15:17" ht="20.100000000000001" customHeight="1">
      <c r="O1135" s="387"/>
      <c r="P1135" s="387"/>
      <c r="Q1135" s="387"/>
    </row>
    <row r="1136" spans="15:17" ht="20.100000000000001" customHeight="1">
      <c r="O1136" s="387"/>
      <c r="P1136" s="387"/>
      <c r="Q1136" s="387"/>
    </row>
    <row r="1137" spans="15:17" ht="20.100000000000001" customHeight="1">
      <c r="O1137" s="387"/>
      <c r="P1137" s="387"/>
      <c r="Q1137" s="387"/>
    </row>
    <row r="1138" spans="15:17" ht="20.100000000000001" customHeight="1">
      <c r="O1138" s="387"/>
      <c r="P1138" s="387"/>
      <c r="Q1138" s="387"/>
    </row>
    <row r="1139" spans="15:17" ht="20.100000000000001" customHeight="1">
      <c r="O1139" s="387"/>
      <c r="P1139" s="387"/>
      <c r="Q1139" s="387"/>
    </row>
    <row r="1140" spans="15:17" ht="20.100000000000001" customHeight="1">
      <c r="O1140" s="387"/>
      <c r="P1140" s="387"/>
      <c r="Q1140" s="387"/>
    </row>
    <row r="1141" spans="15:17" ht="20.100000000000001" customHeight="1">
      <c r="O1141" s="387"/>
      <c r="P1141" s="387"/>
      <c r="Q1141" s="387"/>
    </row>
    <row r="1142" spans="15:17" ht="20.100000000000001" customHeight="1">
      <c r="O1142" s="387"/>
      <c r="P1142" s="387"/>
      <c r="Q1142" s="387"/>
    </row>
    <row r="1143" spans="15:17" ht="20.100000000000001" customHeight="1">
      <c r="O1143" s="387"/>
      <c r="P1143" s="387"/>
      <c r="Q1143" s="387"/>
    </row>
    <row r="1144" spans="15:17" ht="20.100000000000001" customHeight="1">
      <c r="O1144" s="387"/>
      <c r="P1144" s="387"/>
      <c r="Q1144" s="387"/>
    </row>
    <row r="1145" spans="15:17" ht="20.100000000000001" customHeight="1">
      <c r="O1145" s="387"/>
      <c r="P1145" s="387"/>
      <c r="Q1145" s="387"/>
    </row>
    <row r="1146" spans="15:17" ht="20.100000000000001" customHeight="1">
      <c r="O1146" s="387"/>
      <c r="P1146" s="387"/>
      <c r="Q1146" s="387"/>
    </row>
    <row r="1147" spans="15:17" ht="20.100000000000001" customHeight="1">
      <c r="O1147" s="387"/>
      <c r="P1147" s="387"/>
      <c r="Q1147" s="387"/>
    </row>
    <row r="1148" spans="15:17" ht="20.100000000000001" customHeight="1">
      <c r="O1148" s="387"/>
      <c r="P1148" s="387"/>
      <c r="Q1148" s="387"/>
    </row>
    <row r="1149" spans="15:17" ht="20.100000000000001" customHeight="1">
      <c r="O1149" s="387"/>
      <c r="P1149" s="387"/>
      <c r="Q1149" s="387"/>
    </row>
    <row r="1150" spans="15:17" ht="20.100000000000001" customHeight="1">
      <c r="O1150" s="387"/>
      <c r="P1150" s="387"/>
      <c r="Q1150" s="387"/>
    </row>
    <row r="1151" spans="15:17" ht="20.100000000000001" customHeight="1">
      <c r="O1151" s="387"/>
      <c r="P1151" s="387"/>
      <c r="Q1151" s="387"/>
    </row>
    <row r="1152" spans="15:17" ht="20.100000000000001" customHeight="1">
      <c r="O1152" s="387"/>
      <c r="P1152" s="387"/>
      <c r="Q1152" s="387"/>
    </row>
    <row r="1153" spans="15:17" ht="20.100000000000001" customHeight="1">
      <c r="O1153" s="387"/>
      <c r="P1153" s="387"/>
      <c r="Q1153" s="387"/>
    </row>
    <row r="1154" spans="15:17" ht="20.100000000000001" customHeight="1">
      <c r="O1154" s="387"/>
      <c r="P1154" s="387"/>
      <c r="Q1154" s="387"/>
    </row>
    <row r="1155" spans="15:17" ht="20.100000000000001" customHeight="1">
      <c r="O1155" s="387"/>
      <c r="P1155" s="387"/>
      <c r="Q1155" s="387"/>
    </row>
    <row r="1156" spans="15:17" ht="20.100000000000001" customHeight="1">
      <c r="O1156" s="387"/>
      <c r="P1156" s="387"/>
      <c r="Q1156" s="387"/>
    </row>
    <row r="1157" spans="15:17" ht="20.100000000000001" customHeight="1">
      <c r="O1157" s="387"/>
      <c r="P1157" s="387"/>
      <c r="Q1157" s="387"/>
    </row>
    <row r="1158" spans="15:17" ht="20.100000000000001" customHeight="1">
      <c r="O1158" s="387"/>
      <c r="P1158" s="387"/>
      <c r="Q1158" s="387"/>
    </row>
    <row r="1159" spans="15:17" ht="20.100000000000001" customHeight="1">
      <c r="O1159" s="387"/>
      <c r="P1159" s="387"/>
      <c r="Q1159" s="387"/>
    </row>
    <row r="1160" spans="15:17" ht="20.100000000000001" customHeight="1">
      <c r="O1160" s="387"/>
      <c r="P1160" s="387"/>
      <c r="Q1160" s="387"/>
    </row>
    <row r="1161" spans="15:17" ht="20.100000000000001" customHeight="1">
      <c r="O1161" s="387"/>
      <c r="P1161" s="387"/>
      <c r="Q1161" s="387"/>
    </row>
    <row r="1162" spans="15:17" ht="20.100000000000001" customHeight="1">
      <c r="O1162" s="387"/>
      <c r="P1162" s="387"/>
      <c r="Q1162" s="387"/>
    </row>
    <row r="1163" spans="15:17" ht="20.100000000000001" customHeight="1">
      <c r="O1163" s="387"/>
      <c r="P1163" s="387"/>
      <c r="Q1163" s="387"/>
    </row>
    <row r="1164" spans="15:17" ht="20.100000000000001" customHeight="1">
      <c r="O1164" s="387"/>
      <c r="P1164" s="387"/>
      <c r="Q1164" s="387"/>
    </row>
    <row r="1165" spans="15:17" ht="20.100000000000001" customHeight="1">
      <c r="O1165" s="387"/>
      <c r="P1165" s="387"/>
      <c r="Q1165" s="387"/>
    </row>
    <row r="1166" spans="15:17" ht="20.100000000000001" customHeight="1">
      <c r="O1166" s="387"/>
      <c r="P1166" s="387"/>
      <c r="Q1166" s="387"/>
    </row>
    <row r="1167" spans="15:17" ht="20.100000000000001" customHeight="1">
      <c r="O1167" s="387"/>
      <c r="P1167" s="387"/>
      <c r="Q1167" s="387"/>
    </row>
    <row r="1168" spans="15:17" ht="20.100000000000001" customHeight="1">
      <c r="O1168" s="387"/>
      <c r="P1168" s="387"/>
      <c r="Q1168" s="387"/>
    </row>
    <row r="1169" spans="15:17" ht="20.100000000000001" customHeight="1">
      <c r="O1169" s="387"/>
      <c r="P1169" s="387"/>
      <c r="Q1169" s="387"/>
    </row>
    <row r="1170" spans="15:17" ht="20.100000000000001" customHeight="1">
      <c r="O1170" s="387"/>
      <c r="P1170" s="387"/>
      <c r="Q1170" s="387"/>
    </row>
    <row r="1171" spans="15:17" ht="20.100000000000001" customHeight="1">
      <c r="O1171" s="387"/>
      <c r="P1171" s="387"/>
      <c r="Q1171" s="387"/>
    </row>
    <row r="1172" spans="15:17" ht="20.100000000000001" customHeight="1">
      <c r="O1172" s="387"/>
      <c r="P1172" s="387"/>
      <c r="Q1172" s="387"/>
    </row>
    <row r="1173" spans="15:17" ht="20.100000000000001" customHeight="1">
      <c r="O1173" s="387"/>
      <c r="P1173" s="387"/>
      <c r="Q1173" s="387"/>
    </row>
    <row r="1174" spans="15:17" ht="20.100000000000001" customHeight="1">
      <c r="O1174" s="387"/>
      <c r="P1174" s="387"/>
      <c r="Q1174" s="387"/>
    </row>
    <row r="1175" spans="15:17" ht="20.100000000000001" customHeight="1">
      <c r="O1175" s="387"/>
      <c r="P1175" s="387"/>
      <c r="Q1175" s="387"/>
    </row>
    <row r="1176" spans="15:17" ht="20.100000000000001" customHeight="1">
      <c r="O1176" s="387"/>
      <c r="P1176" s="387"/>
      <c r="Q1176" s="387"/>
    </row>
    <row r="1177" spans="15:17" ht="20.100000000000001" customHeight="1">
      <c r="O1177" s="387"/>
      <c r="P1177" s="387"/>
      <c r="Q1177" s="387"/>
    </row>
    <row r="1178" spans="15:17" ht="20.100000000000001" customHeight="1">
      <c r="O1178" s="387"/>
      <c r="P1178" s="387"/>
      <c r="Q1178" s="387"/>
    </row>
    <row r="1179" spans="15:17" ht="20.100000000000001" customHeight="1">
      <c r="O1179" s="387"/>
      <c r="P1179" s="387"/>
      <c r="Q1179" s="387"/>
    </row>
    <row r="1180" spans="15:17" ht="20.100000000000001" customHeight="1">
      <c r="O1180" s="387"/>
      <c r="P1180" s="387"/>
      <c r="Q1180" s="387"/>
    </row>
    <row r="1181" spans="15:17" ht="20.100000000000001" customHeight="1">
      <c r="O1181" s="387"/>
      <c r="P1181" s="387"/>
      <c r="Q1181" s="387"/>
    </row>
    <row r="1182" spans="15:17" ht="20.100000000000001" customHeight="1">
      <c r="O1182" s="387"/>
      <c r="P1182" s="387"/>
      <c r="Q1182" s="387"/>
    </row>
    <row r="1183" spans="15:17" ht="20.100000000000001" customHeight="1">
      <c r="O1183" s="387"/>
      <c r="P1183" s="387"/>
      <c r="Q1183" s="387"/>
    </row>
    <row r="1184" spans="15:17" ht="20.100000000000001" customHeight="1">
      <c r="O1184" s="387"/>
      <c r="P1184" s="387"/>
      <c r="Q1184" s="387"/>
    </row>
    <row r="1185" spans="15:17" ht="20.100000000000001" customHeight="1">
      <c r="O1185" s="387"/>
      <c r="P1185" s="387"/>
      <c r="Q1185" s="387"/>
    </row>
    <row r="1186" spans="15:17" ht="20.100000000000001" customHeight="1">
      <c r="O1186" s="387"/>
      <c r="P1186" s="387"/>
      <c r="Q1186" s="387"/>
    </row>
    <row r="1187" spans="15:17" ht="20.100000000000001" customHeight="1">
      <c r="O1187" s="387"/>
      <c r="P1187" s="387"/>
      <c r="Q1187" s="387"/>
    </row>
    <row r="1188" spans="15:17" ht="20.100000000000001" customHeight="1">
      <c r="O1188" s="387"/>
      <c r="P1188" s="387"/>
      <c r="Q1188" s="387"/>
    </row>
    <row r="1189" spans="15:17" ht="20.100000000000001" customHeight="1">
      <c r="O1189" s="387"/>
      <c r="P1189" s="387"/>
      <c r="Q1189" s="387"/>
    </row>
    <row r="1190" spans="15:17" ht="20.100000000000001" customHeight="1">
      <c r="O1190" s="387"/>
      <c r="P1190" s="387"/>
      <c r="Q1190" s="387"/>
    </row>
    <row r="1191" spans="15:17" ht="20.100000000000001" customHeight="1">
      <c r="O1191" s="387"/>
      <c r="P1191" s="387"/>
      <c r="Q1191" s="387"/>
    </row>
    <row r="1192" spans="15:17" ht="20.100000000000001" customHeight="1">
      <c r="O1192" s="387"/>
      <c r="P1192" s="387"/>
      <c r="Q1192" s="387"/>
    </row>
    <row r="1193" spans="15:17" ht="20.100000000000001" customHeight="1">
      <c r="O1193" s="387"/>
      <c r="P1193" s="387"/>
      <c r="Q1193" s="387"/>
    </row>
    <row r="1194" spans="15:17" ht="20.100000000000001" customHeight="1">
      <c r="O1194" s="387"/>
      <c r="P1194" s="387"/>
      <c r="Q1194" s="387"/>
    </row>
    <row r="1195" spans="15:17" ht="20.100000000000001" customHeight="1">
      <c r="O1195" s="387"/>
      <c r="P1195" s="387"/>
      <c r="Q1195" s="387"/>
    </row>
    <row r="1196" spans="15:17" ht="20.100000000000001" customHeight="1">
      <c r="O1196" s="387"/>
      <c r="P1196" s="387"/>
      <c r="Q1196" s="387"/>
    </row>
    <row r="1197" spans="15:17" ht="20.100000000000001" customHeight="1">
      <c r="O1197" s="387"/>
      <c r="P1197" s="387"/>
      <c r="Q1197" s="387"/>
    </row>
    <row r="1198" spans="15:17" ht="20.100000000000001" customHeight="1">
      <c r="O1198" s="387"/>
      <c r="P1198" s="387"/>
      <c r="Q1198" s="387"/>
    </row>
    <row r="1199" spans="15:17" ht="20.100000000000001" customHeight="1">
      <c r="O1199" s="387"/>
      <c r="P1199" s="387"/>
      <c r="Q1199" s="387"/>
    </row>
    <row r="1200" spans="15:17" ht="20.100000000000001" customHeight="1">
      <c r="O1200" s="387"/>
      <c r="P1200" s="387"/>
      <c r="Q1200" s="387"/>
    </row>
    <row r="1201" spans="15:17" ht="20.100000000000001" customHeight="1">
      <c r="O1201" s="387"/>
      <c r="P1201" s="387"/>
      <c r="Q1201" s="387"/>
    </row>
    <row r="1202" spans="15:17" ht="20.100000000000001" customHeight="1">
      <c r="O1202" s="387"/>
      <c r="P1202" s="387"/>
      <c r="Q1202" s="387"/>
    </row>
    <row r="1203" spans="15:17" ht="20.100000000000001" customHeight="1">
      <c r="O1203" s="387"/>
      <c r="P1203" s="387"/>
      <c r="Q1203" s="387"/>
    </row>
    <row r="1204" spans="15:17" ht="20.100000000000001" customHeight="1">
      <c r="O1204" s="387"/>
      <c r="P1204" s="387"/>
      <c r="Q1204" s="387"/>
    </row>
    <row r="1205" spans="15:17" ht="20.100000000000001" customHeight="1">
      <c r="O1205" s="387"/>
      <c r="P1205" s="387"/>
      <c r="Q1205" s="387"/>
    </row>
    <row r="1206" spans="15:17" ht="20.100000000000001" customHeight="1">
      <c r="O1206" s="387"/>
      <c r="P1206" s="387"/>
      <c r="Q1206" s="387"/>
    </row>
    <row r="1207" spans="15:17" ht="20.100000000000001" customHeight="1">
      <c r="O1207" s="387"/>
      <c r="P1207" s="387"/>
      <c r="Q1207" s="387"/>
    </row>
    <row r="1208" spans="15:17" ht="20.100000000000001" customHeight="1">
      <c r="O1208" s="387"/>
      <c r="P1208" s="387"/>
      <c r="Q1208" s="387"/>
    </row>
    <row r="1209" spans="15:17" ht="20.100000000000001" customHeight="1">
      <c r="O1209" s="387"/>
      <c r="P1209" s="387"/>
      <c r="Q1209" s="387"/>
    </row>
    <row r="1210" spans="15:17" ht="20.100000000000001" customHeight="1">
      <c r="O1210" s="387"/>
      <c r="P1210" s="387"/>
      <c r="Q1210" s="387"/>
    </row>
    <row r="1211" spans="15:17" ht="20.100000000000001" customHeight="1">
      <c r="O1211" s="387"/>
      <c r="P1211" s="387"/>
      <c r="Q1211" s="387"/>
    </row>
    <row r="1212" spans="15:17" ht="20.100000000000001" customHeight="1">
      <c r="O1212" s="387"/>
      <c r="P1212" s="387"/>
      <c r="Q1212" s="387"/>
    </row>
    <row r="1213" spans="15:17" ht="20.100000000000001" customHeight="1">
      <c r="O1213" s="387"/>
      <c r="P1213" s="387"/>
      <c r="Q1213" s="387"/>
    </row>
    <row r="1214" spans="15:17" ht="20.100000000000001" customHeight="1">
      <c r="O1214" s="387"/>
      <c r="P1214" s="387"/>
      <c r="Q1214" s="387"/>
    </row>
    <row r="1215" spans="15:17" ht="20.100000000000001" customHeight="1">
      <c r="O1215" s="387"/>
      <c r="P1215" s="387"/>
      <c r="Q1215" s="387"/>
    </row>
    <row r="1216" spans="15:17" ht="20.100000000000001" customHeight="1">
      <c r="O1216" s="387"/>
      <c r="P1216" s="387"/>
      <c r="Q1216" s="387"/>
    </row>
    <row r="1217" spans="15:17" ht="20.100000000000001" customHeight="1">
      <c r="O1217" s="387"/>
      <c r="P1217" s="387"/>
      <c r="Q1217" s="387"/>
    </row>
    <row r="1218" spans="15:17" ht="20.100000000000001" customHeight="1">
      <c r="O1218" s="387"/>
      <c r="P1218" s="387"/>
      <c r="Q1218" s="387"/>
    </row>
    <row r="1219" spans="15:17" ht="20.100000000000001" customHeight="1">
      <c r="O1219" s="387"/>
      <c r="P1219" s="387"/>
      <c r="Q1219" s="387"/>
    </row>
    <row r="1220" spans="15:17" ht="20.100000000000001" customHeight="1">
      <c r="O1220" s="387"/>
      <c r="P1220" s="387"/>
      <c r="Q1220" s="387"/>
    </row>
    <row r="1221" spans="15:17" ht="20.100000000000001" customHeight="1">
      <c r="O1221" s="387"/>
      <c r="P1221" s="387"/>
      <c r="Q1221" s="387"/>
    </row>
    <row r="1222" spans="15:17" ht="20.100000000000001" customHeight="1">
      <c r="O1222" s="387"/>
      <c r="P1222" s="387"/>
      <c r="Q1222" s="387"/>
    </row>
    <row r="1223" spans="15:17" ht="20.100000000000001" customHeight="1">
      <c r="O1223" s="387"/>
      <c r="P1223" s="387"/>
      <c r="Q1223" s="387"/>
    </row>
    <row r="1224" spans="15:17" ht="20.100000000000001" customHeight="1">
      <c r="O1224" s="387"/>
      <c r="P1224" s="387"/>
      <c r="Q1224" s="387"/>
    </row>
    <row r="1225" spans="15:17" ht="20.100000000000001" customHeight="1">
      <c r="O1225" s="387"/>
      <c r="P1225" s="387"/>
      <c r="Q1225" s="387"/>
    </row>
    <row r="1226" spans="15:17" ht="20.100000000000001" customHeight="1">
      <c r="O1226" s="387"/>
      <c r="P1226" s="387"/>
      <c r="Q1226" s="387"/>
    </row>
    <row r="1227" spans="15:17" ht="20.100000000000001" customHeight="1">
      <c r="O1227" s="387"/>
      <c r="P1227" s="387"/>
      <c r="Q1227" s="387"/>
    </row>
    <row r="1228" spans="15:17" ht="20.100000000000001" customHeight="1">
      <c r="O1228" s="387"/>
      <c r="P1228" s="387"/>
      <c r="Q1228" s="387"/>
    </row>
    <row r="1229" spans="15:17" ht="20.100000000000001" customHeight="1">
      <c r="O1229" s="387"/>
      <c r="P1229" s="387"/>
      <c r="Q1229" s="387"/>
    </row>
    <row r="1230" spans="15:17" ht="20.100000000000001" customHeight="1">
      <c r="O1230" s="387"/>
      <c r="P1230" s="387"/>
      <c r="Q1230" s="387"/>
    </row>
    <row r="1231" spans="15:17" ht="20.100000000000001" customHeight="1">
      <c r="O1231" s="387"/>
      <c r="P1231" s="387"/>
      <c r="Q1231" s="387"/>
    </row>
    <row r="1232" spans="15:17" ht="20.100000000000001" customHeight="1">
      <c r="O1232" s="387"/>
      <c r="P1232" s="387"/>
      <c r="Q1232" s="387"/>
    </row>
    <row r="1233" spans="15:17" ht="20.100000000000001" customHeight="1">
      <c r="O1233" s="387"/>
      <c r="P1233" s="387"/>
      <c r="Q1233" s="387"/>
    </row>
    <row r="1234" spans="15:17" ht="20.100000000000001" customHeight="1">
      <c r="O1234" s="387"/>
      <c r="P1234" s="387"/>
      <c r="Q1234" s="387"/>
    </row>
    <row r="1235" spans="15:17" ht="20.100000000000001" customHeight="1">
      <c r="O1235" s="387"/>
      <c r="P1235" s="387"/>
      <c r="Q1235" s="387"/>
    </row>
    <row r="1236" spans="15:17" ht="20.100000000000001" customHeight="1">
      <c r="O1236" s="387"/>
      <c r="P1236" s="387"/>
      <c r="Q1236" s="387"/>
    </row>
    <row r="1237" spans="15:17" ht="20.100000000000001" customHeight="1">
      <c r="O1237" s="387"/>
      <c r="P1237" s="387"/>
      <c r="Q1237" s="387"/>
    </row>
    <row r="1238" spans="15:17" ht="20.100000000000001" customHeight="1">
      <c r="O1238" s="387"/>
      <c r="P1238" s="387"/>
      <c r="Q1238" s="387"/>
    </row>
    <row r="1239" spans="15:17" ht="20.100000000000001" customHeight="1">
      <c r="O1239" s="387"/>
      <c r="P1239" s="387"/>
      <c r="Q1239" s="387"/>
    </row>
    <row r="1240" spans="15:17" ht="20.100000000000001" customHeight="1">
      <c r="O1240" s="387"/>
      <c r="P1240" s="387"/>
      <c r="Q1240" s="387"/>
    </row>
    <row r="1241" spans="15:17" ht="20.100000000000001" customHeight="1">
      <c r="O1241" s="387"/>
      <c r="P1241" s="387"/>
      <c r="Q1241" s="387"/>
    </row>
    <row r="1242" spans="15:17" ht="20.100000000000001" customHeight="1">
      <c r="O1242" s="387"/>
      <c r="P1242" s="387"/>
      <c r="Q1242" s="387"/>
    </row>
    <row r="1243" spans="15:17" ht="20.100000000000001" customHeight="1">
      <c r="O1243" s="387"/>
      <c r="P1243" s="387"/>
      <c r="Q1243" s="387"/>
    </row>
    <row r="1244" spans="15:17" ht="20.100000000000001" customHeight="1">
      <c r="O1244" s="387"/>
      <c r="P1244" s="387"/>
      <c r="Q1244" s="387"/>
    </row>
    <row r="1245" spans="15:17" ht="20.100000000000001" customHeight="1">
      <c r="O1245" s="387"/>
      <c r="P1245" s="387"/>
      <c r="Q1245" s="387"/>
    </row>
    <row r="1246" spans="15:17" ht="20.100000000000001" customHeight="1">
      <c r="O1246" s="387"/>
      <c r="P1246" s="387"/>
      <c r="Q1246" s="387"/>
    </row>
    <row r="1247" spans="15:17" ht="20.100000000000001" customHeight="1">
      <c r="O1247" s="387"/>
      <c r="P1247" s="387"/>
      <c r="Q1247" s="387"/>
    </row>
    <row r="1248" spans="15:17" ht="20.100000000000001" customHeight="1">
      <c r="O1248" s="387"/>
      <c r="P1248" s="387"/>
      <c r="Q1248" s="387"/>
    </row>
    <row r="1249" spans="15:17" ht="20.100000000000001" customHeight="1">
      <c r="O1249" s="387"/>
      <c r="P1249" s="387"/>
      <c r="Q1249" s="387"/>
    </row>
    <row r="1250" spans="15:17" ht="20.100000000000001" customHeight="1">
      <c r="O1250" s="387"/>
      <c r="P1250" s="387"/>
      <c r="Q1250" s="387"/>
    </row>
    <row r="1251" spans="15:17" ht="20.100000000000001" customHeight="1">
      <c r="O1251" s="387"/>
      <c r="P1251" s="387"/>
      <c r="Q1251" s="387"/>
    </row>
    <row r="1252" spans="15:17" ht="20.100000000000001" customHeight="1">
      <c r="O1252" s="387"/>
      <c r="P1252" s="387"/>
      <c r="Q1252" s="387"/>
    </row>
    <row r="1253" spans="15:17" ht="20.100000000000001" customHeight="1">
      <c r="O1253" s="387"/>
      <c r="P1253" s="387"/>
      <c r="Q1253" s="387"/>
    </row>
    <row r="1254" spans="15:17" ht="20.100000000000001" customHeight="1">
      <c r="O1254" s="387"/>
      <c r="P1254" s="387"/>
      <c r="Q1254" s="387"/>
    </row>
    <row r="1255" spans="15:17" ht="20.100000000000001" customHeight="1">
      <c r="O1255" s="387"/>
      <c r="P1255" s="387"/>
      <c r="Q1255" s="387"/>
    </row>
    <row r="1256" spans="15:17" ht="20.100000000000001" customHeight="1">
      <c r="O1256" s="387"/>
      <c r="P1256" s="387"/>
      <c r="Q1256" s="387"/>
    </row>
    <row r="1257" spans="15:17" ht="20.100000000000001" customHeight="1">
      <c r="O1257" s="387"/>
      <c r="P1257" s="387"/>
      <c r="Q1257" s="387"/>
    </row>
    <row r="1258" spans="15:17" ht="20.100000000000001" customHeight="1">
      <c r="O1258" s="387"/>
      <c r="P1258" s="387"/>
      <c r="Q1258" s="387"/>
    </row>
    <row r="1259" spans="15:17" ht="20.100000000000001" customHeight="1">
      <c r="O1259" s="387"/>
      <c r="P1259" s="387"/>
      <c r="Q1259" s="387"/>
    </row>
    <row r="1260" spans="15:17" ht="20.100000000000001" customHeight="1">
      <c r="O1260" s="387"/>
      <c r="P1260" s="387"/>
      <c r="Q1260" s="387"/>
    </row>
    <row r="1261" spans="15:17" ht="20.100000000000001" customHeight="1">
      <c r="O1261" s="387"/>
      <c r="P1261" s="387"/>
      <c r="Q1261" s="387"/>
    </row>
    <row r="1262" spans="15:17" ht="20.100000000000001" customHeight="1">
      <c r="O1262" s="387"/>
      <c r="P1262" s="387"/>
      <c r="Q1262" s="387"/>
    </row>
    <row r="1263" spans="15:17" ht="20.100000000000001" customHeight="1">
      <c r="O1263" s="387"/>
      <c r="P1263" s="387"/>
      <c r="Q1263" s="387"/>
    </row>
    <row r="1264" spans="15:17" ht="20.100000000000001" customHeight="1">
      <c r="O1264" s="387"/>
      <c r="P1264" s="387"/>
      <c r="Q1264" s="387"/>
    </row>
    <row r="1265" spans="15:17" ht="20.100000000000001" customHeight="1">
      <c r="O1265" s="387"/>
      <c r="P1265" s="387"/>
      <c r="Q1265" s="387"/>
    </row>
    <row r="1266" spans="15:17" ht="20.100000000000001" customHeight="1">
      <c r="O1266" s="387"/>
      <c r="P1266" s="387"/>
      <c r="Q1266" s="387"/>
    </row>
    <row r="1267" spans="15:17" ht="20.100000000000001" customHeight="1">
      <c r="O1267" s="387"/>
      <c r="P1267" s="387"/>
      <c r="Q1267" s="387"/>
    </row>
    <row r="1268" spans="15:17" ht="20.100000000000001" customHeight="1">
      <c r="O1268" s="387"/>
      <c r="P1268" s="387"/>
      <c r="Q1268" s="387"/>
    </row>
    <row r="1269" spans="15:17" ht="20.100000000000001" customHeight="1">
      <c r="O1269" s="387"/>
      <c r="P1269" s="387"/>
      <c r="Q1269" s="387"/>
    </row>
    <row r="1270" spans="15:17" ht="20.100000000000001" customHeight="1">
      <c r="O1270" s="387"/>
      <c r="P1270" s="387"/>
      <c r="Q1270" s="387"/>
    </row>
    <row r="1271" spans="15:17" ht="20.100000000000001" customHeight="1">
      <c r="O1271" s="387"/>
      <c r="P1271" s="387"/>
      <c r="Q1271" s="387"/>
    </row>
    <row r="1272" spans="15:17" ht="20.100000000000001" customHeight="1">
      <c r="O1272" s="387"/>
      <c r="P1272" s="387"/>
      <c r="Q1272" s="387"/>
    </row>
    <row r="1273" spans="15:17" ht="20.100000000000001" customHeight="1">
      <c r="O1273" s="387"/>
      <c r="P1273" s="387"/>
      <c r="Q1273" s="387"/>
    </row>
    <row r="1274" spans="15:17" ht="20.100000000000001" customHeight="1">
      <c r="O1274" s="387"/>
      <c r="P1274" s="387"/>
      <c r="Q1274" s="387"/>
    </row>
    <row r="1275" spans="15:17" ht="20.100000000000001" customHeight="1">
      <c r="O1275" s="387"/>
      <c r="P1275" s="387"/>
      <c r="Q1275" s="387"/>
    </row>
    <row r="1276" spans="15:17" ht="20.100000000000001" customHeight="1">
      <c r="O1276" s="387"/>
      <c r="P1276" s="387"/>
      <c r="Q1276" s="387"/>
    </row>
    <row r="1277" spans="15:17" ht="20.100000000000001" customHeight="1">
      <c r="O1277" s="387"/>
      <c r="P1277" s="387"/>
      <c r="Q1277" s="387"/>
    </row>
    <row r="1278" spans="15:17" ht="20.100000000000001" customHeight="1">
      <c r="O1278" s="387"/>
      <c r="P1278" s="387"/>
      <c r="Q1278" s="387"/>
    </row>
    <row r="1279" spans="15:17" ht="20.100000000000001" customHeight="1">
      <c r="O1279" s="387"/>
      <c r="P1279" s="387"/>
      <c r="Q1279" s="387"/>
    </row>
    <row r="1280" spans="15:17" ht="20.100000000000001" customHeight="1">
      <c r="O1280" s="387"/>
      <c r="P1280" s="387"/>
      <c r="Q1280" s="387"/>
    </row>
    <row r="1281" spans="15:17" ht="20.100000000000001" customHeight="1">
      <c r="O1281" s="387"/>
      <c r="P1281" s="387"/>
      <c r="Q1281" s="387"/>
    </row>
    <row r="1282" spans="15:17" ht="20.100000000000001" customHeight="1">
      <c r="O1282" s="387"/>
      <c r="P1282" s="387"/>
      <c r="Q1282" s="387"/>
    </row>
    <row r="1283" spans="15:17" ht="20.100000000000001" customHeight="1">
      <c r="O1283" s="387"/>
      <c r="P1283" s="387"/>
      <c r="Q1283" s="387"/>
    </row>
    <row r="1284" spans="15:17" ht="20.100000000000001" customHeight="1">
      <c r="O1284" s="387"/>
      <c r="P1284" s="387"/>
      <c r="Q1284" s="387"/>
    </row>
    <row r="1285" spans="15:17" ht="20.100000000000001" customHeight="1">
      <c r="O1285" s="387"/>
      <c r="P1285" s="387"/>
      <c r="Q1285" s="387"/>
    </row>
    <row r="1286" spans="15:17" ht="20.100000000000001" customHeight="1">
      <c r="O1286" s="387"/>
      <c r="P1286" s="387"/>
      <c r="Q1286" s="387"/>
    </row>
    <row r="1287" spans="15:17" ht="20.100000000000001" customHeight="1">
      <c r="O1287" s="387"/>
      <c r="P1287" s="387"/>
      <c r="Q1287" s="387"/>
    </row>
    <row r="1288" spans="15:17" ht="20.100000000000001" customHeight="1">
      <c r="O1288" s="387"/>
      <c r="P1288" s="387"/>
      <c r="Q1288" s="387"/>
    </row>
    <row r="1289" spans="15:17" ht="20.100000000000001" customHeight="1">
      <c r="O1289" s="387"/>
      <c r="P1289" s="387"/>
      <c r="Q1289" s="387"/>
    </row>
    <row r="1290" spans="15:17" ht="20.100000000000001" customHeight="1">
      <c r="O1290" s="387"/>
      <c r="P1290" s="387"/>
      <c r="Q1290" s="387"/>
    </row>
    <row r="1291" spans="15:17" ht="20.100000000000001" customHeight="1">
      <c r="O1291" s="387"/>
      <c r="P1291" s="387"/>
      <c r="Q1291" s="387"/>
    </row>
    <row r="1292" spans="15:17" ht="20.100000000000001" customHeight="1">
      <c r="O1292" s="387"/>
      <c r="P1292" s="387"/>
      <c r="Q1292" s="387"/>
    </row>
    <row r="1293" spans="15:17" ht="20.100000000000001" customHeight="1">
      <c r="O1293" s="387"/>
      <c r="P1293" s="387"/>
      <c r="Q1293" s="387"/>
    </row>
    <row r="1294" spans="15:17" ht="20.100000000000001" customHeight="1">
      <c r="O1294" s="387"/>
      <c r="P1294" s="387"/>
      <c r="Q1294" s="387"/>
    </row>
    <row r="1295" spans="15:17" ht="20.100000000000001" customHeight="1">
      <c r="O1295" s="387"/>
      <c r="P1295" s="387"/>
      <c r="Q1295" s="387"/>
    </row>
    <row r="1296" spans="15:17" ht="20.100000000000001" customHeight="1">
      <c r="O1296" s="387"/>
      <c r="P1296" s="387"/>
      <c r="Q1296" s="387"/>
    </row>
    <row r="1297" spans="15:17" ht="20.100000000000001" customHeight="1">
      <c r="O1297" s="387"/>
      <c r="P1297" s="387"/>
      <c r="Q1297" s="387"/>
    </row>
    <row r="1298" spans="15:17" ht="20.100000000000001" customHeight="1">
      <c r="O1298" s="387"/>
      <c r="P1298" s="387"/>
      <c r="Q1298" s="387"/>
    </row>
    <row r="1299" spans="15:17" ht="20.100000000000001" customHeight="1">
      <c r="O1299" s="387"/>
      <c r="P1299" s="387"/>
      <c r="Q1299" s="387"/>
    </row>
    <row r="1300" spans="15:17" ht="20.100000000000001" customHeight="1">
      <c r="O1300" s="387"/>
      <c r="P1300" s="387"/>
      <c r="Q1300" s="387"/>
    </row>
    <row r="1301" spans="15:17" ht="20.100000000000001" customHeight="1">
      <c r="O1301" s="387"/>
      <c r="P1301" s="387"/>
      <c r="Q1301" s="387"/>
    </row>
    <row r="1302" spans="15:17" ht="20.100000000000001" customHeight="1">
      <c r="O1302" s="387"/>
      <c r="P1302" s="387"/>
      <c r="Q1302" s="387"/>
    </row>
    <row r="1303" spans="15:17" ht="20.100000000000001" customHeight="1">
      <c r="O1303" s="387"/>
      <c r="P1303" s="387"/>
      <c r="Q1303" s="387"/>
    </row>
    <row r="1304" spans="15:17" ht="20.100000000000001" customHeight="1">
      <c r="O1304" s="387"/>
      <c r="P1304" s="387"/>
      <c r="Q1304" s="387"/>
    </row>
    <row r="1305" spans="15:17" ht="20.100000000000001" customHeight="1">
      <c r="O1305" s="387"/>
      <c r="P1305" s="387"/>
      <c r="Q1305" s="387"/>
    </row>
    <row r="1306" spans="15:17" ht="20.100000000000001" customHeight="1">
      <c r="O1306" s="387"/>
      <c r="P1306" s="387"/>
      <c r="Q1306" s="387"/>
    </row>
    <row r="1307" spans="15:17" ht="20.100000000000001" customHeight="1">
      <c r="O1307" s="387"/>
      <c r="P1307" s="387"/>
      <c r="Q1307" s="387"/>
    </row>
    <row r="1308" spans="15:17" ht="20.100000000000001" customHeight="1">
      <c r="O1308" s="387"/>
      <c r="P1308" s="387"/>
      <c r="Q1308" s="387"/>
    </row>
    <row r="1309" spans="15:17" ht="20.100000000000001" customHeight="1">
      <c r="O1309" s="387"/>
      <c r="P1309" s="387"/>
      <c r="Q1309" s="387"/>
    </row>
    <row r="1310" spans="15:17" ht="20.100000000000001" customHeight="1">
      <c r="O1310" s="387"/>
      <c r="P1310" s="387"/>
      <c r="Q1310" s="387"/>
    </row>
    <row r="1311" spans="15:17" ht="20.100000000000001" customHeight="1">
      <c r="O1311" s="387"/>
      <c r="P1311" s="387"/>
      <c r="Q1311" s="387"/>
    </row>
    <row r="1312" spans="15:17" ht="20.100000000000001" customHeight="1">
      <c r="O1312" s="387"/>
      <c r="P1312" s="387"/>
      <c r="Q1312" s="387"/>
    </row>
    <row r="1313" spans="15:17" ht="20.100000000000001" customHeight="1">
      <c r="O1313" s="387"/>
      <c r="P1313" s="387"/>
      <c r="Q1313" s="387"/>
    </row>
    <row r="1314" spans="15:17" ht="20.100000000000001" customHeight="1">
      <c r="O1314" s="387"/>
      <c r="P1314" s="387"/>
      <c r="Q1314" s="387"/>
    </row>
    <row r="1315" spans="15:17" ht="20.100000000000001" customHeight="1">
      <c r="O1315" s="387"/>
      <c r="P1315" s="387"/>
      <c r="Q1315" s="387"/>
    </row>
    <row r="1316" spans="15:17" ht="20.100000000000001" customHeight="1">
      <c r="O1316" s="387"/>
      <c r="P1316" s="387"/>
      <c r="Q1316" s="387"/>
    </row>
    <row r="1317" spans="15:17" ht="20.100000000000001" customHeight="1">
      <c r="O1317" s="387"/>
      <c r="P1317" s="387"/>
      <c r="Q1317" s="387"/>
    </row>
    <row r="1318" spans="15:17" ht="20.100000000000001" customHeight="1">
      <c r="O1318" s="387"/>
      <c r="P1318" s="387"/>
      <c r="Q1318" s="387"/>
    </row>
    <row r="1319" spans="15:17" ht="20.100000000000001" customHeight="1">
      <c r="O1319" s="387"/>
      <c r="P1319" s="387"/>
      <c r="Q1319" s="387"/>
    </row>
    <row r="1320" spans="15:17" ht="20.100000000000001" customHeight="1">
      <c r="O1320" s="387"/>
      <c r="P1320" s="387"/>
      <c r="Q1320" s="387"/>
    </row>
    <row r="1321" spans="15:17" ht="20.100000000000001" customHeight="1">
      <c r="O1321" s="387"/>
      <c r="P1321" s="387"/>
      <c r="Q1321" s="387"/>
    </row>
    <row r="1322" spans="15:17" ht="20.100000000000001" customHeight="1">
      <c r="O1322" s="387"/>
      <c r="P1322" s="387"/>
      <c r="Q1322" s="387"/>
    </row>
    <row r="1323" spans="15:17" ht="20.100000000000001" customHeight="1">
      <c r="O1323" s="387"/>
      <c r="P1323" s="387"/>
      <c r="Q1323" s="387"/>
    </row>
    <row r="1324" spans="15:17" ht="20.100000000000001" customHeight="1">
      <c r="O1324" s="387"/>
      <c r="P1324" s="387"/>
      <c r="Q1324" s="387"/>
    </row>
    <row r="1325" spans="15:17" ht="20.100000000000001" customHeight="1">
      <c r="O1325" s="387"/>
      <c r="P1325" s="387"/>
      <c r="Q1325" s="387"/>
    </row>
    <row r="1326" spans="15:17" ht="20.100000000000001" customHeight="1">
      <c r="O1326" s="387"/>
      <c r="P1326" s="387"/>
      <c r="Q1326" s="387"/>
    </row>
    <row r="1327" spans="15:17" ht="20.100000000000001" customHeight="1">
      <c r="O1327" s="387"/>
      <c r="P1327" s="387"/>
      <c r="Q1327" s="387"/>
    </row>
    <row r="1328" spans="15:17" ht="20.100000000000001" customHeight="1">
      <c r="O1328" s="387"/>
      <c r="P1328" s="387"/>
      <c r="Q1328" s="387"/>
    </row>
    <row r="1329" spans="15:17" ht="20.100000000000001" customHeight="1">
      <c r="O1329" s="387"/>
      <c r="P1329" s="387"/>
      <c r="Q1329" s="387"/>
    </row>
    <row r="1330" spans="15:17" ht="20.100000000000001" customHeight="1">
      <c r="O1330" s="387"/>
      <c r="P1330" s="387"/>
      <c r="Q1330" s="387"/>
    </row>
    <row r="1331" spans="15:17" ht="20.100000000000001" customHeight="1">
      <c r="O1331" s="387"/>
      <c r="P1331" s="387"/>
      <c r="Q1331" s="387"/>
    </row>
    <row r="1332" spans="15:17" ht="20.100000000000001" customHeight="1">
      <c r="O1332" s="387"/>
      <c r="P1332" s="387"/>
      <c r="Q1332" s="387"/>
    </row>
    <row r="1333" spans="15:17" ht="20.100000000000001" customHeight="1">
      <c r="O1333" s="387"/>
      <c r="P1333" s="387"/>
      <c r="Q1333" s="387"/>
    </row>
    <row r="1334" spans="15:17" ht="20.100000000000001" customHeight="1">
      <c r="O1334" s="387"/>
      <c r="P1334" s="387"/>
      <c r="Q1334" s="387"/>
    </row>
    <row r="1335" spans="15:17" ht="20.100000000000001" customHeight="1">
      <c r="O1335" s="387"/>
      <c r="P1335" s="387"/>
      <c r="Q1335" s="387"/>
    </row>
    <row r="1336" spans="15:17" ht="20.100000000000001" customHeight="1">
      <c r="O1336" s="387"/>
      <c r="P1336" s="387"/>
      <c r="Q1336" s="387"/>
    </row>
    <row r="1337" spans="15:17" ht="20.100000000000001" customHeight="1">
      <c r="O1337" s="387"/>
      <c r="P1337" s="387"/>
      <c r="Q1337" s="387"/>
    </row>
    <row r="1338" spans="15:17" ht="20.100000000000001" customHeight="1">
      <c r="O1338" s="387"/>
      <c r="P1338" s="387"/>
      <c r="Q1338" s="387"/>
    </row>
    <row r="1339" spans="15:17" ht="20.100000000000001" customHeight="1">
      <c r="O1339" s="387"/>
      <c r="P1339" s="387"/>
      <c r="Q1339" s="387"/>
    </row>
    <row r="1340" spans="15:17" ht="20.100000000000001" customHeight="1">
      <c r="O1340" s="387"/>
      <c r="P1340" s="387"/>
      <c r="Q1340" s="387"/>
    </row>
    <row r="1341" spans="15:17" ht="20.100000000000001" customHeight="1">
      <c r="O1341" s="387"/>
      <c r="P1341" s="387"/>
      <c r="Q1341" s="387"/>
    </row>
    <row r="1342" spans="15:17" ht="20.100000000000001" customHeight="1">
      <c r="O1342" s="387"/>
      <c r="P1342" s="387"/>
      <c r="Q1342" s="387"/>
    </row>
    <row r="1343" spans="15:17" ht="20.100000000000001" customHeight="1">
      <c r="O1343" s="387"/>
      <c r="P1343" s="387"/>
      <c r="Q1343" s="387"/>
    </row>
    <row r="1344" spans="15:17" ht="20.100000000000001" customHeight="1">
      <c r="O1344" s="387"/>
      <c r="P1344" s="387"/>
      <c r="Q1344" s="387"/>
    </row>
    <row r="1345" spans="15:17" ht="20.100000000000001" customHeight="1">
      <c r="O1345" s="387"/>
      <c r="P1345" s="387"/>
      <c r="Q1345" s="387"/>
    </row>
    <row r="1346" spans="15:17" ht="20.100000000000001" customHeight="1">
      <c r="O1346" s="387"/>
      <c r="P1346" s="387"/>
      <c r="Q1346" s="387"/>
    </row>
    <row r="1347" spans="15:17" ht="20.100000000000001" customHeight="1">
      <c r="O1347" s="387"/>
      <c r="P1347" s="387"/>
      <c r="Q1347" s="387"/>
    </row>
    <row r="1348" spans="15:17" ht="20.100000000000001" customHeight="1">
      <c r="O1348" s="387"/>
      <c r="P1348" s="387"/>
      <c r="Q1348" s="387"/>
    </row>
    <row r="1349" spans="15:17" ht="20.100000000000001" customHeight="1">
      <c r="O1349" s="387"/>
      <c r="P1349" s="387"/>
      <c r="Q1349" s="387"/>
    </row>
    <row r="1350" spans="15:17" ht="20.100000000000001" customHeight="1">
      <c r="O1350" s="387"/>
      <c r="P1350" s="387"/>
      <c r="Q1350" s="387"/>
    </row>
    <row r="1351" spans="15:17" ht="20.100000000000001" customHeight="1">
      <c r="O1351" s="387"/>
      <c r="P1351" s="387"/>
      <c r="Q1351" s="387"/>
    </row>
    <row r="1352" spans="15:17" ht="20.100000000000001" customHeight="1">
      <c r="O1352" s="387"/>
      <c r="P1352" s="387"/>
      <c r="Q1352" s="387"/>
    </row>
    <row r="1353" spans="15:17" ht="20.100000000000001" customHeight="1">
      <c r="O1353" s="387"/>
      <c r="P1353" s="387"/>
      <c r="Q1353" s="387"/>
    </row>
    <row r="1354" spans="15:17" ht="20.100000000000001" customHeight="1">
      <c r="O1354" s="387"/>
      <c r="P1354" s="387"/>
      <c r="Q1354" s="387"/>
    </row>
    <row r="1355" spans="15:17" ht="20.100000000000001" customHeight="1">
      <c r="O1355" s="387"/>
      <c r="P1355" s="387"/>
      <c r="Q1355" s="387"/>
    </row>
    <row r="1356" spans="15:17" ht="20.100000000000001" customHeight="1">
      <c r="O1356" s="387"/>
      <c r="P1356" s="387"/>
      <c r="Q1356" s="387"/>
    </row>
    <row r="1357" spans="15:17" ht="20.100000000000001" customHeight="1">
      <c r="O1357" s="387"/>
      <c r="P1357" s="387"/>
      <c r="Q1357" s="387"/>
    </row>
    <row r="1358" spans="15:17" ht="20.100000000000001" customHeight="1">
      <c r="O1358" s="387"/>
      <c r="P1358" s="387"/>
      <c r="Q1358" s="387"/>
    </row>
    <row r="1359" spans="15:17" ht="20.100000000000001" customHeight="1">
      <c r="O1359" s="387"/>
      <c r="P1359" s="387"/>
      <c r="Q1359" s="387"/>
    </row>
    <row r="1360" spans="15:17" ht="20.100000000000001" customHeight="1">
      <c r="O1360" s="387"/>
      <c r="P1360" s="387"/>
      <c r="Q1360" s="387"/>
    </row>
    <row r="1361" spans="15:17" ht="20.100000000000001" customHeight="1">
      <c r="O1361" s="387"/>
      <c r="P1361" s="387"/>
      <c r="Q1361" s="387"/>
    </row>
    <row r="1362" spans="15:17" ht="20.100000000000001" customHeight="1">
      <c r="O1362" s="387"/>
      <c r="P1362" s="387"/>
      <c r="Q1362" s="387"/>
    </row>
    <row r="1363" spans="15:17" ht="20.100000000000001" customHeight="1">
      <c r="O1363" s="387"/>
      <c r="P1363" s="387"/>
      <c r="Q1363" s="387"/>
    </row>
    <row r="1364" spans="15:17" ht="20.100000000000001" customHeight="1">
      <c r="O1364" s="387"/>
      <c r="P1364" s="387"/>
      <c r="Q1364" s="387"/>
    </row>
    <row r="1365" spans="15:17" ht="20.100000000000001" customHeight="1">
      <c r="O1365" s="387"/>
      <c r="P1365" s="387"/>
      <c r="Q1365" s="387"/>
    </row>
    <row r="1366" spans="15:17" ht="20.100000000000001" customHeight="1">
      <c r="O1366" s="387"/>
      <c r="P1366" s="387"/>
      <c r="Q1366" s="387"/>
    </row>
    <row r="1367" spans="15:17" ht="20.100000000000001" customHeight="1">
      <c r="O1367" s="387"/>
      <c r="P1367" s="387"/>
      <c r="Q1367" s="387"/>
    </row>
    <row r="1368" spans="15:17" ht="20.100000000000001" customHeight="1">
      <c r="O1368" s="387"/>
      <c r="P1368" s="387"/>
      <c r="Q1368" s="387"/>
    </row>
    <row r="1369" spans="15:17" ht="20.100000000000001" customHeight="1">
      <c r="O1369" s="387"/>
      <c r="P1369" s="387"/>
      <c r="Q1369" s="387"/>
    </row>
    <row r="1370" spans="15:17" ht="20.100000000000001" customHeight="1">
      <c r="O1370" s="387"/>
      <c r="P1370" s="387"/>
      <c r="Q1370" s="387"/>
    </row>
    <row r="1371" spans="15:17" ht="20.100000000000001" customHeight="1">
      <c r="O1371" s="387"/>
      <c r="P1371" s="387"/>
      <c r="Q1371" s="387"/>
    </row>
    <row r="1372" spans="15:17" ht="20.100000000000001" customHeight="1">
      <c r="O1372" s="387"/>
      <c r="P1372" s="387"/>
      <c r="Q1372" s="387"/>
    </row>
    <row r="1373" spans="15:17" ht="20.100000000000001" customHeight="1">
      <c r="O1373" s="387"/>
      <c r="P1373" s="387"/>
      <c r="Q1373" s="387"/>
    </row>
    <row r="1374" spans="15:17" ht="20.100000000000001" customHeight="1">
      <c r="O1374" s="387"/>
      <c r="P1374" s="387"/>
      <c r="Q1374" s="387"/>
    </row>
    <row r="1375" spans="15:17" ht="20.100000000000001" customHeight="1">
      <c r="O1375" s="387"/>
      <c r="P1375" s="387"/>
      <c r="Q1375" s="387"/>
    </row>
    <row r="1376" spans="15:17" ht="20.100000000000001" customHeight="1">
      <c r="O1376" s="387"/>
      <c r="P1376" s="387"/>
      <c r="Q1376" s="387"/>
    </row>
    <row r="1377" spans="15:17" ht="20.100000000000001" customHeight="1">
      <c r="O1377" s="387"/>
      <c r="P1377" s="387"/>
      <c r="Q1377" s="387"/>
    </row>
    <row r="1378" spans="15:17" ht="20.100000000000001" customHeight="1">
      <c r="O1378" s="387"/>
      <c r="P1378" s="387"/>
      <c r="Q1378" s="387"/>
    </row>
    <row r="1379" spans="15:17" ht="20.100000000000001" customHeight="1">
      <c r="O1379" s="387"/>
      <c r="P1379" s="387"/>
      <c r="Q1379" s="387"/>
    </row>
    <row r="1380" spans="15:17" ht="20.100000000000001" customHeight="1">
      <c r="O1380" s="387"/>
      <c r="P1380" s="387"/>
      <c r="Q1380" s="387"/>
    </row>
    <row r="1381" spans="15:17" ht="20.100000000000001" customHeight="1">
      <c r="O1381" s="387"/>
      <c r="P1381" s="387"/>
      <c r="Q1381" s="387"/>
    </row>
    <row r="1382" spans="15:17" ht="20.100000000000001" customHeight="1">
      <c r="O1382" s="387"/>
      <c r="P1382" s="387"/>
      <c r="Q1382" s="387"/>
    </row>
    <row r="1383" spans="15:17" ht="20.100000000000001" customHeight="1">
      <c r="O1383" s="387"/>
      <c r="P1383" s="387"/>
      <c r="Q1383" s="387"/>
    </row>
    <row r="1384" spans="15:17" ht="20.100000000000001" customHeight="1">
      <c r="O1384" s="387"/>
      <c r="P1384" s="387"/>
      <c r="Q1384" s="387"/>
    </row>
    <row r="1385" spans="15:17" ht="20.100000000000001" customHeight="1">
      <c r="O1385" s="387"/>
      <c r="P1385" s="387"/>
      <c r="Q1385" s="387"/>
    </row>
    <row r="1386" spans="15:17" ht="20.100000000000001" customHeight="1">
      <c r="O1386" s="387"/>
      <c r="P1386" s="387"/>
      <c r="Q1386" s="387"/>
    </row>
    <row r="1387" spans="15:17" ht="20.100000000000001" customHeight="1">
      <c r="O1387" s="387"/>
      <c r="P1387" s="387"/>
      <c r="Q1387" s="387"/>
    </row>
    <row r="1388" spans="15:17" ht="20.100000000000001" customHeight="1">
      <c r="O1388" s="387"/>
      <c r="P1388" s="387"/>
      <c r="Q1388" s="387"/>
    </row>
    <row r="1389" spans="15:17" ht="20.100000000000001" customHeight="1">
      <c r="O1389" s="387"/>
      <c r="P1389" s="387"/>
      <c r="Q1389" s="387"/>
    </row>
    <row r="1390" spans="15:17" ht="20.100000000000001" customHeight="1">
      <c r="O1390" s="387"/>
      <c r="P1390" s="387"/>
      <c r="Q1390" s="387"/>
    </row>
    <row r="1391" spans="15:17" ht="20.100000000000001" customHeight="1">
      <c r="O1391" s="387"/>
      <c r="P1391" s="387"/>
      <c r="Q1391" s="387"/>
    </row>
    <row r="1392" spans="15:17" ht="20.100000000000001" customHeight="1">
      <c r="O1392" s="387"/>
      <c r="P1392" s="387"/>
      <c r="Q1392" s="387"/>
    </row>
    <row r="1393" spans="15:17" ht="20.100000000000001" customHeight="1">
      <c r="O1393" s="387"/>
      <c r="P1393" s="387"/>
      <c r="Q1393" s="387"/>
    </row>
    <row r="1394" spans="15:17" ht="20.100000000000001" customHeight="1">
      <c r="O1394" s="387"/>
      <c r="P1394" s="387"/>
      <c r="Q1394" s="387"/>
    </row>
    <row r="1395" spans="15:17" ht="20.100000000000001" customHeight="1">
      <c r="O1395" s="387"/>
      <c r="P1395" s="387"/>
      <c r="Q1395" s="387"/>
    </row>
    <row r="1396" spans="15:17" ht="20.100000000000001" customHeight="1">
      <c r="O1396" s="387"/>
      <c r="P1396" s="387"/>
      <c r="Q1396" s="387"/>
    </row>
    <row r="1397" spans="15:17" ht="20.100000000000001" customHeight="1">
      <c r="O1397" s="387"/>
      <c r="P1397" s="387"/>
      <c r="Q1397" s="387"/>
    </row>
    <row r="1398" spans="15:17" ht="20.100000000000001" customHeight="1">
      <c r="O1398" s="387"/>
      <c r="P1398" s="387"/>
      <c r="Q1398" s="387"/>
    </row>
    <row r="1399" spans="15:17" ht="20.100000000000001" customHeight="1">
      <c r="O1399" s="387"/>
      <c r="P1399" s="387"/>
      <c r="Q1399" s="387"/>
    </row>
    <row r="1400" spans="15:17" ht="20.100000000000001" customHeight="1">
      <c r="O1400" s="387"/>
      <c r="P1400" s="387"/>
      <c r="Q1400" s="387"/>
    </row>
    <row r="1401" spans="15:17" ht="20.100000000000001" customHeight="1">
      <c r="O1401" s="387"/>
      <c r="P1401" s="387"/>
      <c r="Q1401" s="387"/>
    </row>
    <row r="1402" spans="15:17" ht="20.100000000000001" customHeight="1">
      <c r="O1402" s="387"/>
      <c r="P1402" s="387"/>
      <c r="Q1402" s="387"/>
    </row>
    <row r="1403" spans="15:17" ht="20.100000000000001" customHeight="1">
      <c r="O1403" s="387"/>
      <c r="P1403" s="387"/>
      <c r="Q1403" s="387"/>
    </row>
    <row r="1404" spans="15:17" ht="20.100000000000001" customHeight="1">
      <c r="O1404" s="387"/>
      <c r="P1404" s="387"/>
      <c r="Q1404" s="387"/>
    </row>
    <row r="1405" spans="15:17" ht="20.100000000000001" customHeight="1">
      <c r="O1405" s="387"/>
      <c r="P1405" s="387"/>
      <c r="Q1405" s="387"/>
    </row>
    <row r="1406" spans="15:17" ht="20.100000000000001" customHeight="1">
      <c r="O1406" s="387"/>
      <c r="P1406" s="387"/>
      <c r="Q1406" s="387"/>
    </row>
    <row r="1407" spans="15:17" ht="20.100000000000001" customHeight="1">
      <c r="O1407" s="387"/>
      <c r="P1407" s="387"/>
      <c r="Q1407" s="387"/>
    </row>
    <row r="1408" spans="15:17" ht="20.100000000000001" customHeight="1">
      <c r="O1408" s="387"/>
      <c r="P1408" s="387"/>
      <c r="Q1408" s="387"/>
    </row>
    <row r="1409" spans="15:17" ht="20.100000000000001" customHeight="1">
      <c r="O1409" s="387"/>
      <c r="P1409" s="387"/>
      <c r="Q1409" s="387"/>
    </row>
    <row r="1410" spans="15:17" ht="20.100000000000001" customHeight="1">
      <c r="O1410" s="387"/>
      <c r="P1410" s="387"/>
      <c r="Q1410" s="387"/>
    </row>
    <row r="1411" spans="15:17" ht="20.100000000000001" customHeight="1">
      <c r="O1411" s="387"/>
      <c r="P1411" s="387"/>
      <c r="Q1411" s="387"/>
    </row>
    <row r="1412" spans="15:17" ht="20.100000000000001" customHeight="1">
      <c r="O1412" s="387"/>
      <c r="P1412" s="387"/>
      <c r="Q1412" s="387"/>
    </row>
    <row r="1413" spans="15:17" ht="20.100000000000001" customHeight="1">
      <c r="O1413" s="387"/>
      <c r="P1413" s="387"/>
      <c r="Q1413" s="387"/>
    </row>
    <row r="1414" spans="15:17" ht="20.100000000000001" customHeight="1">
      <c r="O1414" s="387"/>
      <c r="P1414" s="387"/>
      <c r="Q1414" s="387"/>
    </row>
    <row r="1415" spans="15:17" ht="20.100000000000001" customHeight="1">
      <c r="O1415" s="387"/>
      <c r="P1415" s="387"/>
      <c r="Q1415" s="387"/>
    </row>
    <row r="1416" spans="15:17" ht="20.100000000000001" customHeight="1">
      <c r="O1416" s="387"/>
      <c r="P1416" s="387"/>
      <c r="Q1416" s="387"/>
    </row>
    <row r="1417" spans="15:17" ht="20.100000000000001" customHeight="1">
      <c r="O1417" s="387"/>
      <c r="P1417" s="387"/>
      <c r="Q1417" s="387"/>
    </row>
    <row r="1418" spans="15:17" ht="20.100000000000001" customHeight="1">
      <c r="O1418" s="387"/>
      <c r="P1418" s="387"/>
      <c r="Q1418" s="387"/>
    </row>
    <row r="1419" spans="15:17" ht="20.100000000000001" customHeight="1">
      <c r="O1419" s="387"/>
      <c r="P1419" s="387"/>
      <c r="Q1419" s="387"/>
    </row>
    <row r="1420" spans="15:17" ht="20.100000000000001" customHeight="1">
      <c r="O1420" s="387"/>
      <c r="P1420" s="387"/>
      <c r="Q1420" s="387"/>
    </row>
    <row r="1421" spans="15:17" ht="20.100000000000001" customHeight="1">
      <c r="O1421" s="387"/>
      <c r="P1421" s="387"/>
      <c r="Q1421" s="387"/>
    </row>
    <row r="1422" spans="15:17" ht="20.100000000000001" customHeight="1">
      <c r="O1422" s="387"/>
      <c r="P1422" s="387"/>
      <c r="Q1422" s="387"/>
    </row>
    <row r="1423" spans="15:17" ht="20.100000000000001" customHeight="1">
      <c r="O1423" s="387"/>
      <c r="P1423" s="387"/>
      <c r="Q1423" s="387"/>
    </row>
    <row r="1424" spans="15:17" ht="20.100000000000001" customHeight="1">
      <c r="O1424" s="387"/>
      <c r="P1424" s="387"/>
      <c r="Q1424" s="387"/>
    </row>
    <row r="1425" spans="15:17" ht="20.100000000000001" customHeight="1">
      <c r="O1425" s="387"/>
      <c r="P1425" s="387"/>
      <c r="Q1425" s="387"/>
    </row>
    <row r="1426" spans="15:17" ht="20.100000000000001" customHeight="1">
      <c r="O1426" s="387"/>
      <c r="P1426" s="387"/>
      <c r="Q1426" s="387"/>
    </row>
    <row r="1427" spans="15:17" ht="20.100000000000001" customHeight="1">
      <c r="O1427" s="387"/>
      <c r="P1427" s="387"/>
      <c r="Q1427" s="387"/>
    </row>
    <row r="1428" spans="15:17" ht="20.100000000000001" customHeight="1">
      <c r="O1428" s="387"/>
      <c r="P1428" s="387"/>
      <c r="Q1428" s="387"/>
    </row>
    <row r="1429" spans="15:17" ht="20.100000000000001" customHeight="1">
      <c r="O1429" s="387"/>
      <c r="P1429" s="387"/>
      <c r="Q1429" s="387"/>
    </row>
    <row r="1430" spans="15:17" ht="20.100000000000001" customHeight="1">
      <c r="O1430" s="387"/>
      <c r="P1430" s="387"/>
      <c r="Q1430" s="387"/>
    </row>
    <row r="1431" spans="15:17" ht="20.100000000000001" customHeight="1">
      <c r="O1431" s="387"/>
      <c r="P1431" s="387"/>
      <c r="Q1431" s="387"/>
    </row>
    <row r="1432" spans="15:17" ht="20.100000000000001" customHeight="1">
      <c r="O1432" s="387"/>
      <c r="P1432" s="387"/>
      <c r="Q1432" s="387"/>
    </row>
    <row r="1433" spans="15:17" ht="20.100000000000001" customHeight="1">
      <c r="O1433" s="387"/>
      <c r="P1433" s="387"/>
      <c r="Q1433" s="387"/>
    </row>
    <row r="1434" spans="15:17" ht="20.100000000000001" customHeight="1">
      <c r="O1434" s="387"/>
      <c r="P1434" s="387"/>
      <c r="Q1434" s="387"/>
    </row>
    <row r="1435" spans="15:17" ht="20.100000000000001" customHeight="1">
      <c r="O1435" s="387"/>
      <c r="P1435" s="387"/>
      <c r="Q1435" s="387"/>
    </row>
    <row r="1436" spans="15:17" ht="20.100000000000001" customHeight="1">
      <c r="O1436" s="387"/>
      <c r="P1436" s="387"/>
      <c r="Q1436" s="387"/>
    </row>
    <row r="1437" spans="15:17" ht="20.100000000000001" customHeight="1">
      <c r="O1437" s="387"/>
      <c r="P1437" s="387"/>
      <c r="Q1437" s="387"/>
    </row>
    <row r="1438" spans="15:17" ht="20.100000000000001" customHeight="1">
      <c r="O1438" s="387"/>
      <c r="P1438" s="387"/>
      <c r="Q1438" s="387"/>
    </row>
    <row r="1439" spans="15:17" ht="20.100000000000001" customHeight="1">
      <c r="O1439" s="387"/>
      <c r="P1439" s="387"/>
      <c r="Q1439" s="387"/>
    </row>
    <row r="1440" spans="15:17" ht="20.100000000000001" customHeight="1">
      <c r="O1440" s="387"/>
      <c r="P1440" s="387"/>
      <c r="Q1440" s="387"/>
    </row>
    <row r="1441" spans="15:17" ht="20.100000000000001" customHeight="1">
      <c r="O1441" s="387"/>
      <c r="P1441" s="387"/>
      <c r="Q1441" s="387"/>
    </row>
    <row r="1442" spans="15:17" ht="20.100000000000001" customHeight="1">
      <c r="O1442" s="387"/>
      <c r="P1442" s="387"/>
      <c r="Q1442" s="387"/>
    </row>
    <row r="1443" spans="15:17" ht="20.100000000000001" customHeight="1">
      <c r="O1443" s="387"/>
      <c r="P1443" s="387"/>
      <c r="Q1443" s="387"/>
    </row>
    <row r="1444" spans="15:17" ht="20.100000000000001" customHeight="1">
      <c r="O1444" s="387"/>
      <c r="P1444" s="387"/>
      <c r="Q1444" s="387"/>
    </row>
    <row r="1445" spans="15:17" ht="20.100000000000001" customHeight="1">
      <c r="O1445" s="387"/>
      <c r="P1445" s="387"/>
      <c r="Q1445" s="387"/>
    </row>
    <row r="1446" spans="15:17" ht="20.100000000000001" customHeight="1">
      <c r="O1446" s="387"/>
      <c r="P1446" s="387"/>
      <c r="Q1446" s="387"/>
    </row>
    <row r="1447" spans="15:17" ht="20.100000000000001" customHeight="1">
      <c r="O1447" s="387"/>
      <c r="P1447" s="387"/>
      <c r="Q1447" s="387"/>
    </row>
    <row r="1448" spans="15:17" ht="20.100000000000001" customHeight="1">
      <c r="O1448" s="387"/>
      <c r="P1448" s="387"/>
      <c r="Q1448" s="387"/>
    </row>
    <row r="1449" spans="15:17" ht="20.100000000000001" customHeight="1">
      <c r="O1449" s="387"/>
      <c r="P1449" s="387"/>
      <c r="Q1449" s="387"/>
    </row>
    <row r="1450" spans="15:17" ht="20.100000000000001" customHeight="1">
      <c r="O1450" s="387"/>
      <c r="P1450" s="387"/>
      <c r="Q1450" s="387"/>
    </row>
    <row r="1451" spans="15:17" ht="20.100000000000001" customHeight="1">
      <c r="O1451" s="387"/>
      <c r="P1451" s="387"/>
      <c r="Q1451" s="387"/>
    </row>
    <row r="1452" spans="15:17" ht="20.100000000000001" customHeight="1">
      <c r="O1452" s="387"/>
      <c r="P1452" s="387"/>
      <c r="Q1452" s="387"/>
    </row>
    <row r="1453" spans="15:17" ht="20.100000000000001" customHeight="1">
      <c r="O1453" s="387"/>
      <c r="P1453" s="387"/>
      <c r="Q1453" s="387"/>
    </row>
    <row r="1454" spans="15:17" ht="20.100000000000001" customHeight="1">
      <c r="O1454" s="387"/>
      <c r="P1454" s="387"/>
      <c r="Q1454" s="387"/>
    </row>
    <row r="1455" spans="15:17" ht="20.100000000000001" customHeight="1">
      <c r="O1455" s="387"/>
      <c r="P1455" s="387"/>
      <c r="Q1455" s="387"/>
    </row>
    <row r="1456" spans="15:17" ht="20.100000000000001" customHeight="1">
      <c r="O1456" s="387"/>
      <c r="P1456" s="387"/>
      <c r="Q1456" s="387"/>
    </row>
    <row r="1457" spans="15:17" ht="20.100000000000001" customHeight="1">
      <c r="O1457" s="387"/>
      <c r="P1457" s="387"/>
      <c r="Q1457" s="387"/>
    </row>
    <row r="1458" spans="15:17" ht="20.100000000000001" customHeight="1">
      <c r="O1458" s="387"/>
      <c r="P1458" s="387"/>
      <c r="Q1458" s="387"/>
    </row>
    <row r="1459" spans="15:17" ht="20.100000000000001" customHeight="1">
      <c r="O1459" s="387"/>
      <c r="P1459" s="387"/>
      <c r="Q1459" s="387"/>
    </row>
    <row r="1460" spans="15:17" ht="20.100000000000001" customHeight="1">
      <c r="O1460" s="387"/>
      <c r="P1460" s="387"/>
      <c r="Q1460" s="387"/>
    </row>
    <row r="1461" spans="15:17" ht="20.100000000000001" customHeight="1">
      <c r="O1461" s="387"/>
      <c r="P1461" s="387"/>
      <c r="Q1461" s="387"/>
    </row>
    <row r="1462" spans="15:17" ht="20.100000000000001" customHeight="1">
      <c r="O1462" s="387"/>
      <c r="P1462" s="387"/>
      <c r="Q1462" s="387"/>
    </row>
    <row r="1463" spans="15:17" ht="20.100000000000001" customHeight="1">
      <c r="O1463" s="387"/>
      <c r="P1463" s="387"/>
      <c r="Q1463" s="387"/>
    </row>
    <row r="1464" spans="15:17" ht="20.100000000000001" customHeight="1">
      <c r="O1464" s="387"/>
      <c r="P1464" s="387"/>
      <c r="Q1464" s="387"/>
    </row>
    <row r="1465" spans="15:17" ht="20.100000000000001" customHeight="1">
      <c r="O1465" s="387"/>
      <c r="P1465" s="387"/>
      <c r="Q1465" s="387"/>
    </row>
    <row r="1466" spans="15:17" ht="20.100000000000001" customHeight="1">
      <c r="O1466" s="387"/>
      <c r="P1466" s="387"/>
      <c r="Q1466" s="387"/>
    </row>
    <row r="1467" spans="15:17" ht="20.100000000000001" customHeight="1">
      <c r="O1467" s="387"/>
      <c r="P1467" s="387"/>
      <c r="Q1467" s="387"/>
    </row>
    <row r="1468" spans="15:17" ht="20.100000000000001" customHeight="1">
      <c r="O1468" s="387"/>
      <c r="P1468" s="387"/>
      <c r="Q1468" s="387"/>
    </row>
    <row r="1469" spans="15:17" ht="20.100000000000001" customHeight="1">
      <c r="O1469" s="387"/>
      <c r="P1469" s="387"/>
      <c r="Q1469" s="387"/>
    </row>
    <row r="1470" spans="15:17" ht="20.100000000000001" customHeight="1">
      <c r="O1470" s="387"/>
      <c r="P1470" s="387"/>
      <c r="Q1470" s="387"/>
    </row>
    <row r="1471" spans="15:17" ht="20.100000000000001" customHeight="1">
      <c r="O1471" s="387"/>
      <c r="P1471" s="387"/>
      <c r="Q1471" s="387"/>
    </row>
    <row r="1472" spans="15:17" ht="20.100000000000001" customHeight="1">
      <c r="O1472" s="387"/>
      <c r="P1472" s="387"/>
      <c r="Q1472" s="387"/>
    </row>
    <row r="1473" spans="15:17" ht="20.100000000000001" customHeight="1">
      <c r="O1473" s="387"/>
      <c r="P1473" s="387"/>
      <c r="Q1473" s="387"/>
    </row>
    <row r="1474" spans="15:17" ht="20.100000000000001" customHeight="1">
      <c r="O1474" s="387"/>
      <c r="P1474" s="387"/>
      <c r="Q1474" s="387"/>
    </row>
    <row r="1475" spans="15:17" ht="20.100000000000001" customHeight="1">
      <c r="O1475" s="387"/>
      <c r="P1475" s="387"/>
      <c r="Q1475" s="387"/>
    </row>
    <row r="1476" spans="15:17" ht="20.100000000000001" customHeight="1">
      <c r="O1476" s="387"/>
      <c r="P1476" s="387"/>
      <c r="Q1476" s="387"/>
    </row>
    <row r="1477" spans="15:17" ht="20.100000000000001" customHeight="1">
      <c r="O1477" s="387"/>
      <c r="P1477" s="387"/>
      <c r="Q1477" s="387"/>
    </row>
    <row r="1478" spans="15:17" ht="20.100000000000001" customHeight="1">
      <c r="O1478" s="387"/>
      <c r="P1478" s="387"/>
      <c r="Q1478" s="387"/>
    </row>
    <row r="1479" spans="15:17" ht="20.100000000000001" customHeight="1">
      <c r="O1479" s="387"/>
      <c r="P1479" s="387"/>
      <c r="Q1479" s="387"/>
    </row>
    <row r="1480" spans="15:17" ht="20.100000000000001" customHeight="1">
      <c r="O1480" s="387"/>
      <c r="P1480" s="387"/>
      <c r="Q1480" s="387"/>
    </row>
    <row r="1481" spans="15:17" ht="20.100000000000001" customHeight="1">
      <c r="O1481" s="387"/>
      <c r="P1481" s="387"/>
      <c r="Q1481" s="387"/>
    </row>
    <row r="1482" spans="15:17" ht="20.100000000000001" customHeight="1">
      <c r="O1482" s="387"/>
      <c r="P1482" s="387"/>
      <c r="Q1482" s="387"/>
    </row>
    <row r="1483" spans="15:17" ht="20.100000000000001" customHeight="1">
      <c r="O1483" s="387"/>
      <c r="P1483" s="387"/>
      <c r="Q1483" s="387"/>
    </row>
    <row r="1484" spans="15:17" ht="20.100000000000001" customHeight="1">
      <c r="O1484" s="387"/>
      <c r="P1484" s="387"/>
      <c r="Q1484" s="387"/>
    </row>
    <row r="1485" spans="15:17" ht="20.100000000000001" customHeight="1">
      <c r="O1485" s="387"/>
      <c r="P1485" s="387"/>
      <c r="Q1485" s="387"/>
    </row>
    <row r="1486" spans="15:17" ht="20.100000000000001" customHeight="1">
      <c r="O1486" s="387"/>
      <c r="P1486" s="387"/>
      <c r="Q1486" s="387"/>
    </row>
    <row r="1487" spans="15:17" ht="20.100000000000001" customHeight="1">
      <c r="O1487" s="387"/>
      <c r="P1487" s="387"/>
      <c r="Q1487" s="387"/>
    </row>
    <row r="1488" spans="15:17" ht="20.100000000000001" customHeight="1">
      <c r="O1488" s="387"/>
      <c r="P1488" s="387"/>
      <c r="Q1488" s="387"/>
    </row>
    <row r="1489" spans="15:17" ht="20.100000000000001" customHeight="1">
      <c r="O1489" s="387"/>
      <c r="P1489" s="387"/>
      <c r="Q1489" s="387"/>
    </row>
    <row r="1490" spans="15:17" ht="20.100000000000001" customHeight="1">
      <c r="O1490" s="387"/>
      <c r="P1490" s="387"/>
      <c r="Q1490" s="387"/>
    </row>
    <row r="1491" spans="15:17" ht="20.100000000000001" customHeight="1">
      <c r="O1491" s="387"/>
      <c r="P1491" s="387"/>
      <c r="Q1491" s="387"/>
    </row>
    <row r="1492" spans="15:17" ht="20.100000000000001" customHeight="1">
      <c r="O1492" s="387"/>
      <c r="P1492" s="387"/>
      <c r="Q1492" s="387"/>
    </row>
    <row r="1493" spans="15:17" ht="20.100000000000001" customHeight="1">
      <c r="O1493" s="387"/>
      <c r="P1493" s="387"/>
      <c r="Q1493" s="387"/>
    </row>
    <row r="1494" spans="15:17" ht="20.100000000000001" customHeight="1">
      <c r="O1494" s="387"/>
      <c r="P1494" s="387"/>
      <c r="Q1494" s="387"/>
    </row>
    <row r="1495" spans="15:17" ht="20.100000000000001" customHeight="1">
      <c r="O1495" s="387"/>
      <c r="P1495" s="387"/>
      <c r="Q1495" s="387"/>
    </row>
    <row r="1496" spans="15:17" ht="20.100000000000001" customHeight="1">
      <c r="O1496" s="387"/>
      <c r="P1496" s="387"/>
      <c r="Q1496" s="387"/>
    </row>
    <row r="1497" spans="15:17" ht="20.100000000000001" customHeight="1">
      <c r="O1497" s="387"/>
      <c r="P1497" s="387"/>
      <c r="Q1497" s="387"/>
    </row>
    <row r="1498" spans="15:17" ht="20.100000000000001" customHeight="1">
      <c r="O1498" s="387"/>
      <c r="P1498" s="387"/>
      <c r="Q1498" s="387"/>
    </row>
    <row r="1499" spans="15:17" ht="20.100000000000001" customHeight="1">
      <c r="O1499" s="387"/>
      <c r="P1499" s="387"/>
      <c r="Q1499" s="387"/>
    </row>
    <row r="1500" spans="15:17" ht="20.100000000000001" customHeight="1">
      <c r="O1500" s="387"/>
      <c r="P1500" s="387"/>
      <c r="Q1500" s="387"/>
    </row>
    <row r="1501" spans="15:17" ht="20.100000000000001" customHeight="1">
      <c r="O1501" s="387"/>
      <c r="P1501" s="387"/>
      <c r="Q1501" s="387"/>
    </row>
    <row r="1502" spans="15:17" ht="20.100000000000001" customHeight="1">
      <c r="O1502" s="387"/>
      <c r="P1502" s="387"/>
      <c r="Q1502" s="387"/>
    </row>
    <row r="1503" spans="15:17" ht="20.100000000000001" customHeight="1">
      <c r="O1503" s="387"/>
      <c r="P1503" s="387"/>
      <c r="Q1503" s="387"/>
    </row>
    <row r="1504" spans="15:17" ht="20.100000000000001" customHeight="1">
      <c r="O1504" s="387"/>
      <c r="P1504" s="387"/>
      <c r="Q1504" s="387"/>
    </row>
    <row r="1505" spans="15:17" ht="20.100000000000001" customHeight="1">
      <c r="O1505" s="387"/>
      <c r="P1505" s="387"/>
      <c r="Q1505" s="387"/>
    </row>
    <row r="1506" spans="15:17" ht="20.100000000000001" customHeight="1">
      <c r="O1506" s="387"/>
      <c r="P1506" s="387"/>
      <c r="Q1506" s="387"/>
    </row>
    <row r="1507" spans="15:17" ht="20.100000000000001" customHeight="1">
      <c r="O1507" s="387"/>
      <c r="P1507" s="387"/>
      <c r="Q1507" s="387"/>
    </row>
    <row r="1508" spans="15:17" ht="20.100000000000001" customHeight="1">
      <c r="O1508" s="387"/>
      <c r="P1508" s="387"/>
      <c r="Q1508" s="387"/>
    </row>
    <row r="1509" spans="15:17" ht="20.100000000000001" customHeight="1">
      <c r="O1509" s="387"/>
      <c r="P1509" s="387"/>
      <c r="Q1509" s="387"/>
    </row>
    <row r="1510" spans="15:17" ht="20.100000000000001" customHeight="1">
      <c r="O1510" s="387"/>
      <c r="P1510" s="387"/>
      <c r="Q1510" s="387"/>
    </row>
    <row r="1511" spans="15:17" ht="20.100000000000001" customHeight="1">
      <c r="O1511" s="387"/>
      <c r="P1511" s="387"/>
      <c r="Q1511" s="387"/>
    </row>
    <row r="1512" spans="15:17" ht="20.100000000000001" customHeight="1">
      <c r="O1512" s="387"/>
      <c r="P1512" s="387"/>
      <c r="Q1512" s="387"/>
    </row>
    <row r="1513" spans="15:17" ht="20.100000000000001" customHeight="1">
      <c r="O1513" s="387"/>
      <c r="P1513" s="387"/>
      <c r="Q1513" s="387"/>
    </row>
    <row r="1514" spans="15:17" ht="20.100000000000001" customHeight="1">
      <c r="O1514" s="387"/>
      <c r="P1514" s="387"/>
      <c r="Q1514" s="387"/>
    </row>
    <row r="1515" spans="15:17" ht="20.100000000000001" customHeight="1">
      <c r="O1515" s="387"/>
      <c r="P1515" s="387"/>
      <c r="Q1515" s="387"/>
    </row>
    <row r="1516" spans="15:17" ht="20.100000000000001" customHeight="1">
      <c r="O1516" s="387"/>
      <c r="P1516" s="387"/>
      <c r="Q1516" s="387"/>
    </row>
    <row r="1517" spans="15:17" ht="20.100000000000001" customHeight="1">
      <c r="O1517" s="387"/>
      <c r="P1517" s="387"/>
      <c r="Q1517" s="387"/>
    </row>
    <row r="1518" spans="15:17" ht="20.100000000000001" customHeight="1">
      <c r="O1518" s="387"/>
      <c r="P1518" s="387"/>
      <c r="Q1518" s="387"/>
    </row>
    <row r="1519" spans="15:17" ht="20.100000000000001" customHeight="1">
      <c r="O1519" s="387"/>
      <c r="P1519" s="387"/>
      <c r="Q1519" s="387"/>
    </row>
    <row r="1520" spans="15:17" ht="20.100000000000001" customHeight="1">
      <c r="O1520" s="387"/>
      <c r="P1520" s="387"/>
      <c r="Q1520" s="387"/>
    </row>
    <row r="1521" spans="15:17" ht="20.100000000000001" customHeight="1">
      <c r="O1521" s="387"/>
      <c r="P1521" s="387"/>
      <c r="Q1521" s="387"/>
    </row>
    <row r="1522" spans="15:17" ht="20.100000000000001" customHeight="1">
      <c r="O1522" s="387"/>
      <c r="P1522" s="387"/>
      <c r="Q1522" s="387"/>
    </row>
    <row r="1523" spans="15:17" ht="20.100000000000001" customHeight="1">
      <c r="O1523" s="387"/>
      <c r="P1523" s="387"/>
      <c r="Q1523" s="387"/>
    </row>
    <row r="1524" spans="15:17" ht="20.100000000000001" customHeight="1">
      <c r="O1524" s="387"/>
      <c r="P1524" s="387"/>
      <c r="Q1524" s="387"/>
    </row>
    <row r="1525" spans="15:17" ht="20.100000000000001" customHeight="1">
      <c r="O1525" s="387"/>
      <c r="P1525" s="387"/>
      <c r="Q1525" s="387"/>
    </row>
    <row r="1526" spans="15:17" ht="20.100000000000001" customHeight="1">
      <c r="O1526" s="387"/>
      <c r="P1526" s="387"/>
      <c r="Q1526" s="387"/>
    </row>
    <row r="1527" spans="15:17" ht="20.100000000000001" customHeight="1">
      <c r="O1527" s="387"/>
      <c r="P1527" s="387"/>
      <c r="Q1527" s="387"/>
    </row>
    <row r="1528" spans="15:17" ht="20.100000000000001" customHeight="1">
      <c r="O1528" s="387"/>
      <c r="P1528" s="387"/>
      <c r="Q1528" s="387"/>
    </row>
    <row r="1529" spans="15:17" ht="20.100000000000001" customHeight="1">
      <c r="O1529" s="387"/>
      <c r="P1529" s="387"/>
      <c r="Q1529" s="387"/>
    </row>
    <row r="1530" spans="15:17" ht="20.100000000000001" customHeight="1">
      <c r="O1530" s="387"/>
      <c r="P1530" s="387"/>
      <c r="Q1530" s="387"/>
    </row>
    <row r="1531" spans="15:17" ht="20.100000000000001" customHeight="1">
      <c r="O1531" s="387"/>
      <c r="P1531" s="387"/>
      <c r="Q1531" s="387"/>
    </row>
    <row r="1532" spans="15:17" ht="20.100000000000001" customHeight="1">
      <c r="O1532" s="387"/>
      <c r="P1532" s="387"/>
      <c r="Q1532" s="387"/>
    </row>
    <row r="1533" spans="15:17" ht="20.100000000000001" customHeight="1">
      <c r="O1533" s="387"/>
      <c r="P1533" s="387"/>
      <c r="Q1533" s="387"/>
    </row>
    <row r="1534" spans="15:17" ht="20.100000000000001" customHeight="1">
      <c r="O1534" s="387"/>
      <c r="P1534" s="387"/>
      <c r="Q1534" s="387"/>
    </row>
    <row r="1535" spans="15:17" ht="20.100000000000001" customHeight="1">
      <c r="O1535" s="387"/>
      <c r="P1535" s="387"/>
      <c r="Q1535" s="387"/>
    </row>
    <row r="1536" spans="15:17" ht="20.100000000000001" customHeight="1">
      <c r="O1536" s="387"/>
      <c r="P1536" s="387"/>
      <c r="Q1536" s="387"/>
    </row>
    <row r="1537" spans="15:17" ht="20.100000000000001" customHeight="1">
      <c r="O1537" s="387"/>
      <c r="P1537" s="387"/>
      <c r="Q1537" s="387"/>
    </row>
    <row r="1538" spans="15:17" ht="20.100000000000001" customHeight="1">
      <c r="O1538" s="387"/>
      <c r="P1538" s="387"/>
      <c r="Q1538" s="387"/>
    </row>
    <row r="1539" spans="15:17" ht="20.100000000000001" customHeight="1">
      <c r="O1539" s="387"/>
      <c r="P1539" s="387"/>
      <c r="Q1539" s="387"/>
    </row>
    <row r="1540" spans="15:17" ht="20.100000000000001" customHeight="1">
      <c r="O1540" s="387"/>
      <c r="P1540" s="387"/>
      <c r="Q1540" s="387"/>
    </row>
    <row r="1541" spans="15:17" ht="20.100000000000001" customHeight="1">
      <c r="O1541" s="387"/>
      <c r="P1541" s="387"/>
      <c r="Q1541" s="387"/>
    </row>
    <row r="1542" spans="15:17" ht="20.100000000000001" customHeight="1">
      <c r="O1542" s="387"/>
      <c r="P1542" s="387"/>
      <c r="Q1542" s="387"/>
    </row>
    <row r="1543" spans="15:17" ht="20.100000000000001" customHeight="1">
      <c r="O1543" s="387"/>
      <c r="P1543" s="387"/>
      <c r="Q1543" s="387"/>
    </row>
    <row r="1544" spans="15:17" ht="20.100000000000001" customHeight="1">
      <c r="O1544" s="387"/>
      <c r="P1544" s="387"/>
      <c r="Q1544" s="387"/>
    </row>
    <row r="1545" spans="15:17" ht="20.100000000000001" customHeight="1">
      <c r="O1545" s="387"/>
      <c r="P1545" s="387"/>
      <c r="Q1545" s="387"/>
    </row>
    <row r="1546" spans="15:17" ht="20.100000000000001" customHeight="1">
      <c r="O1546" s="387"/>
      <c r="P1546" s="387"/>
      <c r="Q1546" s="387"/>
    </row>
    <row r="1547" spans="15:17" ht="20.100000000000001" customHeight="1">
      <c r="O1547" s="387"/>
      <c r="P1547" s="387"/>
      <c r="Q1547" s="387"/>
    </row>
    <row r="1548" spans="15:17" ht="20.100000000000001" customHeight="1">
      <c r="O1548" s="387"/>
      <c r="P1548" s="387"/>
      <c r="Q1548" s="387"/>
    </row>
    <row r="1549" spans="15:17" ht="20.100000000000001" customHeight="1">
      <c r="O1549" s="387"/>
      <c r="P1549" s="387"/>
      <c r="Q1549" s="387"/>
    </row>
    <row r="1550" spans="15:17" ht="20.100000000000001" customHeight="1">
      <c r="O1550" s="387"/>
      <c r="P1550" s="387"/>
      <c r="Q1550" s="387"/>
    </row>
    <row r="1551" spans="15:17" ht="20.100000000000001" customHeight="1">
      <c r="O1551" s="387"/>
      <c r="P1551" s="387"/>
      <c r="Q1551" s="387"/>
    </row>
    <row r="1552" spans="15:17" ht="20.100000000000001" customHeight="1">
      <c r="O1552" s="387"/>
      <c r="P1552" s="387"/>
      <c r="Q1552" s="387"/>
    </row>
    <row r="1553" spans="15:17" ht="20.100000000000001" customHeight="1">
      <c r="O1553" s="387"/>
      <c r="P1553" s="387"/>
      <c r="Q1553" s="387"/>
    </row>
    <row r="1554" spans="15:17" ht="20.100000000000001" customHeight="1">
      <c r="O1554" s="387"/>
      <c r="P1554" s="387"/>
      <c r="Q1554" s="387"/>
    </row>
    <row r="1555" spans="15:17" ht="20.100000000000001" customHeight="1">
      <c r="O1555" s="387"/>
      <c r="P1555" s="387"/>
      <c r="Q1555" s="387"/>
    </row>
    <row r="1556" spans="15:17" ht="20.100000000000001" customHeight="1">
      <c r="O1556" s="387"/>
      <c r="P1556" s="387"/>
      <c r="Q1556" s="387"/>
    </row>
    <row r="1557" spans="15:17" ht="20.100000000000001" customHeight="1">
      <c r="O1557" s="387"/>
      <c r="P1557" s="387"/>
      <c r="Q1557" s="387"/>
    </row>
    <row r="1558" spans="15:17" ht="20.100000000000001" customHeight="1">
      <c r="O1558" s="387"/>
      <c r="P1558" s="387"/>
      <c r="Q1558" s="387"/>
    </row>
    <row r="1559" spans="15:17" ht="20.100000000000001" customHeight="1">
      <c r="O1559" s="387"/>
      <c r="P1559" s="387"/>
      <c r="Q1559" s="387"/>
    </row>
    <row r="1560" spans="15:17" ht="20.100000000000001" customHeight="1">
      <c r="O1560" s="387"/>
      <c r="P1560" s="387"/>
      <c r="Q1560" s="387"/>
    </row>
    <row r="1561" spans="15:17" ht="20.100000000000001" customHeight="1">
      <c r="O1561" s="387"/>
      <c r="P1561" s="387"/>
      <c r="Q1561" s="387"/>
    </row>
    <row r="1562" spans="15:17" ht="20.100000000000001" customHeight="1">
      <c r="O1562" s="387"/>
      <c r="P1562" s="387"/>
      <c r="Q1562" s="387"/>
    </row>
    <row r="1563" spans="15:17" ht="20.100000000000001" customHeight="1">
      <c r="O1563" s="387"/>
      <c r="P1563" s="387"/>
      <c r="Q1563" s="387"/>
    </row>
    <row r="1564" spans="15:17" ht="20.100000000000001" customHeight="1">
      <c r="O1564" s="387"/>
      <c r="P1564" s="387"/>
      <c r="Q1564" s="387"/>
    </row>
    <row r="1565" spans="15:17" ht="20.100000000000001" customHeight="1">
      <c r="O1565" s="387"/>
      <c r="P1565" s="387"/>
      <c r="Q1565" s="387"/>
    </row>
    <row r="1566" spans="15:17" ht="20.100000000000001" customHeight="1">
      <c r="O1566" s="387"/>
      <c r="P1566" s="387"/>
      <c r="Q1566" s="387"/>
    </row>
    <row r="1567" spans="15:17" ht="20.100000000000001" customHeight="1">
      <c r="O1567" s="387"/>
      <c r="P1567" s="387"/>
      <c r="Q1567" s="387"/>
    </row>
    <row r="1568" spans="15:17" ht="20.100000000000001" customHeight="1">
      <c r="O1568" s="387"/>
      <c r="P1568" s="387"/>
      <c r="Q1568" s="387"/>
    </row>
    <row r="1569" spans="15:17" ht="20.100000000000001" customHeight="1">
      <c r="O1569" s="387"/>
      <c r="P1569" s="387"/>
      <c r="Q1569" s="387"/>
    </row>
    <row r="1570" spans="15:17" ht="20.100000000000001" customHeight="1">
      <c r="O1570" s="387"/>
      <c r="P1570" s="387"/>
      <c r="Q1570" s="387"/>
    </row>
    <row r="1571" spans="15:17" ht="20.100000000000001" customHeight="1">
      <c r="O1571" s="387"/>
      <c r="P1571" s="387"/>
      <c r="Q1571" s="387"/>
    </row>
    <row r="1572" spans="15:17" ht="20.100000000000001" customHeight="1">
      <c r="O1572" s="387"/>
      <c r="P1572" s="387"/>
      <c r="Q1572" s="387"/>
    </row>
    <row r="1573" spans="15:17" ht="20.100000000000001" customHeight="1">
      <c r="O1573" s="387"/>
      <c r="P1573" s="387"/>
      <c r="Q1573" s="387"/>
    </row>
    <row r="1574" spans="15:17" ht="20.100000000000001" customHeight="1">
      <c r="O1574" s="387"/>
      <c r="P1574" s="387"/>
      <c r="Q1574" s="387"/>
    </row>
    <row r="1575" spans="15:17" ht="20.100000000000001" customHeight="1">
      <c r="O1575" s="387"/>
      <c r="P1575" s="387"/>
      <c r="Q1575" s="387"/>
    </row>
    <row r="1576" spans="15:17" ht="20.100000000000001" customHeight="1">
      <c r="O1576" s="387"/>
      <c r="P1576" s="387"/>
      <c r="Q1576" s="387"/>
    </row>
    <row r="1577" spans="15:17" ht="20.100000000000001" customHeight="1">
      <c r="O1577" s="387"/>
      <c r="P1577" s="387"/>
      <c r="Q1577" s="387"/>
    </row>
    <row r="1578" spans="15:17" ht="20.100000000000001" customHeight="1">
      <c r="O1578" s="387"/>
      <c r="P1578" s="387"/>
      <c r="Q1578" s="387"/>
    </row>
    <row r="1579" spans="15:17" ht="20.100000000000001" customHeight="1">
      <c r="O1579" s="387"/>
      <c r="P1579" s="387"/>
      <c r="Q1579" s="387"/>
    </row>
    <row r="1580" spans="15:17" ht="20.100000000000001" customHeight="1">
      <c r="O1580" s="387"/>
      <c r="P1580" s="387"/>
      <c r="Q1580" s="387"/>
    </row>
    <row r="1581" spans="15:17" ht="20.100000000000001" customHeight="1">
      <c r="O1581" s="387"/>
      <c r="P1581" s="387"/>
      <c r="Q1581" s="387"/>
    </row>
    <row r="1582" spans="15:17" ht="20.100000000000001" customHeight="1">
      <c r="O1582" s="387"/>
      <c r="P1582" s="387"/>
      <c r="Q1582" s="387"/>
    </row>
    <row r="1583" spans="15:17" ht="20.100000000000001" customHeight="1">
      <c r="O1583" s="387"/>
      <c r="P1583" s="387"/>
      <c r="Q1583" s="387"/>
    </row>
    <row r="1584" spans="15:17" ht="20.100000000000001" customHeight="1">
      <c r="O1584" s="387"/>
      <c r="P1584" s="387"/>
      <c r="Q1584" s="387"/>
    </row>
    <row r="1585" spans="15:17" ht="20.100000000000001" customHeight="1">
      <c r="O1585" s="387"/>
      <c r="P1585" s="387"/>
      <c r="Q1585" s="387"/>
    </row>
    <row r="1586" spans="15:17" ht="20.100000000000001" customHeight="1">
      <c r="O1586" s="387"/>
      <c r="P1586" s="387"/>
      <c r="Q1586" s="387"/>
    </row>
    <row r="1587" spans="15:17" ht="20.100000000000001" customHeight="1">
      <c r="O1587" s="387"/>
      <c r="P1587" s="387"/>
      <c r="Q1587" s="387"/>
    </row>
    <row r="1588" spans="15:17" ht="20.100000000000001" customHeight="1">
      <c r="O1588" s="387"/>
      <c r="P1588" s="387"/>
      <c r="Q1588" s="387"/>
    </row>
    <row r="1589" spans="15:17" ht="20.100000000000001" customHeight="1">
      <c r="O1589" s="387"/>
      <c r="P1589" s="387"/>
      <c r="Q1589" s="387"/>
    </row>
    <row r="1590" spans="15:17" ht="20.100000000000001" customHeight="1">
      <c r="O1590" s="387"/>
      <c r="P1590" s="387"/>
      <c r="Q1590" s="387"/>
    </row>
    <row r="1591" spans="15:17" ht="20.100000000000001" customHeight="1">
      <c r="O1591" s="387"/>
      <c r="P1591" s="387"/>
      <c r="Q1591" s="387"/>
    </row>
    <row r="1592" spans="15:17" ht="20.100000000000001" customHeight="1">
      <c r="O1592" s="387"/>
      <c r="P1592" s="387"/>
      <c r="Q1592" s="387"/>
    </row>
    <row r="1593" spans="15:17" ht="20.100000000000001" customHeight="1">
      <c r="O1593" s="387"/>
      <c r="P1593" s="387"/>
      <c r="Q1593" s="387"/>
    </row>
    <row r="1594" spans="15:17" ht="20.100000000000001" customHeight="1">
      <c r="O1594" s="387"/>
      <c r="P1594" s="387"/>
      <c r="Q1594" s="387"/>
    </row>
    <row r="1595" spans="15:17" ht="20.100000000000001" customHeight="1">
      <c r="O1595" s="387"/>
      <c r="P1595" s="387"/>
      <c r="Q1595" s="387"/>
    </row>
    <row r="1596" spans="15:17" ht="20.100000000000001" customHeight="1">
      <c r="O1596" s="387"/>
      <c r="P1596" s="387"/>
      <c r="Q1596" s="387"/>
    </row>
    <row r="1597" spans="15:17" ht="20.100000000000001" customHeight="1">
      <c r="O1597" s="387"/>
      <c r="P1597" s="387"/>
      <c r="Q1597" s="387"/>
    </row>
    <row r="1598" spans="15:17" ht="20.100000000000001" customHeight="1">
      <c r="O1598" s="387"/>
      <c r="P1598" s="387"/>
      <c r="Q1598" s="387"/>
    </row>
    <row r="1599" spans="15:17" ht="20.100000000000001" customHeight="1">
      <c r="O1599" s="387"/>
      <c r="P1599" s="387"/>
      <c r="Q1599" s="387"/>
    </row>
    <row r="1600" spans="15:17" ht="20.100000000000001" customHeight="1">
      <c r="O1600" s="387"/>
      <c r="P1600" s="387"/>
      <c r="Q1600" s="387"/>
    </row>
    <row r="1601" spans="15:17" ht="20.100000000000001" customHeight="1">
      <c r="O1601" s="387"/>
      <c r="P1601" s="387"/>
      <c r="Q1601" s="387"/>
    </row>
    <row r="1602" spans="15:17" ht="20.100000000000001" customHeight="1">
      <c r="O1602" s="387"/>
      <c r="P1602" s="387"/>
      <c r="Q1602" s="387"/>
    </row>
    <row r="1603" spans="15:17" ht="20.100000000000001" customHeight="1">
      <c r="O1603" s="387"/>
      <c r="P1603" s="387"/>
      <c r="Q1603" s="387"/>
    </row>
    <row r="1604" spans="15:17" ht="20.100000000000001" customHeight="1">
      <c r="O1604" s="387"/>
      <c r="P1604" s="387"/>
      <c r="Q1604" s="387"/>
    </row>
    <row r="1605" spans="15:17" ht="20.100000000000001" customHeight="1">
      <c r="O1605" s="387"/>
      <c r="P1605" s="387"/>
      <c r="Q1605" s="387"/>
    </row>
    <row r="1606" spans="15:17" ht="20.100000000000001" customHeight="1">
      <c r="O1606" s="387"/>
      <c r="P1606" s="387"/>
      <c r="Q1606" s="387"/>
    </row>
    <row r="1607" spans="15:17" ht="20.100000000000001" customHeight="1">
      <c r="O1607" s="387"/>
      <c r="P1607" s="387"/>
      <c r="Q1607" s="387"/>
    </row>
    <row r="1608" spans="15:17" ht="20.100000000000001" customHeight="1">
      <c r="O1608" s="387"/>
      <c r="P1608" s="387"/>
      <c r="Q1608" s="387"/>
    </row>
    <row r="1609" spans="15:17" ht="20.100000000000001" customHeight="1">
      <c r="O1609" s="387"/>
      <c r="P1609" s="387"/>
      <c r="Q1609" s="387"/>
    </row>
    <row r="1610" spans="15:17" ht="20.100000000000001" customHeight="1">
      <c r="O1610" s="387"/>
      <c r="P1610" s="387"/>
      <c r="Q1610" s="387"/>
    </row>
    <row r="1611" spans="15:17" ht="20.100000000000001" customHeight="1">
      <c r="O1611" s="387"/>
      <c r="P1611" s="387"/>
      <c r="Q1611" s="387"/>
    </row>
    <row r="1612" spans="15:17" ht="20.100000000000001" customHeight="1">
      <c r="O1612" s="387"/>
      <c r="P1612" s="387"/>
      <c r="Q1612" s="387"/>
    </row>
    <row r="1613" spans="15:17" ht="20.100000000000001" customHeight="1">
      <c r="O1613" s="387"/>
      <c r="P1613" s="387"/>
      <c r="Q1613" s="387"/>
    </row>
    <row r="1614" spans="15:17" ht="20.100000000000001" customHeight="1">
      <c r="O1614" s="387"/>
      <c r="P1614" s="387"/>
      <c r="Q1614" s="387"/>
    </row>
    <row r="1615" spans="15:17" ht="20.100000000000001" customHeight="1">
      <c r="O1615" s="387"/>
      <c r="P1615" s="387"/>
      <c r="Q1615" s="387"/>
    </row>
    <row r="1616" spans="15:17" ht="20.100000000000001" customHeight="1">
      <c r="O1616" s="387"/>
      <c r="P1616" s="387"/>
      <c r="Q1616" s="387"/>
    </row>
    <row r="1617" spans="15:17" ht="20.100000000000001" customHeight="1">
      <c r="O1617" s="387"/>
      <c r="P1617" s="387"/>
      <c r="Q1617" s="387"/>
    </row>
    <row r="1618" spans="15:17" ht="20.100000000000001" customHeight="1">
      <c r="O1618" s="387"/>
      <c r="P1618" s="387"/>
      <c r="Q1618" s="387"/>
    </row>
    <row r="1619" spans="15:17" ht="20.100000000000001" customHeight="1">
      <c r="O1619" s="387"/>
      <c r="P1619" s="387"/>
      <c r="Q1619" s="387"/>
    </row>
    <row r="1620" spans="15:17" ht="20.100000000000001" customHeight="1">
      <c r="O1620" s="387"/>
      <c r="P1620" s="387"/>
      <c r="Q1620" s="387"/>
    </row>
    <row r="1621" spans="15:17" ht="20.100000000000001" customHeight="1">
      <c r="O1621" s="387"/>
      <c r="P1621" s="387"/>
      <c r="Q1621" s="387"/>
    </row>
    <row r="1622" spans="15:17" ht="20.100000000000001" customHeight="1">
      <c r="O1622" s="387"/>
      <c r="P1622" s="387"/>
      <c r="Q1622" s="387"/>
    </row>
    <row r="1623" spans="15:17" ht="20.100000000000001" customHeight="1">
      <c r="O1623" s="387"/>
      <c r="P1623" s="387"/>
      <c r="Q1623" s="387"/>
    </row>
    <row r="1624" spans="15:17" ht="20.100000000000001" customHeight="1">
      <c r="O1624" s="387"/>
      <c r="P1624" s="387"/>
      <c r="Q1624" s="387"/>
    </row>
    <row r="1625" spans="15:17" ht="20.100000000000001" customHeight="1">
      <c r="O1625" s="387"/>
      <c r="P1625" s="387"/>
      <c r="Q1625" s="387"/>
    </row>
    <row r="1626" spans="15:17" ht="20.100000000000001" customHeight="1">
      <c r="O1626" s="387"/>
      <c r="P1626" s="387"/>
      <c r="Q1626" s="387"/>
    </row>
    <row r="1627" spans="15:17" ht="20.100000000000001" customHeight="1">
      <c r="O1627" s="387"/>
      <c r="P1627" s="387"/>
      <c r="Q1627" s="387"/>
    </row>
    <row r="1628" spans="15:17" ht="20.100000000000001" customHeight="1">
      <c r="O1628" s="387"/>
      <c r="P1628" s="387"/>
      <c r="Q1628" s="387"/>
    </row>
    <row r="1629" spans="15:17" ht="20.100000000000001" customHeight="1">
      <c r="O1629" s="387"/>
      <c r="P1629" s="387"/>
      <c r="Q1629" s="387"/>
    </row>
    <row r="1630" spans="15:17" ht="20.100000000000001" customHeight="1">
      <c r="O1630" s="387"/>
      <c r="P1630" s="387"/>
      <c r="Q1630" s="387"/>
    </row>
    <row r="1631" spans="15:17" ht="20.100000000000001" customHeight="1">
      <c r="O1631" s="387"/>
      <c r="P1631" s="387"/>
      <c r="Q1631" s="387"/>
    </row>
    <row r="1632" spans="15:17" ht="20.100000000000001" customHeight="1">
      <c r="O1632" s="387"/>
      <c r="P1632" s="387"/>
      <c r="Q1632" s="387"/>
    </row>
    <row r="1633" spans="15:17" ht="20.100000000000001" customHeight="1">
      <c r="O1633" s="387"/>
      <c r="P1633" s="387"/>
      <c r="Q1633" s="387"/>
    </row>
    <row r="1634" spans="15:17" ht="20.100000000000001" customHeight="1">
      <c r="O1634" s="387"/>
      <c r="P1634" s="387"/>
      <c r="Q1634" s="387"/>
    </row>
    <row r="1635" spans="15:17" ht="20.100000000000001" customHeight="1">
      <c r="O1635" s="387"/>
      <c r="P1635" s="387"/>
      <c r="Q1635" s="387"/>
    </row>
    <row r="1636" spans="15:17" ht="20.100000000000001" customHeight="1">
      <c r="O1636" s="387"/>
      <c r="P1636" s="387"/>
      <c r="Q1636" s="387"/>
    </row>
    <row r="1637" spans="15:17" ht="20.100000000000001" customHeight="1">
      <c r="O1637" s="387"/>
      <c r="P1637" s="387"/>
      <c r="Q1637" s="387"/>
    </row>
    <row r="1638" spans="15:17" ht="20.100000000000001" customHeight="1">
      <c r="O1638" s="387"/>
      <c r="P1638" s="387"/>
      <c r="Q1638" s="387"/>
    </row>
    <row r="1639" spans="15:17" ht="20.100000000000001" customHeight="1">
      <c r="O1639" s="387"/>
      <c r="P1639" s="387"/>
      <c r="Q1639" s="387"/>
    </row>
    <row r="1640" spans="15:17" ht="20.100000000000001" customHeight="1">
      <c r="O1640" s="387"/>
      <c r="P1640" s="387"/>
      <c r="Q1640" s="387"/>
    </row>
    <row r="1641" spans="15:17" ht="20.100000000000001" customHeight="1">
      <c r="O1641" s="387"/>
      <c r="P1641" s="387"/>
      <c r="Q1641" s="387"/>
    </row>
    <row r="1642" spans="15:17" ht="20.100000000000001" customHeight="1">
      <c r="O1642" s="387"/>
      <c r="P1642" s="387"/>
      <c r="Q1642" s="387"/>
    </row>
    <row r="1643" spans="15:17" ht="20.100000000000001" customHeight="1">
      <c r="O1643" s="387"/>
      <c r="P1643" s="387"/>
      <c r="Q1643" s="387"/>
    </row>
    <row r="1644" spans="15:17" ht="20.100000000000001" customHeight="1">
      <c r="O1644" s="387"/>
      <c r="P1644" s="387"/>
      <c r="Q1644" s="387"/>
    </row>
    <row r="1645" spans="15:17" ht="20.100000000000001" customHeight="1">
      <c r="O1645" s="387"/>
      <c r="P1645" s="387"/>
      <c r="Q1645" s="387"/>
    </row>
    <row r="1646" spans="15:17" ht="20.100000000000001" customHeight="1">
      <c r="O1646" s="387"/>
      <c r="P1646" s="387"/>
      <c r="Q1646" s="387"/>
    </row>
    <row r="1647" spans="15:17" ht="20.100000000000001" customHeight="1">
      <c r="O1647" s="387"/>
      <c r="P1647" s="387"/>
      <c r="Q1647" s="387"/>
    </row>
    <row r="1648" spans="15:17" ht="20.100000000000001" customHeight="1">
      <c r="O1648" s="387"/>
      <c r="P1648" s="387"/>
      <c r="Q1648" s="387"/>
    </row>
    <row r="1649" spans="15:17" ht="20.100000000000001" customHeight="1">
      <c r="O1649" s="387"/>
      <c r="P1649" s="387"/>
      <c r="Q1649" s="387"/>
    </row>
    <row r="1650" spans="15:17" ht="20.100000000000001" customHeight="1">
      <c r="O1650" s="387"/>
      <c r="P1650" s="387"/>
      <c r="Q1650" s="387"/>
    </row>
    <row r="1651" spans="15:17" ht="20.100000000000001" customHeight="1">
      <c r="O1651" s="387"/>
      <c r="P1651" s="387"/>
      <c r="Q1651" s="387"/>
    </row>
    <row r="1652" spans="15:17" ht="20.100000000000001" customHeight="1">
      <c r="O1652" s="387"/>
      <c r="P1652" s="387"/>
      <c r="Q1652" s="387"/>
    </row>
    <row r="1653" spans="15:17" ht="20.100000000000001" customHeight="1">
      <c r="O1653" s="387"/>
      <c r="P1653" s="387"/>
      <c r="Q1653" s="387"/>
    </row>
    <row r="1654" spans="15:17" ht="20.100000000000001" customHeight="1">
      <c r="O1654" s="387"/>
      <c r="P1654" s="387"/>
      <c r="Q1654" s="387"/>
    </row>
    <row r="1655" spans="15:17" ht="20.100000000000001" customHeight="1">
      <c r="O1655" s="387"/>
      <c r="P1655" s="387"/>
      <c r="Q1655" s="387"/>
    </row>
    <row r="1656" spans="15:17" ht="20.100000000000001" customHeight="1">
      <c r="O1656" s="387"/>
      <c r="P1656" s="387"/>
      <c r="Q1656" s="387"/>
    </row>
    <row r="1657" spans="15:17" ht="20.100000000000001" customHeight="1">
      <c r="O1657" s="387"/>
      <c r="P1657" s="387"/>
      <c r="Q1657" s="387"/>
    </row>
    <row r="1658" spans="15:17" ht="20.100000000000001" customHeight="1">
      <c r="O1658" s="387"/>
      <c r="P1658" s="387"/>
      <c r="Q1658" s="387"/>
    </row>
    <row r="1659" spans="15:17" ht="20.100000000000001" customHeight="1">
      <c r="O1659" s="387"/>
      <c r="P1659" s="387"/>
      <c r="Q1659" s="387"/>
    </row>
    <row r="1660" spans="15:17" ht="20.100000000000001" customHeight="1">
      <c r="O1660" s="387"/>
      <c r="P1660" s="387"/>
      <c r="Q1660" s="387"/>
    </row>
    <row r="1661" spans="15:17" ht="20.100000000000001" customHeight="1">
      <c r="O1661" s="387"/>
      <c r="P1661" s="387"/>
      <c r="Q1661" s="387"/>
    </row>
    <row r="1662" spans="15:17" ht="20.100000000000001" customHeight="1">
      <c r="O1662" s="387"/>
      <c r="P1662" s="387"/>
      <c r="Q1662" s="387"/>
    </row>
    <row r="1663" spans="15:17" ht="20.100000000000001" customHeight="1">
      <c r="O1663" s="387"/>
      <c r="P1663" s="387"/>
      <c r="Q1663" s="387"/>
    </row>
    <row r="1664" spans="15:17" ht="20.100000000000001" customHeight="1">
      <c r="O1664" s="387"/>
      <c r="P1664" s="387"/>
      <c r="Q1664" s="387"/>
    </row>
    <row r="1665" spans="15:17" ht="20.100000000000001" customHeight="1">
      <c r="O1665" s="387"/>
      <c r="P1665" s="387"/>
      <c r="Q1665" s="387"/>
    </row>
    <row r="1666" spans="15:17" ht="20.100000000000001" customHeight="1">
      <c r="O1666" s="387"/>
      <c r="P1666" s="387"/>
      <c r="Q1666" s="387"/>
    </row>
    <row r="1667" spans="15:17" ht="20.100000000000001" customHeight="1">
      <c r="O1667" s="387"/>
      <c r="P1667" s="387"/>
      <c r="Q1667" s="387"/>
    </row>
    <row r="1668" spans="15:17" ht="20.100000000000001" customHeight="1">
      <c r="O1668" s="387"/>
      <c r="P1668" s="387"/>
      <c r="Q1668" s="387"/>
    </row>
    <row r="1669" spans="15:17" ht="20.100000000000001" customHeight="1">
      <c r="O1669" s="387"/>
      <c r="P1669" s="387"/>
      <c r="Q1669" s="387"/>
    </row>
    <row r="1670" spans="15:17" ht="20.100000000000001" customHeight="1">
      <c r="O1670" s="387"/>
      <c r="P1670" s="387"/>
      <c r="Q1670" s="387"/>
    </row>
    <row r="1671" spans="15:17" ht="20.100000000000001" customHeight="1">
      <c r="O1671" s="387"/>
      <c r="P1671" s="387"/>
      <c r="Q1671" s="387"/>
    </row>
    <row r="1672" spans="15:17" ht="20.100000000000001" customHeight="1">
      <c r="O1672" s="387"/>
      <c r="P1672" s="387"/>
      <c r="Q1672" s="387"/>
    </row>
    <row r="1673" spans="15:17" ht="20.100000000000001" customHeight="1">
      <c r="O1673" s="387"/>
      <c r="P1673" s="387"/>
      <c r="Q1673" s="387"/>
    </row>
    <row r="1674" spans="15:17" ht="20.100000000000001" customHeight="1">
      <c r="O1674" s="387"/>
      <c r="P1674" s="387"/>
      <c r="Q1674" s="387"/>
    </row>
    <row r="1675" spans="15:17" ht="20.100000000000001" customHeight="1">
      <c r="O1675" s="387"/>
      <c r="P1675" s="387"/>
      <c r="Q1675" s="387"/>
    </row>
    <row r="1676" spans="15:17" ht="20.100000000000001" customHeight="1">
      <c r="O1676" s="387"/>
      <c r="P1676" s="387"/>
      <c r="Q1676" s="387"/>
    </row>
    <row r="1677" spans="15:17" ht="20.100000000000001" customHeight="1">
      <c r="O1677" s="387"/>
      <c r="P1677" s="387"/>
      <c r="Q1677" s="387"/>
    </row>
    <row r="1678" spans="15:17" ht="20.100000000000001" customHeight="1">
      <c r="O1678" s="387"/>
      <c r="P1678" s="387"/>
      <c r="Q1678" s="387"/>
    </row>
    <row r="1679" spans="15:17" ht="20.100000000000001" customHeight="1">
      <c r="O1679" s="387"/>
      <c r="P1679" s="387"/>
      <c r="Q1679" s="387"/>
    </row>
    <row r="1680" spans="15:17" ht="20.100000000000001" customHeight="1">
      <c r="O1680" s="387"/>
      <c r="P1680" s="387"/>
      <c r="Q1680" s="387"/>
    </row>
    <row r="1681" spans="15:17" ht="20.100000000000001" customHeight="1">
      <c r="O1681" s="387"/>
      <c r="P1681" s="387"/>
      <c r="Q1681" s="387"/>
    </row>
    <row r="1682" spans="15:17" ht="20.100000000000001" customHeight="1">
      <c r="O1682" s="387"/>
      <c r="P1682" s="387"/>
      <c r="Q1682" s="387"/>
    </row>
    <row r="1683" spans="15:17" ht="20.100000000000001" customHeight="1">
      <c r="O1683" s="387"/>
      <c r="P1683" s="387"/>
      <c r="Q1683" s="387"/>
    </row>
    <row r="1684" spans="15:17" ht="20.100000000000001" customHeight="1">
      <c r="O1684" s="387"/>
      <c r="P1684" s="387"/>
      <c r="Q1684" s="387"/>
    </row>
    <row r="1685" spans="15:17" ht="20.100000000000001" customHeight="1">
      <c r="O1685" s="387"/>
      <c r="P1685" s="387"/>
      <c r="Q1685" s="387"/>
    </row>
    <row r="1686" spans="15:17" ht="20.100000000000001" customHeight="1">
      <c r="O1686" s="387"/>
      <c r="P1686" s="387"/>
      <c r="Q1686" s="387"/>
    </row>
    <row r="1687" spans="15:17" ht="20.100000000000001" customHeight="1">
      <c r="O1687" s="387"/>
      <c r="P1687" s="387"/>
      <c r="Q1687" s="387"/>
    </row>
    <row r="1688" spans="15:17" ht="20.100000000000001" customHeight="1">
      <c r="O1688" s="387"/>
      <c r="P1688" s="387"/>
      <c r="Q1688" s="387"/>
    </row>
    <row r="1689" spans="15:17" ht="20.100000000000001" customHeight="1">
      <c r="O1689" s="387"/>
      <c r="P1689" s="387"/>
      <c r="Q1689" s="387"/>
    </row>
    <row r="1690" spans="15:17" ht="20.100000000000001" customHeight="1">
      <c r="O1690" s="387"/>
      <c r="P1690" s="387"/>
      <c r="Q1690" s="387"/>
    </row>
    <row r="1691" spans="15:17" ht="20.100000000000001" customHeight="1">
      <c r="O1691" s="387"/>
      <c r="P1691" s="387"/>
      <c r="Q1691" s="387"/>
    </row>
    <row r="1692" spans="15:17" ht="20.100000000000001" customHeight="1">
      <c r="O1692" s="387"/>
      <c r="P1692" s="387"/>
      <c r="Q1692" s="387"/>
    </row>
    <row r="1693" spans="15:17" ht="20.100000000000001" customHeight="1">
      <c r="O1693" s="387"/>
      <c r="P1693" s="387"/>
      <c r="Q1693" s="387"/>
    </row>
    <row r="1694" spans="15:17" ht="20.100000000000001" customHeight="1">
      <c r="O1694" s="387"/>
      <c r="P1694" s="387"/>
      <c r="Q1694" s="387"/>
    </row>
    <row r="1695" spans="15:17" ht="20.100000000000001" customHeight="1">
      <c r="O1695" s="387"/>
      <c r="P1695" s="387"/>
      <c r="Q1695" s="387"/>
    </row>
    <row r="1696" spans="15:17" ht="20.100000000000001" customHeight="1">
      <c r="O1696" s="387"/>
      <c r="P1696" s="387"/>
      <c r="Q1696" s="387"/>
    </row>
    <row r="1697" spans="15:17" ht="20.100000000000001" customHeight="1">
      <c r="O1697" s="387"/>
      <c r="P1697" s="387"/>
      <c r="Q1697" s="387"/>
    </row>
    <row r="1698" spans="15:17" ht="20.100000000000001" customHeight="1">
      <c r="O1698" s="387"/>
      <c r="P1698" s="387"/>
      <c r="Q1698" s="387"/>
    </row>
    <row r="1699" spans="15:17" ht="20.100000000000001" customHeight="1">
      <c r="O1699" s="387"/>
      <c r="P1699" s="387"/>
      <c r="Q1699" s="387"/>
    </row>
    <row r="1700" spans="15:17" ht="20.100000000000001" customHeight="1">
      <c r="O1700" s="387"/>
      <c r="P1700" s="387"/>
      <c r="Q1700" s="387"/>
    </row>
    <row r="1701" spans="15:17" ht="20.100000000000001" customHeight="1">
      <c r="O1701" s="387"/>
      <c r="P1701" s="387"/>
      <c r="Q1701" s="387"/>
    </row>
    <row r="1702" spans="15:17" ht="20.100000000000001" customHeight="1">
      <c r="O1702" s="387"/>
      <c r="P1702" s="387"/>
      <c r="Q1702" s="387"/>
    </row>
    <row r="1703" spans="15:17" ht="20.100000000000001" customHeight="1">
      <c r="O1703" s="387"/>
      <c r="P1703" s="387"/>
      <c r="Q1703" s="387"/>
    </row>
    <row r="1704" spans="15:17" ht="20.100000000000001" customHeight="1">
      <c r="O1704" s="387"/>
      <c r="P1704" s="387"/>
      <c r="Q1704" s="387"/>
    </row>
    <row r="1705" spans="15:17" ht="20.100000000000001" customHeight="1">
      <c r="O1705" s="387"/>
      <c r="P1705" s="387"/>
      <c r="Q1705" s="387"/>
    </row>
    <row r="1706" spans="15:17" ht="20.100000000000001" customHeight="1">
      <c r="O1706" s="387"/>
      <c r="P1706" s="387"/>
      <c r="Q1706" s="387"/>
    </row>
    <row r="1707" spans="15:17" ht="20.100000000000001" customHeight="1">
      <c r="O1707" s="387"/>
      <c r="P1707" s="387"/>
      <c r="Q1707" s="387"/>
    </row>
    <row r="1708" spans="15:17" ht="20.100000000000001" customHeight="1">
      <c r="O1708" s="387"/>
      <c r="P1708" s="387"/>
      <c r="Q1708" s="387"/>
    </row>
    <row r="1709" spans="15:17" ht="20.100000000000001" customHeight="1">
      <c r="O1709" s="387"/>
      <c r="P1709" s="387"/>
      <c r="Q1709" s="387"/>
    </row>
    <row r="1710" spans="15:17" ht="20.100000000000001" customHeight="1">
      <c r="O1710" s="387"/>
      <c r="P1710" s="387"/>
      <c r="Q1710" s="387"/>
    </row>
    <row r="1711" spans="15:17" ht="20.100000000000001" customHeight="1">
      <c r="O1711" s="387"/>
      <c r="P1711" s="387"/>
      <c r="Q1711" s="387"/>
    </row>
    <row r="1712" spans="15:17" ht="20.100000000000001" customHeight="1">
      <c r="O1712" s="387"/>
      <c r="P1712" s="387"/>
      <c r="Q1712" s="387"/>
    </row>
    <row r="1713" spans="15:17" ht="20.100000000000001" customHeight="1">
      <c r="O1713" s="387"/>
      <c r="P1713" s="387"/>
      <c r="Q1713" s="387"/>
    </row>
    <row r="1714" spans="15:17" ht="20.100000000000001" customHeight="1">
      <c r="O1714" s="387"/>
      <c r="P1714" s="387"/>
      <c r="Q1714" s="387"/>
    </row>
    <row r="1715" spans="15:17" ht="20.100000000000001" customHeight="1">
      <c r="O1715" s="387"/>
      <c r="P1715" s="387"/>
      <c r="Q1715" s="387"/>
    </row>
    <row r="1716" spans="15:17" ht="20.100000000000001" customHeight="1">
      <c r="O1716" s="387"/>
      <c r="P1716" s="387"/>
      <c r="Q1716" s="387"/>
    </row>
    <row r="1717" spans="15:17" ht="20.100000000000001" customHeight="1">
      <c r="O1717" s="387"/>
      <c r="P1717" s="387"/>
      <c r="Q1717" s="387"/>
    </row>
    <row r="1718" spans="15:17" ht="20.100000000000001" customHeight="1">
      <c r="O1718" s="387"/>
      <c r="P1718" s="387"/>
      <c r="Q1718" s="387"/>
    </row>
    <row r="1719" spans="15:17" ht="20.100000000000001" customHeight="1">
      <c r="O1719" s="387"/>
      <c r="P1719" s="387"/>
      <c r="Q1719" s="387"/>
    </row>
    <row r="1720" spans="15:17" ht="20.100000000000001" customHeight="1">
      <c r="O1720" s="387"/>
      <c r="P1720" s="387"/>
      <c r="Q1720" s="387"/>
    </row>
    <row r="1721" spans="15:17" ht="20.100000000000001" customHeight="1">
      <c r="O1721" s="387"/>
      <c r="P1721" s="387"/>
      <c r="Q1721" s="387"/>
    </row>
    <row r="1722" spans="15:17" ht="20.100000000000001" customHeight="1">
      <c r="O1722" s="387"/>
      <c r="P1722" s="387"/>
      <c r="Q1722" s="387"/>
    </row>
    <row r="1723" spans="15:17" ht="20.100000000000001" customHeight="1">
      <c r="O1723" s="387"/>
      <c r="P1723" s="387"/>
      <c r="Q1723" s="387"/>
    </row>
    <row r="1724" spans="15:17" ht="20.100000000000001" customHeight="1">
      <c r="O1724" s="387"/>
      <c r="P1724" s="387"/>
      <c r="Q1724" s="387"/>
    </row>
    <row r="1725" spans="15:17" ht="20.100000000000001" customHeight="1">
      <c r="O1725" s="387"/>
      <c r="P1725" s="387"/>
      <c r="Q1725" s="387"/>
    </row>
    <row r="1726" spans="15:17" ht="20.100000000000001" customHeight="1">
      <c r="O1726" s="387"/>
      <c r="P1726" s="387"/>
      <c r="Q1726" s="387"/>
    </row>
    <row r="1727" spans="15:17" ht="20.100000000000001" customHeight="1">
      <c r="O1727" s="387"/>
      <c r="P1727" s="387"/>
      <c r="Q1727" s="387"/>
    </row>
    <row r="1728" spans="15:17" ht="20.100000000000001" customHeight="1">
      <c r="O1728" s="387"/>
      <c r="P1728" s="387"/>
      <c r="Q1728" s="387"/>
    </row>
    <row r="1729" spans="15:17" ht="20.100000000000001" customHeight="1">
      <c r="O1729" s="387"/>
      <c r="P1729" s="387"/>
      <c r="Q1729" s="387"/>
    </row>
    <row r="1730" spans="15:17" ht="20.100000000000001" customHeight="1">
      <c r="O1730" s="387"/>
      <c r="P1730" s="387"/>
      <c r="Q1730" s="387"/>
    </row>
    <row r="1731" spans="15:17" ht="20.100000000000001" customHeight="1">
      <c r="O1731" s="387"/>
      <c r="P1731" s="387"/>
      <c r="Q1731" s="387"/>
    </row>
    <row r="1732" spans="15:17" ht="20.100000000000001" customHeight="1">
      <c r="O1732" s="387"/>
      <c r="P1732" s="387"/>
      <c r="Q1732" s="387"/>
    </row>
    <row r="1733" spans="15:17" ht="20.100000000000001" customHeight="1">
      <c r="O1733" s="387"/>
      <c r="P1733" s="387"/>
      <c r="Q1733" s="387"/>
    </row>
    <row r="1734" spans="15:17" ht="20.100000000000001" customHeight="1">
      <c r="O1734" s="387"/>
      <c r="P1734" s="387"/>
      <c r="Q1734" s="387"/>
    </row>
    <row r="1735" spans="15:17" ht="20.100000000000001" customHeight="1">
      <c r="O1735" s="387"/>
      <c r="P1735" s="387"/>
      <c r="Q1735" s="387"/>
    </row>
    <row r="1736" spans="15:17" ht="20.100000000000001" customHeight="1">
      <c r="O1736" s="387"/>
      <c r="P1736" s="387"/>
      <c r="Q1736" s="387"/>
    </row>
    <row r="1737" spans="15:17" ht="20.100000000000001" customHeight="1">
      <c r="O1737" s="387"/>
      <c r="P1737" s="387"/>
      <c r="Q1737" s="387"/>
    </row>
    <row r="1738" spans="15:17" ht="20.100000000000001" customHeight="1">
      <c r="O1738" s="387"/>
      <c r="P1738" s="387"/>
      <c r="Q1738" s="387"/>
    </row>
    <row r="1739" spans="15:17" ht="20.100000000000001" customHeight="1">
      <c r="O1739" s="387"/>
      <c r="P1739" s="387"/>
      <c r="Q1739" s="387"/>
    </row>
    <row r="1740" spans="15:17" ht="20.100000000000001" customHeight="1">
      <c r="O1740" s="387"/>
      <c r="P1740" s="387"/>
      <c r="Q1740" s="387"/>
    </row>
    <row r="1741" spans="15:17" ht="20.100000000000001" customHeight="1">
      <c r="O1741" s="387"/>
      <c r="P1741" s="387"/>
      <c r="Q1741" s="387"/>
    </row>
    <row r="1742" spans="15:17" ht="20.100000000000001" customHeight="1">
      <c r="O1742" s="387"/>
      <c r="P1742" s="387"/>
      <c r="Q1742" s="387"/>
    </row>
    <row r="1743" spans="15:17" ht="20.100000000000001" customHeight="1">
      <c r="O1743" s="387"/>
      <c r="P1743" s="387"/>
      <c r="Q1743" s="387"/>
    </row>
    <row r="1744" spans="15:17" ht="20.100000000000001" customHeight="1">
      <c r="O1744" s="387"/>
      <c r="P1744" s="387"/>
      <c r="Q1744" s="387"/>
    </row>
    <row r="1745" spans="15:17" ht="20.100000000000001" customHeight="1">
      <c r="O1745" s="387"/>
      <c r="P1745" s="387"/>
      <c r="Q1745" s="387"/>
    </row>
    <row r="1746" spans="15:17" ht="20.100000000000001" customHeight="1">
      <c r="O1746" s="387"/>
      <c r="P1746" s="387"/>
      <c r="Q1746" s="387"/>
    </row>
    <row r="1747" spans="15:17" ht="20.100000000000001" customHeight="1">
      <c r="O1747" s="387"/>
      <c r="P1747" s="387"/>
      <c r="Q1747" s="387"/>
    </row>
    <row r="1748" spans="15:17" ht="20.100000000000001" customHeight="1">
      <c r="O1748" s="387"/>
      <c r="P1748" s="387"/>
      <c r="Q1748" s="387"/>
    </row>
    <row r="1749" spans="15:17" ht="20.100000000000001" customHeight="1">
      <c r="O1749" s="387"/>
      <c r="P1749" s="387"/>
      <c r="Q1749" s="387"/>
    </row>
    <row r="1750" spans="15:17" ht="20.100000000000001" customHeight="1">
      <c r="O1750" s="387"/>
      <c r="P1750" s="387"/>
      <c r="Q1750" s="387"/>
    </row>
    <row r="1751" spans="15:17" ht="20.100000000000001" customHeight="1">
      <c r="O1751" s="387"/>
      <c r="P1751" s="387"/>
      <c r="Q1751" s="387"/>
    </row>
    <row r="1752" spans="15:17" ht="20.100000000000001" customHeight="1">
      <c r="O1752" s="387"/>
      <c r="P1752" s="387"/>
      <c r="Q1752" s="387"/>
    </row>
    <row r="1753" spans="15:17" ht="20.100000000000001" customHeight="1">
      <c r="O1753" s="387"/>
      <c r="P1753" s="387"/>
      <c r="Q1753" s="387"/>
    </row>
    <row r="1754" spans="15:17" ht="20.100000000000001" customHeight="1">
      <c r="O1754" s="387"/>
      <c r="P1754" s="387"/>
      <c r="Q1754" s="387"/>
    </row>
    <row r="1755" spans="15:17" ht="20.100000000000001" customHeight="1">
      <c r="O1755" s="387"/>
      <c r="P1755" s="387"/>
      <c r="Q1755" s="387"/>
    </row>
    <row r="1756" spans="15:17" ht="20.100000000000001" customHeight="1">
      <c r="O1756" s="387"/>
      <c r="P1756" s="387"/>
      <c r="Q1756" s="387"/>
    </row>
    <row r="1757" spans="15:17" ht="20.100000000000001" customHeight="1">
      <c r="O1757" s="387"/>
      <c r="P1757" s="387"/>
      <c r="Q1757" s="387"/>
    </row>
    <row r="1758" spans="15:17" ht="20.100000000000001" customHeight="1">
      <c r="O1758" s="387"/>
      <c r="P1758" s="387"/>
      <c r="Q1758" s="387"/>
    </row>
    <row r="1759" spans="15:17" ht="20.100000000000001" customHeight="1">
      <c r="O1759" s="387"/>
      <c r="P1759" s="387"/>
      <c r="Q1759" s="387"/>
    </row>
    <row r="1760" spans="15:17" ht="20.100000000000001" customHeight="1">
      <c r="O1760" s="387"/>
      <c r="P1760" s="387"/>
      <c r="Q1760" s="387"/>
    </row>
    <row r="1761" spans="15:17" ht="20.100000000000001" customHeight="1">
      <c r="O1761" s="387"/>
      <c r="P1761" s="387"/>
      <c r="Q1761" s="387"/>
    </row>
    <row r="1762" spans="15:17" ht="20.100000000000001" customHeight="1">
      <c r="O1762" s="387"/>
      <c r="P1762" s="387"/>
      <c r="Q1762" s="387"/>
    </row>
    <row r="1763" spans="15:17" ht="20.100000000000001" customHeight="1">
      <c r="O1763" s="387"/>
      <c r="P1763" s="387"/>
      <c r="Q1763" s="387"/>
    </row>
    <row r="1764" spans="15:17" ht="20.100000000000001" customHeight="1">
      <c r="O1764" s="387"/>
      <c r="P1764" s="387"/>
      <c r="Q1764" s="387"/>
    </row>
    <row r="1765" spans="15:17" ht="20.100000000000001" customHeight="1">
      <c r="O1765" s="387"/>
      <c r="P1765" s="387"/>
      <c r="Q1765" s="387"/>
    </row>
    <row r="1766" spans="15:17" ht="20.100000000000001" customHeight="1">
      <c r="O1766" s="387"/>
      <c r="P1766" s="387"/>
      <c r="Q1766" s="387"/>
    </row>
    <row r="1767" spans="15:17" ht="20.100000000000001" customHeight="1">
      <c r="O1767" s="387"/>
      <c r="P1767" s="387"/>
      <c r="Q1767" s="387"/>
    </row>
    <row r="1768" spans="15:17" ht="20.100000000000001" customHeight="1">
      <c r="O1768" s="387"/>
      <c r="P1768" s="387"/>
      <c r="Q1768" s="387"/>
    </row>
    <row r="1769" spans="15:17" ht="20.100000000000001" customHeight="1">
      <c r="O1769" s="387"/>
      <c r="P1769" s="387"/>
      <c r="Q1769" s="387"/>
    </row>
    <row r="1770" spans="15:17" ht="20.100000000000001" customHeight="1">
      <c r="O1770" s="387"/>
      <c r="P1770" s="387"/>
      <c r="Q1770" s="387"/>
    </row>
    <row r="1771" spans="15:17" ht="20.100000000000001" customHeight="1">
      <c r="O1771" s="387"/>
      <c r="P1771" s="387"/>
      <c r="Q1771" s="387"/>
    </row>
    <row r="1772" spans="15:17" ht="20.100000000000001" customHeight="1">
      <c r="O1772" s="387"/>
      <c r="P1772" s="387"/>
      <c r="Q1772" s="387"/>
    </row>
    <row r="1773" spans="15:17" ht="20.100000000000001" customHeight="1">
      <c r="O1773" s="387"/>
      <c r="P1773" s="387"/>
      <c r="Q1773" s="387"/>
    </row>
    <row r="1774" spans="15:17" ht="20.100000000000001" customHeight="1">
      <c r="O1774" s="387"/>
      <c r="P1774" s="387"/>
      <c r="Q1774" s="387"/>
    </row>
    <row r="1775" spans="15:17" ht="20.100000000000001" customHeight="1">
      <c r="O1775" s="387"/>
      <c r="P1775" s="387"/>
      <c r="Q1775" s="387"/>
    </row>
    <row r="1776" spans="15:17" ht="20.100000000000001" customHeight="1">
      <c r="O1776" s="387"/>
      <c r="P1776" s="387"/>
      <c r="Q1776" s="387"/>
    </row>
    <row r="1777" spans="15:17" ht="20.100000000000001" customHeight="1">
      <c r="O1777" s="387"/>
      <c r="P1777" s="387"/>
      <c r="Q1777" s="387"/>
    </row>
    <row r="1778" spans="15:17" ht="20.100000000000001" customHeight="1">
      <c r="O1778" s="387"/>
      <c r="P1778" s="387"/>
      <c r="Q1778" s="387"/>
    </row>
    <row r="1779" spans="15:17" ht="20.100000000000001" customHeight="1">
      <c r="O1779" s="387"/>
      <c r="P1779" s="387"/>
      <c r="Q1779" s="387"/>
    </row>
    <row r="1780" spans="15:17" ht="20.100000000000001" customHeight="1">
      <c r="O1780" s="387"/>
      <c r="P1780" s="387"/>
      <c r="Q1780" s="387"/>
    </row>
    <row r="1781" spans="15:17" ht="20.100000000000001" customHeight="1">
      <c r="O1781" s="387"/>
      <c r="P1781" s="387"/>
      <c r="Q1781" s="387"/>
    </row>
    <row r="1782" spans="15:17" ht="20.100000000000001" customHeight="1">
      <c r="O1782" s="387"/>
      <c r="P1782" s="387"/>
      <c r="Q1782" s="387"/>
    </row>
    <row r="1783" spans="15:17" ht="20.100000000000001" customHeight="1">
      <c r="O1783" s="387"/>
      <c r="P1783" s="387"/>
      <c r="Q1783" s="387"/>
    </row>
    <row r="1784" spans="15:17" ht="20.100000000000001" customHeight="1">
      <c r="O1784" s="387"/>
      <c r="P1784" s="387"/>
      <c r="Q1784" s="387"/>
    </row>
    <row r="1785" spans="15:17" ht="20.100000000000001" customHeight="1">
      <c r="O1785" s="387"/>
      <c r="P1785" s="387"/>
      <c r="Q1785" s="387"/>
    </row>
    <row r="1786" spans="15:17" ht="20.100000000000001" customHeight="1">
      <c r="O1786" s="387"/>
      <c r="P1786" s="387"/>
      <c r="Q1786" s="387"/>
    </row>
    <row r="1787" spans="15:17" ht="20.100000000000001" customHeight="1">
      <c r="O1787" s="387"/>
      <c r="P1787" s="387"/>
      <c r="Q1787" s="387"/>
    </row>
    <row r="1788" spans="15:17" ht="20.100000000000001" customHeight="1">
      <c r="O1788" s="387"/>
      <c r="P1788" s="387"/>
      <c r="Q1788" s="387"/>
    </row>
    <row r="1789" spans="15:17" ht="20.100000000000001" customHeight="1">
      <c r="O1789" s="387"/>
      <c r="P1789" s="387"/>
      <c r="Q1789" s="387"/>
    </row>
    <row r="1790" spans="15:17" ht="20.100000000000001" customHeight="1">
      <c r="O1790" s="387"/>
      <c r="P1790" s="387"/>
      <c r="Q1790" s="387"/>
    </row>
    <row r="1791" spans="15:17" ht="20.100000000000001" customHeight="1">
      <c r="O1791" s="387"/>
      <c r="P1791" s="387"/>
      <c r="Q1791" s="387"/>
    </row>
    <row r="1792" spans="15:17" ht="20.100000000000001" customHeight="1">
      <c r="O1792" s="387"/>
      <c r="P1792" s="387"/>
      <c r="Q1792" s="387"/>
    </row>
    <row r="1793" spans="15:17" ht="20.100000000000001" customHeight="1">
      <c r="O1793" s="387"/>
      <c r="P1793" s="387"/>
      <c r="Q1793" s="387"/>
    </row>
    <row r="1794" spans="15:17" ht="20.100000000000001" customHeight="1">
      <c r="O1794" s="387"/>
      <c r="P1794" s="387"/>
      <c r="Q1794" s="387"/>
    </row>
    <row r="1795" spans="15:17" ht="20.100000000000001" customHeight="1">
      <c r="O1795" s="387"/>
      <c r="P1795" s="387"/>
      <c r="Q1795" s="387"/>
    </row>
    <row r="1796" spans="15:17" ht="20.100000000000001" customHeight="1">
      <c r="O1796" s="387"/>
      <c r="P1796" s="387"/>
      <c r="Q1796" s="387"/>
    </row>
    <row r="1797" spans="15:17" ht="20.100000000000001" customHeight="1">
      <c r="O1797" s="387"/>
      <c r="P1797" s="387"/>
      <c r="Q1797" s="387"/>
    </row>
    <row r="1798" spans="15:17" ht="20.100000000000001" customHeight="1">
      <c r="O1798" s="387"/>
      <c r="P1798" s="387"/>
      <c r="Q1798" s="387"/>
    </row>
    <row r="1799" spans="15:17" ht="20.100000000000001" customHeight="1">
      <c r="O1799" s="387"/>
      <c r="P1799" s="387"/>
      <c r="Q1799" s="387"/>
    </row>
    <row r="1800" spans="15:17" ht="20.100000000000001" customHeight="1">
      <c r="O1800" s="387"/>
      <c r="P1800" s="387"/>
      <c r="Q1800" s="387"/>
    </row>
    <row r="1801" spans="15:17" ht="20.100000000000001" customHeight="1">
      <c r="O1801" s="387"/>
      <c r="P1801" s="387"/>
      <c r="Q1801" s="387"/>
    </row>
    <row r="1802" spans="15:17" ht="20.100000000000001" customHeight="1">
      <c r="O1802" s="387"/>
      <c r="P1802" s="387"/>
      <c r="Q1802" s="387"/>
    </row>
    <row r="1803" spans="15:17" ht="20.100000000000001" customHeight="1">
      <c r="O1803" s="387"/>
      <c r="P1803" s="387"/>
      <c r="Q1803" s="387"/>
    </row>
    <row r="1804" spans="15:17" ht="20.100000000000001" customHeight="1">
      <c r="O1804" s="387"/>
      <c r="P1804" s="387"/>
      <c r="Q1804" s="387"/>
    </row>
    <row r="1805" spans="15:17" ht="20.100000000000001" customHeight="1">
      <c r="O1805" s="387"/>
      <c r="P1805" s="387"/>
      <c r="Q1805" s="387"/>
    </row>
    <row r="1806" spans="15:17" ht="20.100000000000001" customHeight="1">
      <c r="O1806" s="387"/>
      <c r="P1806" s="387"/>
      <c r="Q1806" s="387"/>
    </row>
    <row r="1807" spans="15:17" ht="20.100000000000001" customHeight="1">
      <c r="O1807" s="387"/>
      <c r="P1807" s="387"/>
      <c r="Q1807" s="387"/>
    </row>
    <row r="1808" spans="15:17" ht="20.100000000000001" customHeight="1">
      <c r="O1808" s="387"/>
      <c r="P1808" s="387"/>
      <c r="Q1808" s="387"/>
    </row>
    <row r="1809" spans="15:17" ht="20.100000000000001" customHeight="1">
      <c r="O1809" s="387"/>
      <c r="P1809" s="387"/>
      <c r="Q1809" s="387"/>
    </row>
    <row r="1810" spans="15:17" ht="20.100000000000001" customHeight="1">
      <c r="O1810" s="387"/>
      <c r="P1810" s="387"/>
      <c r="Q1810" s="387"/>
    </row>
    <row r="1811" spans="15:17" ht="20.100000000000001" customHeight="1">
      <c r="O1811" s="387"/>
      <c r="P1811" s="387"/>
      <c r="Q1811" s="387"/>
    </row>
    <row r="1812" spans="15:17" ht="20.100000000000001" customHeight="1">
      <c r="O1812" s="387"/>
      <c r="P1812" s="387"/>
      <c r="Q1812" s="387"/>
    </row>
    <row r="1813" spans="15:17" ht="20.100000000000001" customHeight="1">
      <c r="O1813" s="387"/>
      <c r="P1813" s="387"/>
      <c r="Q1813" s="387"/>
    </row>
    <row r="1814" spans="15:17" ht="20.100000000000001" customHeight="1">
      <c r="O1814" s="387"/>
      <c r="P1814" s="387"/>
      <c r="Q1814" s="387"/>
    </row>
    <row r="1815" spans="15:17" ht="20.100000000000001" customHeight="1">
      <c r="O1815" s="387"/>
      <c r="P1815" s="387"/>
      <c r="Q1815" s="387"/>
    </row>
    <row r="1816" spans="15:17" ht="20.100000000000001" customHeight="1">
      <c r="O1816" s="387"/>
      <c r="P1816" s="387"/>
      <c r="Q1816" s="387"/>
    </row>
    <row r="1817" spans="15:17" ht="20.100000000000001" customHeight="1">
      <c r="O1817" s="387"/>
      <c r="P1817" s="387"/>
      <c r="Q1817" s="387"/>
    </row>
    <row r="1818" spans="15:17" ht="20.100000000000001" customHeight="1">
      <c r="O1818" s="387"/>
      <c r="P1818" s="387"/>
      <c r="Q1818" s="387"/>
    </row>
    <row r="1819" spans="15:17" ht="20.100000000000001" customHeight="1">
      <c r="O1819" s="387"/>
      <c r="P1819" s="387"/>
      <c r="Q1819" s="387"/>
    </row>
    <row r="1820" spans="15:17" ht="20.100000000000001" customHeight="1">
      <c r="O1820" s="387"/>
      <c r="P1820" s="387"/>
      <c r="Q1820" s="387"/>
    </row>
    <row r="1821" spans="15:17" ht="20.100000000000001" customHeight="1">
      <c r="O1821" s="387"/>
      <c r="P1821" s="387"/>
      <c r="Q1821" s="387"/>
    </row>
    <row r="1822" spans="15:17" ht="20.100000000000001" customHeight="1">
      <c r="O1822" s="387"/>
      <c r="P1822" s="387"/>
      <c r="Q1822" s="387"/>
    </row>
    <row r="1823" spans="15:17" ht="20.100000000000001" customHeight="1">
      <c r="O1823" s="387"/>
      <c r="P1823" s="387"/>
      <c r="Q1823" s="387"/>
    </row>
    <row r="1824" spans="15:17" ht="20.100000000000001" customHeight="1">
      <c r="O1824" s="387"/>
      <c r="P1824" s="387"/>
      <c r="Q1824" s="387"/>
    </row>
    <row r="1825" spans="15:17" ht="20.100000000000001" customHeight="1">
      <c r="O1825" s="387"/>
      <c r="P1825" s="387"/>
      <c r="Q1825" s="387"/>
    </row>
    <row r="1826" spans="15:17" ht="20.100000000000001" customHeight="1">
      <c r="O1826" s="387"/>
      <c r="P1826" s="387"/>
      <c r="Q1826" s="387"/>
    </row>
    <row r="1827" spans="15:17" ht="20.100000000000001" customHeight="1">
      <c r="O1827" s="387"/>
      <c r="P1827" s="387"/>
      <c r="Q1827" s="387"/>
    </row>
    <row r="1828" spans="15:17" ht="20.100000000000001" customHeight="1">
      <c r="O1828" s="387"/>
      <c r="P1828" s="387"/>
      <c r="Q1828" s="387"/>
    </row>
    <row r="1829" spans="15:17" ht="20.100000000000001" customHeight="1">
      <c r="O1829" s="387"/>
      <c r="P1829" s="387"/>
      <c r="Q1829" s="387"/>
    </row>
    <row r="1830" spans="15:17" ht="20.100000000000001" customHeight="1">
      <c r="O1830" s="387"/>
      <c r="P1830" s="387"/>
      <c r="Q1830" s="387"/>
    </row>
    <row r="1831" spans="15:17" ht="20.100000000000001" customHeight="1">
      <c r="O1831" s="387"/>
      <c r="P1831" s="387"/>
      <c r="Q1831" s="387"/>
    </row>
    <row r="1832" spans="15:17" ht="20.100000000000001" customHeight="1">
      <c r="O1832" s="387"/>
      <c r="P1832" s="387"/>
      <c r="Q1832" s="387"/>
    </row>
    <row r="1833" spans="15:17" ht="20.100000000000001" customHeight="1">
      <c r="O1833" s="387"/>
      <c r="P1833" s="387"/>
      <c r="Q1833" s="387"/>
    </row>
    <row r="1834" spans="15:17" ht="20.100000000000001" customHeight="1">
      <c r="O1834" s="387"/>
      <c r="P1834" s="387"/>
      <c r="Q1834" s="387"/>
    </row>
    <row r="1835" spans="15:17" ht="20.100000000000001" customHeight="1">
      <c r="O1835" s="387"/>
      <c r="P1835" s="387"/>
      <c r="Q1835" s="387"/>
    </row>
    <row r="1836" spans="15:17" ht="20.100000000000001" customHeight="1">
      <c r="O1836" s="387"/>
      <c r="P1836" s="387"/>
      <c r="Q1836" s="387"/>
    </row>
    <row r="1837" spans="15:17" ht="20.100000000000001" customHeight="1">
      <c r="O1837" s="387"/>
      <c r="P1837" s="387"/>
      <c r="Q1837" s="387"/>
    </row>
    <row r="1838" spans="15:17" ht="20.100000000000001" customHeight="1">
      <c r="O1838" s="387"/>
      <c r="P1838" s="387"/>
      <c r="Q1838" s="387"/>
    </row>
    <row r="1839" spans="15:17" ht="20.100000000000001" customHeight="1">
      <c r="O1839" s="387"/>
      <c r="P1839" s="387"/>
      <c r="Q1839" s="387"/>
    </row>
    <row r="1840" spans="15:17" ht="20.100000000000001" customHeight="1">
      <c r="O1840" s="387"/>
      <c r="P1840" s="387"/>
      <c r="Q1840" s="387"/>
    </row>
    <row r="1841" spans="15:17" ht="20.100000000000001" customHeight="1">
      <c r="O1841" s="387"/>
      <c r="P1841" s="387"/>
      <c r="Q1841" s="387"/>
    </row>
    <row r="1842" spans="15:17" ht="20.100000000000001" customHeight="1">
      <c r="O1842" s="387"/>
      <c r="P1842" s="387"/>
      <c r="Q1842" s="387"/>
    </row>
    <row r="1843" spans="15:17" ht="20.100000000000001" customHeight="1">
      <c r="O1843" s="387"/>
      <c r="P1843" s="387"/>
      <c r="Q1843" s="387"/>
    </row>
    <row r="1844" spans="15:17" ht="20.100000000000001" customHeight="1">
      <c r="O1844" s="387"/>
      <c r="P1844" s="387"/>
      <c r="Q1844" s="387"/>
    </row>
    <row r="1845" spans="15:17" ht="20.100000000000001" customHeight="1">
      <c r="O1845" s="387"/>
      <c r="P1845" s="387"/>
      <c r="Q1845" s="387"/>
    </row>
    <row r="1846" spans="15:17" ht="20.100000000000001" customHeight="1">
      <c r="O1846" s="387"/>
      <c r="P1846" s="387"/>
      <c r="Q1846" s="387"/>
    </row>
    <row r="1847" spans="15:17" ht="20.100000000000001" customHeight="1">
      <c r="O1847" s="387"/>
      <c r="P1847" s="387"/>
      <c r="Q1847" s="387"/>
    </row>
    <row r="1848" spans="15:17" ht="20.100000000000001" customHeight="1">
      <c r="O1848" s="387"/>
      <c r="P1848" s="387"/>
      <c r="Q1848" s="387"/>
    </row>
    <row r="1849" spans="15:17" ht="20.100000000000001" customHeight="1">
      <c r="O1849" s="387"/>
      <c r="P1849" s="387"/>
      <c r="Q1849" s="387"/>
    </row>
    <row r="1850" spans="15:17" ht="20.100000000000001" customHeight="1">
      <c r="O1850" s="387"/>
      <c r="P1850" s="387"/>
      <c r="Q1850" s="387"/>
    </row>
    <row r="1851" spans="15:17" ht="20.100000000000001" customHeight="1">
      <c r="O1851" s="387"/>
      <c r="P1851" s="387"/>
      <c r="Q1851" s="387"/>
    </row>
    <row r="1852" spans="15:17" ht="20.100000000000001" customHeight="1">
      <c r="O1852" s="387"/>
      <c r="P1852" s="387"/>
      <c r="Q1852" s="387"/>
    </row>
    <row r="1853" spans="15:17" ht="20.100000000000001" customHeight="1">
      <c r="O1853" s="387"/>
      <c r="P1853" s="387"/>
      <c r="Q1853" s="387"/>
    </row>
    <row r="1854" spans="15:17" ht="20.100000000000001" customHeight="1">
      <c r="O1854" s="387"/>
      <c r="P1854" s="387"/>
      <c r="Q1854" s="387"/>
    </row>
    <row r="1855" spans="15:17" ht="20.100000000000001" customHeight="1">
      <c r="O1855" s="387"/>
      <c r="P1855" s="387"/>
      <c r="Q1855" s="387"/>
    </row>
    <row r="1856" spans="15:17" ht="20.100000000000001" customHeight="1">
      <c r="O1856" s="387"/>
      <c r="P1856" s="387"/>
      <c r="Q1856" s="387"/>
    </row>
    <row r="1857" spans="15:17" ht="20.100000000000001" customHeight="1">
      <c r="O1857" s="387"/>
      <c r="P1857" s="387"/>
      <c r="Q1857" s="387"/>
    </row>
    <row r="1858" spans="15:17" ht="20.100000000000001" customHeight="1">
      <c r="O1858" s="387"/>
      <c r="P1858" s="387"/>
      <c r="Q1858" s="387"/>
    </row>
    <row r="1859" spans="15:17" ht="20.100000000000001" customHeight="1">
      <c r="O1859" s="387"/>
      <c r="P1859" s="387"/>
      <c r="Q1859" s="387"/>
    </row>
    <row r="1860" spans="15:17" ht="20.100000000000001" customHeight="1">
      <c r="O1860" s="387"/>
      <c r="P1860" s="387"/>
      <c r="Q1860" s="387"/>
    </row>
    <row r="1861" spans="15:17" ht="20.100000000000001" customHeight="1">
      <c r="O1861" s="387"/>
      <c r="P1861" s="387"/>
      <c r="Q1861" s="387"/>
    </row>
    <row r="1862" spans="15:17" ht="20.100000000000001" customHeight="1">
      <c r="O1862" s="387"/>
      <c r="P1862" s="387"/>
      <c r="Q1862" s="387"/>
    </row>
    <row r="1863" spans="15:17" ht="20.100000000000001" customHeight="1">
      <c r="O1863" s="387"/>
      <c r="P1863" s="387"/>
      <c r="Q1863" s="387"/>
    </row>
    <row r="1864" spans="15:17" ht="20.100000000000001" customHeight="1">
      <c r="O1864" s="387"/>
      <c r="P1864" s="387"/>
      <c r="Q1864" s="387"/>
    </row>
    <row r="1865" spans="15:17" ht="20.100000000000001" customHeight="1">
      <c r="O1865" s="387"/>
      <c r="P1865" s="387"/>
      <c r="Q1865" s="387"/>
    </row>
    <row r="1866" spans="15:17" ht="20.100000000000001" customHeight="1">
      <c r="O1866" s="387"/>
      <c r="P1866" s="387"/>
      <c r="Q1866" s="387"/>
    </row>
    <row r="1867" spans="15:17" ht="20.100000000000001" customHeight="1">
      <c r="O1867" s="387"/>
      <c r="P1867" s="387"/>
      <c r="Q1867" s="387"/>
    </row>
    <row r="1868" spans="15:17" ht="20.100000000000001" customHeight="1">
      <c r="O1868" s="387"/>
      <c r="P1868" s="387"/>
      <c r="Q1868" s="387"/>
    </row>
    <row r="1869" spans="15:17" ht="20.100000000000001" customHeight="1">
      <c r="O1869" s="387"/>
      <c r="P1869" s="387"/>
      <c r="Q1869" s="387"/>
    </row>
    <row r="1870" spans="15:17" ht="20.100000000000001" customHeight="1">
      <c r="O1870" s="387"/>
      <c r="P1870" s="387"/>
      <c r="Q1870" s="387"/>
    </row>
    <row r="1871" spans="15:17" ht="20.100000000000001" customHeight="1">
      <c r="O1871" s="387"/>
      <c r="P1871" s="387"/>
      <c r="Q1871" s="387"/>
    </row>
    <row r="1872" spans="15:17" ht="20.100000000000001" customHeight="1">
      <c r="O1872" s="387"/>
      <c r="P1872" s="387"/>
      <c r="Q1872" s="387"/>
    </row>
    <row r="1873" spans="15:17" ht="20.100000000000001" customHeight="1">
      <c r="O1873" s="387"/>
      <c r="P1873" s="387"/>
      <c r="Q1873" s="387"/>
    </row>
    <row r="1874" spans="15:17" ht="20.100000000000001" customHeight="1">
      <c r="O1874" s="387"/>
      <c r="P1874" s="387"/>
      <c r="Q1874" s="387"/>
    </row>
    <row r="1875" spans="15:17" ht="20.100000000000001" customHeight="1">
      <c r="O1875" s="387"/>
      <c r="P1875" s="387"/>
      <c r="Q1875" s="387"/>
    </row>
    <row r="1876" spans="15:17" ht="20.100000000000001" customHeight="1">
      <c r="O1876" s="387"/>
      <c r="P1876" s="387"/>
      <c r="Q1876" s="387"/>
    </row>
    <row r="1877" spans="15:17" ht="20.100000000000001" customHeight="1">
      <c r="O1877" s="387"/>
      <c r="P1877" s="387"/>
      <c r="Q1877" s="387"/>
    </row>
    <row r="1878" spans="15:17" ht="20.100000000000001" customHeight="1">
      <c r="O1878" s="387"/>
      <c r="P1878" s="387"/>
      <c r="Q1878" s="387"/>
    </row>
    <row r="1879" spans="15:17" ht="20.100000000000001" customHeight="1">
      <c r="O1879" s="387"/>
      <c r="P1879" s="387"/>
      <c r="Q1879" s="387"/>
    </row>
    <row r="1880" spans="15:17" ht="20.100000000000001" customHeight="1">
      <c r="O1880" s="387"/>
      <c r="P1880" s="387"/>
      <c r="Q1880" s="387"/>
    </row>
    <row r="1881" spans="15:17" ht="20.100000000000001" customHeight="1">
      <c r="O1881" s="387"/>
      <c r="P1881" s="387"/>
      <c r="Q1881" s="387"/>
    </row>
    <row r="1882" spans="15:17" ht="20.100000000000001" customHeight="1">
      <c r="O1882" s="387"/>
      <c r="P1882" s="387"/>
      <c r="Q1882" s="387"/>
    </row>
    <row r="1883" spans="15:17" ht="20.100000000000001" customHeight="1">
      <c r="O1883" s="387"/>
      <c r="P1883" s="387"/>
      <c r="Q1883" s="387"/>
    </row>
    <row r="1884" spans="15:17" ht="20.100000000000001" customHeight="1">
      <c r="O1884" s="387"/>
      <c r="P1884" s="387"/>
      <c r="Q1884" s="387"/>
    </row>
    <row r="1885" spans="15:17" ht="20.100000000000001" customHeight="1">
      <c r="O1885" s="387"/>
      <c r="P1885" s="387"/>
      <c r="Q1885" s="387"/>
    </row>
    <row r="1886" spans="15:17" ht="20.100000000000001" customHeight="1">
      <c r="O1886" s="387"/>
      <c r="P1886" s="387"/>
      <c r="Q1886" s="387"/>
    </row>
    <row r="1887" spans="15:17" ht="20.100000000000001" customHeight="1">
      <c r="O1887" s="387"/>
      <c r="P1887" s="387"/>
      <c r="Q1887" s="387"/>
    </row>
    <row r="1888" spans="15:17" ht="20.100000000000001" customHeight="1">
      <c r="O1888" s="387"/>
      <c r="P1888" s="387"/>
      <c r="Q1888" s="387"/>
    </row>
    <row r="1889" spans="15:17" ht="20.100000000000001" customHeight="1">
      <c r="O1889" s="387"/>
      <c r="P1889" s="387"/>
      <c r="Q1889" s="387"/>
    </row>
    <row r="1890" spans="15:17" ht="20.100000000000001" customHeight="1">
      <c r="O1890" s="387"/>
      <c r="P1890" s="387"/>
      <c r="Q1890" s="387"/>
    </row>
    <row r="1891" spans="15:17" ht="20.100000000000001" customHeight="1">
      <c r="O1891" s="387"/>
      <c r="P1891" s="387"/>
      <c r="Q1891" s="387"/>
    </row>
    <row r="1892" spans="15:17" ht="20.100000000000001" customHeight="1">
      <c r="O1892" s="387"/>
      <c r="P1892" s="387"/>
      <c r="Q1892" s="387"/>
    </row>
    <row r="1893" spans="15:17" ht="20.100000000000001" customHeight="1">
      <c r="O1893" s="387"/>
      <c r="P1893" s="387"/>
      <c r="Q1893" s="387"/>
    </row>
    <row r="1894" spans="15:17" ht="20.100000000000001" customHeight="1">
      <c r="O1894" s="387"/>
      <c r="P1894" s="387"/>
      <c r="Q1894" s="387"/>
    </row>
    <row r="1895" spans="15:17" ht="20.100000000000001" customHeight="1">
      <c r="O1895" s="387"/>
      <c r="P1895" s="387"/>
      <c r="Q1895" s="387"/>
    </row>
    <row r="1896" spans="15:17" ht="20.100000000000001" customHeight="1">
      <c r="O1896" s="387"/>
      <c r="P1896" s="387"/>
      <c r="Q1896" s="387"/>
    </row>
    <row r="1897" spans="15:17" ht="20.100000000000001" customHeight="1">
      <c r="O1897" s="387"/>
      <c r="P1897" s="387"/>
      <c r="Q1897" s="387"/>
    </row>
    <row r="1898" spans="15:17" ht="20.100000000000001" customHeight="1">
      <c r="O1898" s="387"/>
      <c r="P1898" s="387"/>
      <c r="Q1898" s="387"/>
    </row>
    <row r="1899" spans="15:17" ht="20.100000000000001" customHeight="1">
      <c r="O1899" s="387"/>
      <c r="P1899" s="387"/>
      <c r="Q1899" s="387"/>
    </row>
    <row r="1900" spans="15:17" ht="20.100000000000001" customHeight="1">
      <c r="O1900" s="387"/>
      <c r="P1900" s="387"/>
      <c r="Q1900" s="387"/>
    </row>
    <row r="1901" spans="15:17" ht="20.100000000000001" customHeight="1">
      <c r="O1901" s="387"/>
      <c r="P1901" s="387"/>
      <c r="Q1901" s="387"/>
    </row>
    <row r="1902" spans="15:17" ht="20.100000000000001" customHeight="1">
      <c r="O1902" s="387"/>
      <c r="P1902" s="387"/>
      <c r="Q1902" s="387"/>
    </row>
    <row r="1903" spans="15:17" ht="20.100000000000001" customHeight="1">
      <c r="O1903" s="387"/>
      <c r="P1903" s="387"/>
      <c r="Q1903" s="387"/>
    </row>
    <row r="1904" spans="15:17" ht="20.100000000000001" customHeight="1">
      <c r="O1904" s="387"/>
      <c r="P1904" s="387"/>
      <c r="Q1904" s="387"/>
    </row>
    <row r="1905" spans="15:17" ht="20.100000000000001" customHeight="1">
      <c r="O1905" s="387"/>
      <c r="P1905" s="387"/>
      <c r="Q1905" s="387"/>
    </row>
    <row r="1906" spans="15:17" ht="20.100000000000001" customHeight="1">
      <c r="O1906" s="387"/>
      <c r="P1906" s="387"/>
      <c r="Q1906" s="387"/>
    </row>
    <row r="1907" spans="15:17" ht="20.100000000000001" customHeight="1">
      <c r="O1907" s="387"/>
      <c r="P1907" s="387"/>
      <c r="Q1907" s="387"/>
    </row>
    <row r="1908" spans="15:17" ht="20.100000000000001" customHeight="1">
      <c r="O1908" s="387"/>
      <c r="P1908" s="387"/>
      <c r="Q1908" s="387"/>
    </row>
    <row r="1909" spans="15:17" ht="20.100000000000001" customHeight="1">
      <c r="O1909" s="387"/>
      <c r="P1909" s="387"/>
      <c r="Q1909" s="387"/>
    </row>
    <row r="1910" spans="15:17" ht="20.100000000000001" customHeight="1">
      <c r="O1910" s="387"/>
      <c r="P1910" s="387"/>
      <c r="Q1910" s="387"/>
    </row>
    <row r="1911" spans="15:17" ht="20.100000000000001" customHeight="1">
      <c r="O1911" s="387"/>
      <c r="P1911" s="387"/>
      <c r="Q1911" s="387"/>
    </row>
    <row r="1912" spans="15:17" ht="20.100000000000001" customHeight="1">
      <c r="O1912" s="387"/>
      <c r="P1912" s="387"/>
      <c r="Q1912" s="387"/>
    </row>
    <row r="1913" spans="15:17" ht="20.100000000000001" customHeight="1">
      <c r="O1913" s="387"/>
      <c r="P1913" s="387"/>
      <c r="Q1913" s="387"/>
    </row>
    <row r="1914" spans="15:17" ht="20.100000000000001" customHeight="1">
      <c r="O1914" s="387"/>
      <c r="P1914" s="387"/>
      <c r="Q1914" s="387"/>
    </row>
    <row r="1915" spans="15:17" ht="20.100000000000001" customHeight="1">
      <c r="O1915" s="387"/>
      <c r="P1915" s="387"/>
      <c r="Q1915" s="387"/>
    </row>
    <row r="1916" spans="15:17" ht="20.100000000000001" customHeight="1">
      <c r="O1916" s="387"/>
      <c r="P1916" s="387"/>
      <c r="Q1916" s="387"/>
    </row>
    <row r="1917" spans="15:17" ht="20.100000000000001" customHeight="1">
      <c r="O1917" s="387"/>
      <c r="P1917" s="387"/>
      <c r="Q1917" s="387"/>
    </row>
    <row r="1918" spans="15:17" ht="20.100000000000001" customHeight="1">
      <c r="O1918" s="387"/>
      <c r="P1918" s="387"/>
      <c r="Q1918" s="387"/>
    </row>
    <row r="1919" spans="15:17" ht="20.100000000000001" customHeight="1">
      <c r="O1919" s="387"/>
      <c r="P1919" s="387"/>
      <c r="Q1919" s="387"/>
    </row>
    <row r="1920" spans="15:17" ht="20.100000000000001" customHeight="1">
      <c r="O1920" s="387"/>
      <c r="P1920" s="387"/>
      <c r="Q1920" s="387"/>
    </row>
    <row r="1921" spans="15:17" ht="20.100000000000001" customHeight="1">
      <c r="O1921" s="387"/>
      <c r="P1921" s="387"/>
      <c r="Q1921" s="387"/>
    </row>
    <row r="1922" spans="15:17" ht="20.100000000000001" customHeight="1">
      <c r="O1922" s="387"/>
      <c r="P1922" s="387"/>
      <c r="Q1922" s="387"/>
    </row>
    <row r="1923" spans="15:17" ht="20.100000000000001" customHeight="1">
      <c r="O1923" s="387"/>
      <c r="P1923" s="387"/>
      <c r="Q1923" s="387"/>
    </row>
    <row r="1924" spans="15:17" ht="20.100000000000001" customHeight="1">
      <c r="O1924" s="387"/>
      <c r="P1924" s="387"/>
      <c r="Q1924" s="387"/>
    </row>
    <row r="1925" spans="15:17" ht="20.100000000000001" customHeight="1">
      <c r="O1925" s="387"/>
      <c r="P1925" s="387"/>
      <c r="Q1925" s="387"/>
    </row>
    <row r="1926" spans="15:17" ht="20.100000000000001" customHeight="1">
      <c r="O1926" s="387"/>
      <c r="P1926" s="387"/>
      <c r="Q1926" s="387"/>
    </row>
    <row r="1927" spans="15:17" ht="20.100000000000001" customHeight="1">
      <c r="O1927" s="387"/>
      <c r="P1927" s="387"/>
      <c r="Q1927" s="387"/>
    </row>
    <row r="1928" spans="15:17" ht="20.100000000000001" customHeight="1">
      <c r="O1928" s="387"/>
      <c r="P1928" s="387"/>
      <c r="Q1928" s="387"/>
    </row>
    <row r="1929" spans="15:17" ht="20.100000000000001" customHeight="1">
      <c r="O1929" s="387"/>
      <c r="P1929" s="387"/>
      <c r="Q1929" s="387"/>
    </row>
    <row r="1930" spans="15:17" ht="20.100000000000001" customHeight="1">
      <c r="O1930" s="387"/>
      <c r="P1930" s="387"/>
      <c r="Q1930" s="387"/>
    </row>
    <row r="1931" spans="15:17" ht="20.100000000000001" customHeight="1">
      <c r="O1931" s="387"/>
      <c r="P1931" s="387"/>
      <c r="Q1931" s="387"/>
    </row>
    <row r="1932" spans="15:17" ht="20.100000000000001" customHeight="1">
      <c r="O1932" s="387"/>
      <c r="P1932" s="387"/>
      <c r="Q1932" s="387"/>
    </row>
    <row r="1933" spans="15:17" ht="20.100000000000001" customHeight="1">
      <c r="O1933" s="387"/>
      <c r="P1933" s="387"/>
      <c r="Q1933" s="387"/>
    </row>
    <row r="1934" spans="15:17" ht="20.100000000000001" customHeight="1">
      <c r="O1934" s="387"/>
      <c r="P1934" s="387"/>
      <c r="Q1934" s="387"/>
    </row>
    <row r="1935" spans="15:17" ht="20.100000000000001" customHeight="1">
      <c r="O1935" s="387"/>
      <c r="P1935" s="387"/>
      <c r="Q1935" s="387"/>
    </row>
    <row r="1936" spans="15:17" ht="20.100000000000001" customHeight="1">
      <c r="O1936" s="387"/>
      <c r="P1936" s="387"/>
      <c r="Q1936" s="387"/>
    </row>
    <row r="1937" spans="15:17" ht="20.100000000000001" customHeight="1">
      <c r="O1937" s="387"/>
      <c r="P1937" s="387"/>
      <c r="Q1937" s="387"/>
    </row>
    <row r="1938" spans="15:17" ht="20.100000000000001" customHeight="1">
      <c r="O1938" s="387"/>
      <c r="P1938" s="387"/>
      <c r="Q1938" s="387"/>
    </row>
    <row r="1939" spans="15:17" ht="20.100000000000001" customHeight="1">
      <c r="O1939" s="387"/>
      <c r="P1939" s="387"/>
      <c r="Q1939" s="387"/>
    </row>
    <row r="1940" spans="15:17" ht="20.100000000000001" customHeight="1">
      <c r="O1940" s="387"/>
      <c r="P1940" s="387"/>
      <c r="Q1940" s="387"/>
    </row>
    <row r="1941" spans="15:17" ht="20.100000000000001" customHeight="1">
      <c r="O1941" s="387"/>
      <c r="P1941" s="387"/>
      <c r="Q1941" s="387"/>
    </row>
    <row r="1942" spans="15:17" ht="20.100000000000001" customHeight="1">
      <c r="O1942" s="387"/>
      <c r="P1942" s="387"/>
      <c r="Q1942" s="387"/>
    </row>
    <row r="1943" spans="15:17" ht="20.100000000000001" customHeight="1">
      <c r="O1943" s="387"/>
      <c r="P1943" s="387"/>
      <c r="Q1943" s="387"/>
    </row>
    <row r="1944" spans="15:17" ht="20.100000000000001" customHeight="1">
      <c r="O1944" s="387"/>
      <c r="P1944" s="387"/>
      <c r="Q1944" s="387"/>
    </row>
    <row r="1945" spans="15:17" ht="20.100000000000001" customHeight="1">
      <c r="O1945" s="387"/>
      <c r="P1945" s="387"/>
      <c r="Q1945" s="387"/>
    </row>
    <row r="1946" spans="15:17" ht="20.100000000000001" customHeight="1">
      <c r="O1946" s="387"/>
      <c r="P1946" s="387"/>
      <c r="Q1946" s="387"/>
    </row>
    <row r="1947" spans="15:17" ht="20.100000000000001" customHeight="1">
      <c r="O1947" s="387"/>
      <c r="P1947" s="387"/>
      <c r="Q1947" s="387"/>
    </row>
    <row r="1948" spans="15:17" ht="20.100000000000001" customHeight="1">
      <c r="O1948" s="387"/>
      <c r="P1948" s="387"/>
      <c r="Q1948" s="387"/>
    </row>
    <row r="1949" spans="15:17" ht="20.100000000000001" customHeight="1">
      <c r="O1949" s="387"/>
      <c r="P1949" s="387"/>
      <c r="Q1949" s="387"/>
    </row>
    <row r="1950" spans="15:17" ht="20.100000000000001" customHeight="1">
      <c r="O1950" s="387"/>
      <c r="P1950" s="387"/>
      <c r="Q1950" s="387"/>
    </row>
    <row r="1951" spans="15:17" ht="20.100000000000001" customHeight="1">
      <c r="O1951" s="387"/>
      <c r="P1951" s="387"/>
      <c r="Q1951" s="387"/>
    </row>
    <row r="1952" spans="15:17" ht="20.100000000000001" customHeight="1">
      <c r="O1952" s="387"/>
      <c r="P1952" s="387"/>
      <c r="Q1952" s="387"/>
    </row>
    <row r="1953" spans="15:17" ht="20.100000000000001" customHeight="1">
      <c r="O1953" s="387"/>
      <c r="P1953" s="387"/>
      <c r="Q1953" s="387"/>
    </row>
    <row r="1954" spans="15:17" ht="20.100000000000001" customHeight="1">
      <c r="O1954" s="387"/>
      <c r="P1954" s="387"/>
      <c r="Q1954" s="387"/>
    </row>
    <row r="1955" spans="15:17" ht="20.100000000000001" customHeight="1">
      <c r="O1955" s="387"/>
      <c r="P1955" s="387"/>
      <c r="Q1955" s="387"/>
    </row>
    <row r="1956" spans="15:17" ht="20.100000000000001" customHeight="1">
      <c r="O1956" s="387"/>
      <c r="P1956" s="387"/>
      <c r="Q1956" s="387"/>
    </row>
    <row r="1957" spans="15:17" ht="20.100000000000001" customHeight="1">
      <c r="O1957" s="387"/>
      <c r="P1957" s="387"/>
      <c r="Q1957" s="387"/>
    </row>
    <row r="1958" spans="15:17" ht="20.100000000000001" customHeight="1">
      <c r="O1958" s="387"/>
      <c r="P1958" s="387"/>
      <c r="Q1958" s="387"/>
    </row>
    <row r="1959" spans="15:17" ht="20.100000000000001" customHeight="1">
      <c r="O1959" s="387"/>
      <c r="P1959" s="387"/>
      <c r="Q1959" s="387"/>
    </row>
    <row r="1960" spans="15:17" ht="20.100000000000001" customHeight="1">
      <c r="O1960" s="387"/>
      <c r="P1960" s="387"/>
      <c r="Q1960" s="387"/>
    </row>
    <row r="1961" spans="15:17" ht="20.100000000000001" customHeight="1">
      <c r="O1961" s="387"/>
      <c r="P1961" s="387"/>
      <c r="Q1961" s="387"/>
    </row>
    <row r="1962" spans="15:17" ht="20.100000000000001" customHeight="1">
      <c r="O1962" s="387"/>
      <c r="P1962" s="387"/>
      <c r="Q1962" s="387"/>
    </row>
    <row r="1963" spans="15:17" ht="20.100000000000001" customHeight="1">
      <c r="O1963" s="387"/>
      <c r="P1963" s="387"/>
      <c r="Q1963" s="387"/>
    </row>
    <row r="1964" spans="15:17" ht="20.100000000000001" customHeight="1">
      <c r="O1964" s="387"/>
      <c r="P1964" s="387"/>
      <c r="Q1964" s="387"/>
    </row>
    <row r="1965" spans="15:17" ht="20.100000000000001" customHeight="1">
      <c r="O1965" s="387"/>
      <c r="P1965" s="387"/>
      <c r="Q1965" s="387"/>
    </row>
    <row r="1966" spans="15:17" ht="20.100000000000001" customHeight="1">
      <c r="O1966" s="387"/>
      <c r="P1966" s="387"/>
      <c r="Q1966" s="387"/>
    </row>
    <row r="1967" spans="15:17" ht="20.100000000000001" customHeight="1">
      <c r="O1967" s="387"/>
      <c r="P1967" s="387"/>
      <c r="Q1967" s="387"/>
    </row>
    <row r="1968" spans="15:17" ht="20.100000000000001" customHeight="1">
      <c r="O1968" s="387"/>
      <c r="P1968" s="387"/>
      <c r="Q1968" s="387"/>
    </row>
    <row r="1969" spans="15:17" ht="20.100000000000001" customHeight="1">
      <c r="O1969" s="387"/>
      <c r="P1969" s="387"/>
      <c r="Q1969" s="387"/>
    </row>
    <row r="1970" spans="15:17" ht="20.100000000000001" customHeight="1">
      <c r="O1970" s="387"/>
      <c r="P1970" s="387"/>
      <c r="Q1970" s="387"/>
    </row>
    <row r="1971" spans="15:17" ht="20.100000000000001" customHeight="1">
      <c r="O1971" s="387"/>
      <c r="P1971" s="387"/>
      <c r="Q1971" s="387"/>
    </row>
    <row r="1972" spans="15:17" ht="20.100000000000001" customHeight="1">
      <c r="O1972" s="387"/>
      <c r="P1972" s="387"/>
      <c r="Q1972" s="387"/>
    </row>
    <row r="1973" spans="15:17" ht="20.100000000000001" customHeight="1">
      <c r="O1973" s="387"/>
      <c r="P1973" s="387"/>
      <c r="Q1973" s="387"/>
    </row>
    <row r="1974" spans="15:17" ht="20.100000000000001" customHeight="1">
      <c r="O1974" s="387"/>
      <c r="P1974" s="387"/>
      <c r="Q1974" s="387"/>
    </row>
    <row r="1975" spans="15:17" ht="20.100000000000001" customHeight="1">
      <c r="O1975" s="387"/>
      <c r="P1975" s="387"/>
      <c r="Q1975" s="387"/>
    </row>
    <row r="1976" spans="15:17" ht="20.100000000000001" customHeight="1">
      <c r="O1976" s="387"/>
      <c r="P1976" s="387"/>
      <c r="Q1976" s="387"/>
    </row>
    <row r="1977" spans="15:17" ht="20.100000000000001" customHeight="1">
      <c r="O1977" s="387"/>
      <c r="P1977" s="387"/>
      <c r="Q1977" s="387"/>
    </row>
    <row r="1978" spans="15:17" ht="20.100000000000001" customHeight="1">
      <c r="O1978" s="387"/>
      <c r="P1978" s="387"/>
      <c r="Q1978" s="387"/>
    </row>
    <row r="1979" spans="15:17" ht="20.100000000000001" customHeight="1">
      <c r="O1979" s="387"/>
      <c r="P1979" s="387"/>
      <c r="Q1979" s="387"/>
    </row>
    <row r="1980" spans="15:17" ht="20.100000000000001" customHeight="1">
      <c r="O1980" s="387"/>
      <c r="P1980" s="387"/>
      <c r="Q1980" s="387"/>
    </row>
    <row r="1981" spans="15:17" ht="20.100000000000001" customHeight="1">
      <c r="O1981" s="387"/>
      <c r="P1981" s="387"/>
      <c r="Q1981" s="387"/>
    </row>
    <row r="1982" spans="15:17" ht="20.100000000000001" customHeight="1">
      <c r="O1982" s="387"/>
      <c r="P1982" s="387"/>
      <c r="Q1982" s="387"/>
    </row>
    <row r="1983" spans="15:17" ht="20.100000000000001" customHeight="1">
      <c r="O1983" s="387"/>
      <c r="P1983" s="387"/>
      <c r="Q1983" s="387"/>
    </row>
    <row r="1984" spans="15:17" ht="20.100000000000001" customHeight="1">
      <c r="O1984" s="387"/>
      <c r="P1984" s="387"/>
      <c r="Q1984" s="387"/>
    </row>
    <row r="1985" spans="15:17" ht="20.100000000000001" customHeight="1">
      <c r="O1985" s="387"/>
      <c r="P1985" s="387"/>
      <c r="Q1985" s="387"/>
    </row>
    <row r="1986" spans="15:17" ht="20.100000000000001" customHeight="1">
      <c r="O1986" s="387"/>
      <c r="P1986" s="387"/>
      <c r="Q1986" s="387"/>
    </row>
    <row r="1987" spans="15:17" ht="20.100000000000001" customHeight="1">
      <c r="O1987" s="387"/>
      <c r="P1987" s="387"/>
      <c r="Q1987" s="387"/>
    </row>
    <row r="1988" spans="15:17" ht="20.100000000000001" customHeight="1">
      <c r="O1988" s="387"/>
      <c r="P1988" s="387"/>
      <c r="Q1988" s="387"/>
    </row>
    <row r="1989" spans="15:17" ht="20.100000000000001" customHeight="1">
      <c r="O1989" s="387"/>
      <c r="P1989" s="387"/>
      <c r="Q1989" s="387"/>
    </row>
    <row r="1990" spans="15:17" ht="20.100000000000001" customHeight="1">
      <c r="O1990" s="387"/>
      <c r="P1990" s="387"/>
      <c r="Q1990" s="387"/>
    </row>
    <row r="1991" spans="15:17" ht="20.100000000000001" customHeight="1">
      <c r="O1991" s="387"/>
      <c r="P1991" s="387"/>
      <c r="Q1991" s="387"/>
    </row>
    <row r="1992" spans="15:17" ht="20.100000000000001" customHeight="1">
      <c r="O1992" s="387"/>
      <c r="P1992" s="387"/>
      <c r="Q1992" s="387"/>
    </row>
    <row r="1993" spans="15:17" ht="20.100000000000001" customHeight="1">
      <c r="O1993" s="387"/>
      <c r="P1993" s="387"/>
      <c r="Q1993" s="387"/>
    </row>
    <row r="1994" spans="15:17" ht="20.100000000000001" customHeight="1">
      <c r="O1994" s="387"/>
      <c r="P1994" s="387"/>
      <c r="Q1994" s="387"/>
    </row>
    <row r="1995" spans="15:17" ht="20.100000000000001" customHeight="1">
      <c r="O1995" s="387"/>
      <c r="P1995" s="387"/>
      <c r="Q1995" s="387"/>
    </row>
    <row r="1996" spans="15:17" ht="20.100000000000001" customHeight="1">
      <c r="O1996" s="387"/>
      <c r="P1996" s="387"/>
      <c r="Q1996" s="387"/>
    </row>
    <row r="1997" spans="15:17" ht="20.100000000000001" customHeight="1">
      <c r="O1997" s="387"/>
      <c r="P1997" s="387"/>
      <c r="Q1997" s="387"/>
    </row>
    <row r="1998" spans="15:17" ht="20.100000000000001" customHeight="1">
      <c r="O1998" s="387"/>
      <c r="P1998" s="387"/>
      <c r="Q1998" s="387"/>
    </row>
    <row r="1999" spans="15:17" ht="20.100000000000001" customHeight="1">
      <c r="O1999" s="387"/>
      <c r="P1999" s="387"/>
      <c r="Q1999" s="387"/>
    </row>
    <row r="2000" spans="15:17" ht="20.100000000000001" customHeight="1">
      <c r="O2000" s="387"/>
      <c r="P2000" s="387"/>
      <c r="Q2000" s="387"/>
    </row>
    <row r="2001" spans="15:17" ht="20.100000000000001" customHeight="1">
      <c r="O2001" s="387"/>
      <c r="P2001" s="387"/>
      <c r="Q2001" s="387"/>
    </row>
    <row r="2002" spans="15:17" ht="20.100000000000001" customHeight="1">
      <c r="O2002" s="387"/>
      <c r="P2002" s="387"/>
      <c r="Q2002" s="387"/>
    </row>
    <row r="2003" spans="15:17" ht="20.100000000000001" customHeight="1">
      <c r="O2003" s="387"/>
      <c r="P2003" s="387"/>
      <c r="Q2003" s="387"/>
    </row>
    <row r="2004" spans="15:17" ht="20.100000000000001" customHeight="1">
      <c r="O2004" s="387"/>
      <c r="P2004" s="387"/>
      <c r="Q2004" s="387"/>
    </row>
    <row r="2005" spans="15:17" ht="20.100000000000001" customHeight="1">
      <c r="O2005" s="387"/>
      <c r="P2005" s="387"/>
      <c r="Q2005" s="387"/>
    </row>
    <row r="2006" spans="15:17" ht="20.100000000000001" customHeight="1">
      <c r="O2006" s="387"/>
      <c r="P2006" s="387"/>
      <c r="Q2006" s="387"/>
    </row>
    <row r="2007" spans="15:17" ht="20.100000000000001" customHeight="1">
      <c r="O2007" s="387"/>
      <c r="P2007" s="387"/>
      <c r="Q2007" s="387"/>
    </row>
    <row r="2008" spans="15:17" ht="20.100000000000001" customHeight="1">
      <c r="O2008" s="387"/>
      <c r="P2008" s="387"/>
      <c r="Q2008" s="387"/>
    </row>
    <row r="2009" spans="15:17" ht="20.100000000000001" customHeight="1">
      <c r="O2009" s="387"/>
      <c r="P2009" s="387"/>
      <c r="Q2009" s="387"/>
    </row>
    <row r="2010" spans="15:17" ht="20.100000000000001" customHeight="1">
      <c r="O2010" s="387"/>
      <c r="P2010" s="387"/>
      <c r="Q2010" s="387"/>
    </row>
    <row r="2011" spans="15:17" ht="20.100000000000001" customHeight="1">
      <c r="O2011" s="387"/>
      <c r="P2011" s="387"/>
      <c r="Q2011" s="387"/>
    </row>
    <row r="2012" spans="15:17" ht="20.100000000000001" customHeight="1">
      <c r="O2012" s="387"/>
      <c r="P2012" s="387"/>
      <c r="Q2012" s="387"/>
    </row>
    <row r="2013" spans="15:17" ht="20.100000000000001" customHeight="1">
      <c r="O2013" s="387"/>
      <c r="P2013" s="387"/>
      <c r="Q2013" s="387"/>
    </row>
    <row r="2014" spans="15:17" ht="20.100000000000001" customHeight="1">
      <c r="O2014" s="387"/>
      <c r="P2014" s="387"/>
      <c r="Q2014" s="387"/>
    </row>
    <row r="2015" spans="15:17" ht="20.100000000000001" customHeight="1">
      <c r="O2015" s="387"/>
      <c r="P2015" s="387"/>
      <c r="Q2015" s="387"/>
    </row>
    <row r="2016" spans="15:17" ht="20.100000000000001" customHeight="1">
      <c r="O2016" s="387"/>
      <c r="P2016" s="387"/>
      <c r="Q2016" s="387"/>
    </row>
    <row r="2017" spans="15:17" ht="20.100000000000001" customHeight="1">
      <c r="O2017" s="387"/>
      <c r="P2017" s="387"/>
      <c r="Q2017" s="387"/>
    </row>
    <row r="2018" spans="15:17" ht="20.100000000000001" customHeight="1">
      <c r="O2018" s="387"/>
      <c r="P2018" s="387"/>
      <c r="Q2018" s="387"/>
    </row>
    <row r="2019" spans="15:17" ht="20.100000000000001" customHeight="1">
      <c r="O2019" s="387"/>
      <c r="P2019" s="387"/>
      <c r="Q2019" s="387"/>
    </row>
    <row r="2020" spans="15:17" ht="20.100000000000001" customHeight="1">
      <c r="O2020" s="387"/>
      <c r="P2020" s="387"/>
      <c r="Q2020" s="387"/>
    </row>
    <row r="2021" spans="15:17" ht="20.100000000000001" customHeight="1">
      <c r="O2021" s="387"/>
      <c r="P2021" s="387"/>
      <c r="Q2021" s="387"/>
    </row>
    <row r="2022" spans="15:17" ht="20.100000000000001" customHeight="1">
      <c r="O2022" s="387"/>
      <c r="P2022" s="387"/>
      <c r="Q2022" s="387"/>
    </row>
    <row r="2023" spans="15:17" ht="20.100000000000001" customHeight="1">
      <c r="O2023" s="387"/>
      <c r="P2023" s="387"/>
      <c r="Q2023" s="387"/>
    </row>
    <row r="2024" spans="15:17" ht="20.100000000000001" customHeight="1">
      <c r="O2024" s="387"/>
      <c r="P2024" s="387"/>
      <c r="Q2024" s="387"/>
    </row>
    <row r="2025" spans="15:17" ht="20.100000000000001" customHeight="1">
      <c r="O2025" s="387"/>
      <c r="P2025" s="387"/>
      <c r="Q2025" s="387"/>
    </row>
    <row r="2026" spans="15:17" ht="20.100000000000001" customHeight="1">
      <c r="O2026" s="387"/>
      <c r="P2026" s="387"/>
      <c r="Q2026" s="387"/>
    </row>
    <row r="2027" spans="15:17" ht="20.100000000000001" customHeight="1">
      <c r="O2027" s="387"/>
      <c r="P2027" s="387"/>
      <c r="Q2027" s="387"/>
    </row>
    <row r="2028" spans="15:17" ht="20.100000000000001" customHeight="1">
      <c r="O2028" s="387"/>
      <c r="P2028" s="387"/>
      <c r="Q2028" s="387"/>
    </row>
    <row r="2029" spans="15:17" ht="20.100000000000001" customHeight="1">
      <c r="O2029" s="387"/>
      <c r="P2029" s="387"/>
      <c r="Q2029" s="387"/>
    </row>
    <row r="2030" spans="15:17" ht="20.100000000000001" customHeight="1">
      <c r="O2030" s="387"/>
      <c r="P2030" s="387"/>
      <c r="Q2030" s="387"/>
    </row>
    <row r="2031" spans="15:17" ht="20.100000000000001" customHeight="1">
      <c r="O2031" s="387"/>
      <c r="P2031" s="387"/>
      <c r="Q2031" s="387"/>
    </row>
    <row r="2032" spans="15:17" ht="20.100000000000001" customHeight="1">
      <c r="O2032" s="387"/>
      <c r="P2032" s="387"/>
      <c r="Q2032" s="387"/>
    </row>
    <row r="2033" spans="15:17" ht="20.100000000000001" customHeight="1">
      <c r="O2033" s="387"/>
      <c r="P2033" s="387"/>
      <c r="Q2033" s="387"/>
    </row>
    <row r="2034" spans="15:17" ht="20.100000000000001" customHeight="1">
      <c r="O2034" s="387"/>
      <c r="P2034" s="387"/>
      <c r="Q2034" s="387"/>
    </row>
    <row r="2035" spans="15:17" ht="20.100000000000001" customHeight="1">
      <c r="O2035" s="387"/>
      <c r="P2035" s="387"/>
      <c r="Q2035" s="387"/>
    </row>
    <row r="2036" spans="15:17" ht="20.100000000000001" customHeight="1">
      <c r="O2036" s="387"/>
      <c r="P2036" s="387"/>
      <c r="Q2036" s="387"/>
    </row>
    <row r="2037" spans="15:17" ht="20.100000000000001" customHeight="1">
      <c r="O2037" s="387"/>
      <c r="P2037" s="387"/>
      <c r="Q2037" s="387"/>
    </row>
    <row r="2038" spans="15:17" ht="20.100000000000001" customHeight="1">
      <c r="O2038" s="387"/>
      <c r="P2038" s="387"/>
      <c r="Q2038" s="387"/>
    </row>
    <row r="2039" spans="15:17" ht="20.100000000000001" customHeight="1">
      <c r="O2039" s="387"/>
      <c r="P2039" s="387"/>
      <c r="Q2039" s="387"/>
    </row>
    <row r="2040" spans="15:17" ht="20.100000000000001" customHeight="1">
      <c r="O2040" s="387"/>
      <c r="P2040" s="387"/>
      <c r="Q2040" s="387"/>
    </row>
    <row r="2041" spans="15:17" ht="20.100000000000001" customHeight="1">
      <c r="O2041" s="387"/>
      <c r="P2041" s="387"/>
      <c r="Q2041" s="387"/>
    </row>
    <row r="2042" spans="15:17" ht="20.100000000000001" customHeight="1">
      <c r="O2042" s="387"/>
      <c r="P2042" s="387"/>
      <c r="Q2042" s="387"/>
    </row>
    <row r="2043" spans="15:17" ht="20.100000000000001" customHeight="1">
      <c r="O2043" s="387"/>
      <c r="P2043" s="387"/>
      <c r="Q2043" s="387"/>
    </row>
    <row r="2044" spans="15:17" ht="20.100000000000001" customHeight="1">
      <c r="O2044" s="387"/>
      <c r="P2044" s="387"/>
      <c r="Q2044" s="387"/>
    </row>
    <row r="2045" spans="15:17" ht="20.100000000000001" customHeight="1">
      <c r="O2045" s="387"/>
      <c r="P2045" s="387"/>
      <c r="Q2045" s="387"/>
    </row>
    <row r="2046" spans="15:17" ht="20.100000000000001" customHeight="1">
      <c r="O2046" s="387"/>
      <c r="P2046" s="387"/>
      <c r="Q2046" s="387"/>
    </row>
    <row r="2047" spans="15:17" ht="20.100000000000001" customHeight="1">
      <c r="O2047" s="387"/>
      <c r="P2047" s="387"/>
      <c r="Q2047" s="387"/>
    </row>
    <row r="2048" spans="15:17" ht="20.100000000000001" customHeight="1">
      <c r="O2048" s="387"/>
      <c r="P2048" s="387"/>
      <c r="Q2048" s="387"/>
    </row>
    <row r="2049" spans="15:17" ht="20.100000000000001" customHeight="1">
      <c r="O2049" s="387"/>
      <c r="P2049" s="387"/>
      <c r="Q2049" s="387"/>
    </row>
    <row r="2050" spans="15:17" ht="20.100000000000001" customHeight="1">
      <c r="O2050" s="387"/>
      <c r="P2050" s="387"/>
      <c r="Q2050" s="387"/>
    </row>
    <row r="2051" spans="15:17" ht="20.100000000000001" customHeight="1">
      <c r="O2051" s="387"/>
      <c r="P2051" s="387"/>
      <c r="Q2051" s="387"/>
    </row>
    <row r="2052" spans="15:17" ht="20.100000000000001" customHeight="1">
      <c r="O2052" s="387"/>
      <c r="P2052" s="387"/>
      <c r="Q2052" s="387"/>
    </row>
    <row r="2053" spans="15:17" ht="20.100000000000001" customHeight="1">
      <c r="O2053" s="387"/>
      <c r="P2053" s="387"/>
      <c r="Q2053" s="387"/>
    </row>
    <row r="2054" spans="15:17" ht="20.100000000000001" customHeight="1">
      <c r="O2054" s="387"/>
      <c r="P2054" s="387"/>
      <c r="Q2054" s="387"/>
    </row>
    <row r="2055" spans="15:17" ht="20.100000000000001" customHeight="1">
      <c r="O2055" s="387"/>
      <c r="P2055" s="387"/>
      <c r="Q2055" s="387"/>
    </row>
    <row r="2056" spans="15:17" ht="20.100000000000001" customHeight="1">
      <c r="O2056" s="387"/>
      <c r="P2056" s="387"/>
      <c r="Q2056" s="387"/>
    </row>
    <row r="2057" spans="15:17" ht="20.100000000000001" customHeight="1">
      <c r="O2057" s="387"/>
      <c r="P2057" s="387"/>
      <c r="Q2057" s="387"/>
    </row>
    <row r="2058" spans="15:17" ht="20.100000000000001" customHeight="1">
      <c r="O2058" s="387"/>
      <c r="P2058" s="387"/>
      <c r="Q2058" s="387"/>
    </row>
    <row r="2059" spans="15:17" ht="20.100000000000001" customHeight="1">
      <c r="O2059" s="387"/>
      <c r="P2059" s="387"/>
      <c r="Q2059" s="387"/>
    </row>
    <row r="2060" spans="15:17" ht="20.100000000000001" customHeight="1">
      <c r="O2060" s="387"/>
      <c r="P2060" s="387"/>
      <c r="Q2060" s="387"/>
    </row>
    <row r="2061" spans="15:17" ht="20.100000000000001" customHeight="1">
      <c r="O2061" s="387"/>
      <c r="P2061" s="387"/>
      <c r="Q2061" s="387"/>
    </row>
    <row r="2062" spans="15:17" ht="20.100000000000001" customHeight="1">
      <c r="O2062" s="387"/>
      <c r="P2062" s="387"/>
      <c r="Q2062" s="387"/>
    </row>
    <row r="2063" spans="15:17" ht="20.100000000000001" customHeight="1">
      <c r="O2063" s="387"/>
      <c r="P2063" s="387"/>
      <c r="Q2063" s="387"/>
    </row>
    <row r="2064" spans="15:17" ht="20.100000000000001" customHeight="1">
      <c r="O2064" s="387"/>
      <c r="P2064" s="387"/>
      <c r="Q2064" s="387"/>
    </row>
    <row r="2065" spans="15:17" ht="20.100000000000001" customHeight="1">
      <c r="O2065" s="387"/>
      <c r="P2065" s="387"/>
      <c r="Q2065" s="387"/>
    </row>
    <row r="2066" spans="15:17" ht="20.100000000000001" customHeight="1">
      <c r="O2066" s="387"/>
      <c r="P2066" s="387"/>
      <c r="Q2066" s="387"/>
    </row>
    <row r="2067" spans="15:17" ht="20.100000000000001" customHeight="1">
      <c r="O2067" s="387"/>
      <c r="P2067" s="387"/>
      <c r="Q2067" s="387"/>
    </row>
    <row r="2068" spans="15:17" ht="20.100000000000001" customHeight="1">
      <c r="O2068" s="387"/>
      <c r="P2068" s="387"/>
      <c r="Q2068" s="387"/>
    </row>
    <row r="2069" spans="15:17" ht="20.100000000000001" customHeight="1">
      <c r="O2069" s="387"/>
      <c r="P2069" s="387"/>
      <c r="Q2069" s="387"/>
    </row>
    <row r="2070" spans="15:17" ht="20.100000000000001" customHeight="1">
      <c r="O2070" s="387"/>
      <c r="P2070" s="387"/>
      <c r="Q2070" s="387"/>
    </row>
    <row r="2071" spans="15:17" ht="20.100000000000001" customHeight="1">
      <c r="O2071" s="387"/>
      <c r="P2071" s="387"/>
      <c r="Q2071" s="387"/>
    </row>
    <row r="2072" spans="15:17" ht="20.100000000000001" customHeight="1">
      <c r="O2072" s="387"/>
      <c r="P2072" s="387"/>
      <c r="Q2072" s="387"/>
    </row>
    <row r="2073" spans="15:17" ht="20.100000000000001" customHeight="1">
      <c r="O2073" s="387"/>
      <c r="P2073" s="387"/>
      <c r="Q2073" s="387"/>
    </row>
    <row r="2074" spans="15:17" ht="20.100000000000001" customHeight="1">
      <c r="O2074" s="387"/>
      <c r="P2074" s="387"/>
      <c r="Q2074" s="387"/>
    </row>
    <row r="2075" spans="15:17" ht="20.100000000000001" customHeight="1">
      <c r="O2075" s="387"/>
      <c r="P2075" s="387"/>
      <c r="Q2075" s="387"/>
    </row>
    <row r="2076" spans="15:17" ht="20.100000000000001" customHeight="1">
      <c r="O2076" s="387"/>
      <c r="P2076" s="387"/>
      <c r="Q2076" s="387"/>
    </row>
    <row r="2077" spans="15:17" ht="20.100000000000001" customHeight="1">
      <c r="O2077" s="387"/>
      <c r="P2077" s="387"/>
      <c r="Q2077" s="387"/>
    </row>
    <row r="2078" spans="15:17" ht="20.100000000000001" customHeight="1">
      <c r="O2078" s="387"/>
      <c r="P2078" s="387"/>
      <c r="Q2078" s="387"/>
    </row>
    <row r="2079" spans="15:17" ht="20.100000000000001" customHeight="1">
      <c r="O2079" s="387"/>
      <c r="P2079" s="387"/>
      <c r="Q2079" s="387"/>
    </row>
    <row r="2080" spans="15:17" ht="20.100000000000001" customHeight="1">
      <c r="O2080" s="387"/>
      <c r="P2080" s="387"/>
      <c r="Q2080" s="387"/>
    </row>
    <row r="2081" spans="15:17" ht="20.100000000000001" customHeight="1">
      <c r="O2081" s="387"/>
      <c r="P2081" s="387"/>
      <c r="Q2081" s="387"/>
    </row>
    <row r="2082" spans="15:17" ht="20.100000000000001" customHeight="1">
      <c r="O2082" s="387"/>
      <c r="P2082" s="387"/>
      <c r="Q2082" s="387"/>
    </row>
    <row r="2083" spans="15:17" ht="20.100000000000001" customHeight="1">
      <c r="O2083" s="387"/>
      <c r="P2083" s="387"/>
      <c r="Q2083" s="387"/>
    </row>
    <row r="2084" spans="15:17" ht="20.100000000000001" customHeight="1">
      <c r="O2084" s="387"/>
      <c r="P2084" s="387"/>
      <c r="Q2084" s="387"/>
    </row>
    <row r="2085" spans="15:17" ht="20.100000000000001" customHeight="1">
      <c r="O2085" s="387"/>
      <c r="P2085" s="387"/>
      <c r="Q2085" s="387"/>
    </row>
    <row r="2086" spans="15:17" ht="20.100000000000001" customHeight="1">
      <c r="O2086" s="387"/>
      <c r="P2086" s="387"/>
      <c r="Q2086" s="387"/>
    </row>
    <row r="2087" spans="15:17" ht="20.100000000000001" customHeight="1">
      <c r="O2087" s="387"/>
      <c r="P2087" s="387"/>
      <c r="Q2087" s="387"/>
    </row>
    <row r="2088" spans="15:17" ht="20.100000000000001" customHeight="1">
      <c r="O2088" s="387"/>
      <c r="P2088" s="387"/>
      <c r="Q2088" s="387"/>
    </row>
    <row r="2089" spans="15:17" ht="20.100000000000001" customHeight="1">
      <c r="O2089" s="387"/>
      <c r="P2089" s="387"/>
      <c r="Q2089" s="387"/>
    </row>
    <row r="2090" spans="15:17" ht="20.100000000000001" customHeight="1">
      <c r="O2090" s="387"/>
      <c r="P2090" s="387"/>
      <c r="Q2090" s="387"/>
    </row>
    <row r="2091" spans="15:17" ht="20.100000000000001" customHeight="1">
      <c r="O2091" s="387"/>
      <c r="P2091" s="387"/>
      <c r="Q2091" s="387"/>
    </row>
    <row r="2092" spans="15:17" ht="20.100000000000001" customHeight="1">
      <c r="O2092" s="387"/>
      <c r="P2092" s="387"/>
      <c r="Q2092" s="387"/>
    </row>
    <row r="2093" spans="15:17" ht="20.100000000000001" customHeight="1">
      <c r="O2093" s="387"/>
      <c r="P2093" s="387"/>
      <c r="Q2093" s="387"/>
    </row>
    <row r="2094" spans="15:17" ht="20.100000000000001" customHeight="1">
      <c r="O2094" s="387"/>
      <c r="P2094" s="387"/>
      <c r="Q2094" s="387"/>
    </row>
    <row r="2095" spans="15:17" ht="20.100000000000001" customHeight="1">
      <c r="O2095" s="387"/>
      <c r="P2095" s="387"/>
      <c r="Q2095" s="387"/>
    </row>
    <row r="2096" spans="15:17" ht="20.100000000000001" customHeight="1">
      <c r="O2096" s="387"/>
      <c r="P2096" s="387"/>
      <c r="Q2096" s="387"/>
    </row>
    <row r="2097" spans="15:17" ht="20.100000000000001" customHeight="1">
      <c r="O2097" s="387"/>
      <c r="P2097" s="387"/>
      <c r="Q2097" s="387"/>
    </row>
    <row r="2098" spans="15:17" ht="20.100000000000001" customHeight="1">
      <c r="O2098" s="387"/>
      <c r="P2098" s="387"/>
      <c r="Q2098" s="387"/>
    </row>
    <row r="2099" spans="15:17" ht="20.100000000000001" customHeight="1">
      <c r="O2099" s="387"/>
      <c r="P2099" s="387"/>
      <c r="Q2099" s="387"/>
    </row>
    <row r="2100" spans="15:17" ht="20.100000000000001" customHeight="1">
      <c r="O2100" s="387"/>
      <c r="P2100" s="387"/>
      <c r="Q2100" s="387"/>
    </row>
    <row r="2101" spans="15:17" ht="20.100000000000001" customHeight="1">
      <c r="O2101" s="387"/>
      <c r="P2101" s="387"/>
      <c r="Q2101" s="387"/>
    </row>
    <row r="2102" spans="15:17" ht="20.100000000000001" customHeight="1">
      <c r="O2102" s="387"/>
      <c r="P2102" s="387"/>
      <c r="Q2102" s="387"/>
    </row>
    <row r="2103" spans="15:17" ht="20.100000000000001" customHeight="1">
      <c r="O2103" s="387"/>
      <c r="P2103" s="387"/>
      <c r="Q2103" s="387"/>
    </row>
    <row r="2104" spans="15:17" ht="20.100000000000001" customHeight="1">
      <c r="O2104" s="387"/>
      <c r="P2104" s="387"/>
      <c r="Q2104" s="387"/>
    </row>
    <row r="2105" spans="15:17" ht="20.100000000000001" customHeight="1">
      <c r="O2105" s="387"/>
      <c r="P2105" s="387"/>
      <c r="Q2105" s="387"/>
    </row>
    <row r="2106" spans="15:17" ht="20.100000000000001" customHeight="1">
      <c r="O2106" s="387"/>
      <c r="P2106" s="387"/>
      <c r="Q2106" s="387"/>
    </row>
    <row r="2107" spans="15:17" ht="20.100000000000001" customHeight="1">
      <c r="O2107" s="387"/>
      <c r="P2107" s="387"/>
      <c r="Q2107" s="387"/>
    </row>
    <row r="2108" spans="15:17" ht="20.100000000000001" customHeight="1">
      <c r="O2108" s="387"/>
      <c r="P2108" s="387"/>
      <c r="Q2108" s="387"/>
    </row>
    <row r="2109" spans="15:17" ht="20.100000000000001" customHeight="1">
      <c r="O2109" s="387"/>
      <c r="P2109" s="387"/>
      <c r="Q2109" s="387"/>
    </row>
    <row r="2110" spans="15:17" ht="20.100000000000001" customHeight="1">
      <c r="O2110" s="387"/>
      <c r="P2110" s="387"/>
      <c r="Q2110" s="387"/>
    </row>
    <row r="2111" spans="15:17" ht="20.100000000000001" customHeight="1">
      <c r="O2111" s="387"/>
      <c r="P2111" s="387"/>
      <c r="Q2111" s="387"/>
    </row>
    <row r="2112" spans="15:17" ht="20.100000000000001" customHeight="1">
      <c r="O2112" s="387"/>
      <c r="P2112" s="387"/>
      <c r="Q2112" s="387"/>
    </row>
    <row r="2113" spans="15:17" ht="20.100000000000001" customHeight="1">
      <c r="O2113" s="387"/>
      <c r="P2113" s="387"/>
      <c r="Q2113" s="387"/>
    </row>
    <row r="2114" spans="15:17" ht="20.100000000000001" customHeight="1">
      <c r="O2114" s="387"/>
      <c r="P2114" s="387"/>
      <c r="Q2114" s="387"/>
    </row>
    <row r="2115" spans="15:17" ht="20.100000000000001" customHeight="1">
      <c r="O2115" s="387"/>
      <c r="P2115" s="387"/>
      <c r="Q2115" s="387"/>
    </row>
    <row r="2116" spans="15:17" ht="20.100000000000001" customHeight="1">
      <c r="O2116" s="387"/>
      <c r="P2116" s="387"/>
      <c r="Q2116" s="387"/>
    </row>
    <row r="2117" spans="15:17" ht="20.100000000000001" customHeight="1">
      <c r="O2117" s="387"/>
      <c r="P2117" s="387"/>
      <c r="Q2117" s="387"/>
    </row>
    <row r="2118" spans="15:17" ht="20.100000000000001" customHeight="1">
      <c r="O2118" s="387"/>
      <c r="P2118" s="387"/>
      <c r="Q2118" s="387"/>
    </row>
    <row r="2119" spans="15:17" ht="20.100000000000001" customHeight="1">
      <c r="O2119" s="387"/>
      <c r="P2119" s="387"/>
      <c r="Q2119" s="387"/>
    </row>
    <row r="2120" spans="15:17" ht="20.100000000000001" customHeight="1">
      <c r="O2120" s="387"/>
      <c r="P2120" s="387"/>
      <c r="Q2120" s="387"/>
    </row>
    <row r="2121" spans="15:17" ht="20.100000000000001" customHeight="1">
      <c r="O2121" s="387"/>
      <c r="P2121" s="387"/>
      <c r="Q2121" s="387"/>
    </row>
    <row r="2122" spans="15:17" ht="20.100000000000001" customHeight="1">
      <c r="O2122" s="387"/>
      <c r="P2122" s="387"/>
      <c r="Q2122" s="387"/>
    </row>
    <row r="2123" spans="15:17" ht="20.100000000000001" customHeight="1">
      <c r="O2123" s="387"/>
      <c r="P2123" s="387"/>
      <c r="Q2123" s="387"/>
    </row>
    <row r="2124" spans="15:17" ht="20.100000000000001" customHeight="1">
      <c r="O2124" s="387"/>
      <c r="P2124" s="387"/>
      <c r="Q2124" s="387"/>
    </row>
    <row r="2125" spans="15:17" ht="20.100000000000001" customHeight="1">
      <c r="O2125" s="387"/>
      <c r="P2125" s="387"/>
      <c r="Q2125" s="387"/>
    </row>
    <row r="2126" spans="15:17" ht="20.100000000000001" customHeight="1">
      <c r="O2126" s="387"/>
      <c r="P2126" s="387"/>
      <c r="Q2126" s="387"/>
    </row>
    <row r="2127" spans="15:17" ht="20.100000000000001" customHeight="1">
      <c r="O2127" s="387"/>
      <c r="P2127" s="387"/>
      <c r="Q2127" s="387"/>
    </row>
    <row r="2128" spans="15:17" ht="20.100000000000001" customHeight="1">
      <c r="O2128" s="387"/>
      <c r="P2128" s="387"/>
      <c r="Q2128" s="387"/>
    </row>
    <row r="2129" spans="15:17" ht="20.100000000000001" customHeight="1">
      <c r="O2129" s="387"/>
      <c r="P2129" s="387"/>
      <c r="Q2129" s="387"/>
    </row>
    <row r="2130" spans="15:17" ht="20.100000000000001" customHeight="1">
      <c r="O2130" s="387"/>
      <c r="P2130" s="387"/>
      <c r="Q2130" s="387"/>
    </row>
    <row r="2131" spans="15:17" ht="20.100000000000001" customHeight="1">
      <c r="O2131" s="387"/>
      <c r="P2131" s="387"/>
      <c r="Q2131" s="387"/>
    </row>
    <row r="2132" spans="15:17" ht="20.100000000000001" customHeight="1">
      <c r="O2132" s="387"/>
      <c r="P2132" s="387"/>
      <c r="Q2132" s="387"/>
    </row>
    <row r="2133" spans="15:17" ht="20.100000000000001" customHeight="1">
      <c r="O2133" s="387"/>
      <c r="P2133" s="387"/>
      <c r="Q2133" s="387"/>
    </row>
    <row r="2134" spans="15:17" ht="20.100000000000001" customHeight="1">
      <c r="O2134" s="387"/>
      <c r="P2134" s="387"/>
      <c r="Q2134" s="387"/>
    </row>
    <row r="2135" spans="15:17" ht="20.100000000000001" customHeight="1">
      <c r="O2135" s="387"/>
      <c r="P2135" s="387"/>
      <c r="Q2135" s="387"/>
    </row>
    <row r="2136" spans="15:17" ht="20.100000000000001" customHeight="1">
      <c r="O2136" s="387"/>
      <c r="P2136" s="387"/>
      <c r="Q2136" s="387"/>
    </row>
    <row r="2137" spans="15:17" ht="20.100000000000001" customHeight="1">
      <c r="O2137" s="387"/>
      <c r="P2137" s="387"/>
      <c r="Q2137" s="387"/>
    </row>
    <row r="2138" spans="15:17" ht="20.100000000000001" customHeight="1">
      <c r="O2138" s="387"/>
      <c r="P2138" s="387"/>
      <c r="Q2138" s="387"/>
    </row>
    <row r="2139" spans="15:17" ht="20.100000000000001" customHeight="1">
      <c r="O2139" s="387"/>
      <c r="P2139" s="387"/>
      <c r="Q2139" s="387"/>
    </row>
    <row r="2140" spans="15:17" ht="20.100000000000001" customHeight="1">
      <c r="O2140" s="387"/>
      <c r="P2140" s="387"/>
      <c r="Q2140" s="387"/>
    </row>
    <row r="2141" spans="15:17" ht="20.100000000000001" customHeight="1">
      <c r="O2141" s="387"/>
      <c r="P2141" s="387"/>
      <c r="Q2141" s="387"/>
    </row>
    <row r="2142" spans="15:17" ht="20.100000000000001" customHeight="1">
      <c r="O2142" s="387"/>
      <c r="P2142" s="387"/>
      <c r="Q2142" s="387"/>
    </row>
    <row r="2143" spans="15:17" ht="20.100000000000001" customHeight="1">
      <c r="O2143" s="387"/>
      <c r="P2143" s="387"/>
      <c r="Q2143" s="387"/>
    </row>
    <row r="2144" spans="15:17" ht="20.100000000000001" customHeight="1">
      <c r="O2144" s="387"/>
      <c r="P2144" s="387"/>
      <c r="Q2144" s="387"/>
    </row>
    <row r="2145" spans="15:17" ht="20.100000000000001" customHeight="1">
      <c r="O2145" s="387"/>
      <c r="P2145" s="387"/>
      <c r="Q2145" s="387"/>
    </row>
    <row r="2146" spans="15:17" ht="20.100000000000001" customHeight="1">
      <c r="O2146" s="387"/>
      <c r="P2146" s="387"/>
      <c r="Q2146" s="387"/>
    </row>
    <row r="2147" spans="15:17" ht="20.100000000000001" customHeight="1">
      <c r="O2147" s="387"/>
      <c r="P2147" s="387"/>
      <c r="Q2147" s="387"/>
    </row>
    <row r="2148" spans="15:17" ht="20.100000000000001" customHeight="1">
      <c r="O2148" s="387"/>
      <c r="P2148" s="387"/>
      <c r="Q2148" s="387"/>
    </row>
    <row r="2149" spans="15:17" ht="20.100000000000001" customHeight="1">
      <c r="O2149" s="387"/>
      <c r="P2149" s="387"/>
      <c r="Q2149" s="387"/>
    </row>
    <row r="2150" spans="15:17" ht="20.100000000000001" customHeight="1">
      <c r="O2150" s="387"/>
      <c r="P2150" s="387"/>
      <c r="Q2150" s="387"/>
    </row>
    <row r="2151" spans="15:17" ht="20.100000000000001" customHeight="1">
      <c r="O2151" s="387"/>
      <c r="P2151" s="387"/>
      <c r="Q2151" s="387"/>
    </row>
    <row r="2152" spans="15:17" ht="20.100000000000001" customHeight="1">
      <c r="O2152" s="387"/>
      <c r="P2152" s="387"/>
      <c r="Q2152" s="387"/>
    </row>
    <row r="2153" spans="15:17" ht="20.100000000000001" customHeight="1">
      <c r="O2153" s="387"/>
      <c r="P2153" s="387"/>
      <c r="Q2153" s="387"/>
    </row>
    <row r="2154" spans="15:17" ht="20.100000000000001" customHeight="1">
      <c r="O2154" s="387"/>
      <c r="P2154" s="387"/>
      <c r="Q2154" s="387"/>
    </row>
    <row r="2155" spans="15:17" ht="20.100000000000001" customHeight="1">
      <c r="O2155" s="387"/>
      <c r="P2155" s="387"/>
      <c r="Q2155" s="387"/>
    </row>
    <row r="2156" spans="15:17" ht="20.100000000000001" customHeight="1">
      <c r="O2156" s="387"/>
      <c r="P2156" s="387"/>
      <c r="Q2156" s="387"/>
    </row>
    <row r="2157" spans="15:17" ht="20.100000000000001" customHeight="1">
      <c r="O2157" s="387"/>
      <c r="P2157" s="387"/>
      <c r="Q2157" s="387"/>
    </row>
    <row r="2158" spans="15:17" ht="20.100000000000001" customHeight="1">
      <c r="O2158" s="387"/>
      <c r="P2158" s="387"/>
      <c r="Q2158" s="387"/>
    </row>
    <row r="2159" spans="15:17" ht="20.100000000000001" customHeight="1">
      <c r="O2159" s="387"/>
      <c r="P2159" s="387"/>
      <c r="Q2159" s="387"/>
    </row>
    <row r="2160" spans="15:17" ht="20.100000000000001" customHeight="1">
      <c r="O2160" s="387"/>
      <c r="P2160" s="387"/>
      <c r="Q2160" s="387"/>
    </row>
    <row r="2161" spans="15:17" ht="20.100000000000001" customHeight="1">
      <c r="O2161" s="387"/>
      <c r="P2161" s="387"/>
      <c r="Q2161" s="387"/>
    </row>
    <row r="2162" spans="15:17" ht="20.100000000000001" customHeight="1">
      <c r="O2162" s="387"/>
      <c r="P2162" s="387"/>
      <c r="Q2162" s="387"/>
    </row>
    <row r="2163" spans="15:17" ht="20.100000000000001" customHeight="1">
      <c r="O2163" s="387"/>
      <c r="P2163" s="387"/>
      <c r="Q2163" s="387"/>
    </row>
    <row r="2164" spans="15:17" ht="20.100000000000001" customHeight="1">
      <c r="O2164" s="387"/>
      <c r="P2164" s="387"/>
      <c r="Q2164" s="387"/>
    </row>
    <row r="2165" spans="15:17" ht="20.100000000000001" customHeight="1">
      <c r="O2165" s="387"/>
      <c r="P2165" s="387"/>
      <c r="Q2165" s="387"/>
    </row>
    <row r="2166" spans="15:17" ht="20.100000000000001" customHeight="1">
      <c r="O2166" s="387"/>
      <c r="P2166" s="387"/>
      <c r="Q2166" s="387"/>
    </row>
    <row r="2167" spans="15:17" ht="20.100000000000001" customHeight="1">
      <c r="O2167" s="387"/>
      <c r="P2167" s="387"/>
      <c r="Q2167" s="387"/>
    </row>
    <row r="2168" spans="15:17" ht="20.100000000000001" customHeight="1">
      <c r="O2168" s="387"/>
      <c r="P2168" s="387"/>
      <c r="Q2168" s="387"/>
    </row>
    <row r="2169" spans="15:17" ht="20.100000000000001" customHeight="1">
      <c r="O2169" s="387"/>
      <c r="P2169" s="387"/>
      <c r="Q2169" s="387"/>
    </row>
    <row r="2170" spans="15:17" ht="20.100000000000001" customHeight="1">
      <c r="O2170" s="387"/>
      <c r="P2170" s="387"/>
      <c r="Q2170" s="387"/>
    </row>
    <row r="2171" spans="15:17" ht="20.100000000000001" customHeight="1">
      <c r="O2171" s="387"/>
      <c r="P2171" s="387"/>
      <c r="Q2171" s="387"/>
    </row>
    <row r="2172" spans="15:17" ht="20.100000000000001" customHeight="1">
      <c r="O2172" s="387"/>
      <c r="P2172" s="387"/>
      <c r="Q2172" s="387"/>
    </row>
    <row r="2173" spans="15:17" ht="20.100000000000001" customHeight="1">
      <c r="O2173" s="387"/>
      <c r="P2173" s="387"/>
      <c r="Q2173" s="387"/>
    </row>
    <row r="2174" spans="15:17" ht="20.100000000000001" customHeight="1">
      <c r="O2174" s="387"/>
      <c r="P2174" s="387"/>
      <c r="Q2174" s="387"/>
    </row>
    <row r="2175" spans="15:17" ht="20.100000000000001" customHeight="1">
      <c r="O2175" s="387"/>
      <c r="P2175" s="387"/>
      <c r="Q2175" s="387"/>
    </row>
    <row r="2176" spans="15:17" ht="20.100000000000001" customHeight="1">
      <c r="O2176" s="387"/>
      <c r="P2176" s="387"/>
      <c r="Q2176" s="387"/>
    </row>
    <row r="2177" spans="15:17" ht="20.100000000000001" customHeight="1">
      <c r="O2177" s="387"/>
      <c r="P2177" s="387"/>
      <c r="Q2177" s="387"/>
    </row>
    <row r="2178" spans="15:17" ht="20.100000000000001" customHeight="1">
      <c r="O2178" s="387"/>
      <c r="P2178" s="387"/>
      <c r="Q2178" s="387"/>
    </row>
    <row r="2179" spans="15:17" ht="20.100000000000001" customHeight="1">
      <c r="O2179" s="387"/>
      <c r="P2179" s="387"/>
      <c r="Q2179" s="387"/>
    </row>
    <row r="2180" spans="15:17" ht="20.100000000000001" customHeight="1">
      <c r="O2180" s="387"/>
      <c r="P2180" s="387"/>
      <c r="Q2180" s="387"/>
    </row>
    <row r="2181" spans="15:17" ht="20.100000000000001" customHeight="1">
      <c r="O2181" s="387"/>
      <c r="P2181" s="387"/>
      <c r="Q2181" s="387"/>
    </row>
    <row r="2182" spans="15:17" ht="20.100000000000001" customHeight="1">
      <c r="O2182" s="387"/>
      <c r="P2182" s="387"/>
      <c r="Q2182" s="387"/>
    </row>
    <row r="2183" spans="15:17" ht="20.100000000000001" customHeight="1">
      <c r="O2183" s="387"/>
      <c r="P2183" s="387"/>
      <c r="Q2183" s="387"/>
    </row>
    <row r="2184" spans="15:17" ht="20.100000000000001" customHeight="1">
      <c r="O2184" s="387"/>
      <c r="P2184" s="387"/>
      <c r="Q2184" s="387"/>
    </row>
    <row r="2185" spans="15:17" ht="20.100000000000001" customHeight="1">
      <c r="O2185" s="387"/>
      <c r="P2185" s="387"/>
      <c r="Q2185" s="387"/>
    </row>
    <row r="2186" spans="15:17" ht="20.100000000000001" customHeight="1">
      <c r="O2186" s="387"/>
      <c r="P2186" s="387"/>
      <c r="Q2186" s="387"/>
    </row>
    <row r="2187" spans="15:17" ht="20.100000000000001" customHeight="1">
      <c r="O2187" s="387"/>
      <c r="P2187" s="387"/>
      <c r="Q2187" s="387"/>
    </row>
    <row r="2188" spans="15:17" ht="20.100000000000001" customHeight="1">
      <c r="O2188" s="387"/>
      <c r="P2188" s="387"/>
      <c r="Q2188" s="387"/>
    </row>
    <row r="2189" spans="15:17" ht="20.100000000000001" customHeight="1">
      <c r="O2189" s="387"/>
      <c r="P2189" s="387"/>
      <c r="Q2189" s="387"/>
    </row>
    <row r="2190" spans="15:17" ht="20.100000000000001" customHeight="1">
      <c r="O2190" s="387"/>
      <c r="P2190" s="387"/>
      <c r="Q2190" s="387"/>
    </row>
    <row r="2191" spans="15:17" ht="20.100000000000001" customHeight="1">
      <c r="O2191" s="387"/>
      <c r="P2191" s="387"/>
      <c r="Q2191" s="387"/>
    </row>
    <row r="2192" spans="15:17" ht="20.100000000000001" customHeight="1">
      <c r="O2192" s="387"/>
      <c r="P2192" s="387"/>
      <c r="Q2192" s="387"/>
    </row>
    <row r="2193" spans="15:17" ht="20.100000000000001" customHeight="1">
      <c r="O2193" s="387"/>
      <c r="P2193" s="387"/>
      <c r="Q2193" s="387"/>
    </row>
    <row r="2194" spans="15:17" ht="20.100000000000001" customHeight="1">
      <c r="O2194" s="387"/>
      <c r="P2194" s="387"/>
      <c r="Q2194" s="387"/>
    </row>
    <row r="2195" spans="15:17" ht="20.100000000000001" customHeight="1">
      <c r="O2195" s="387"/>
      <c r="P2195" s="387"/>
      <c r="Q2195" s="387"/>
    </row>
    <row r="2196" spans="15:17" ht="20.100000000000001" customHeight="1">
      <c r="O2196" s="387"/>
      <c r="P2196" s="387"/>
      <c r="Q2196" s="387"/>
    </row>
    <row r="2197" spans="15:17" ht="20.100000000000001" customHeight="1">
      <c r="O2197" s="387"/>
      <c r="P2197" s="387"/>
      <c r="Q2197" s="387"/>
    </row>
    <row r="2198" spans="15:17" ht="20.100000000000001" customHeight="1">
      <c r="O2198" s="387"/>
      <c r="P2198" s="387"/>
      <c r="Q2198" s="387"/>
    </row>
    <row r="2199" spans="15:17" ht="20.100000000000001" customHeight="1">
      <c r="O2199" s="387"/>
      <c r="P2199" s="387"/>
      <c r="Q2199" s="387"/>
    </row>
    <row r="2200" spans="15:17" ht="20.100000000000001" customHeight="1">
      <c r="O2200" s="387"/>
      <c r="P2200" s="387"/>
      <c r="Q2200" s="387"/>
    </row>
    <row r="2201" spans="15:17" ht="20.100000000000001" customHeight="1">
      <c r="O2201" s="387"/>
      <c r="P2201" s="387"/>
      <c r="Q2201" s="387"/>
    </row>
    <row r="2202" spans="15:17" ht="20.100000000000001" customHeight="1">
      <c r="O2202" s="387"/>
      <c r="P2202" s="387"/>
      <c r="Q2202" s="387"/>
    </row>
    <row r="2203" spans="15:17" ht="20.100000000000001" customHeight="1">
      <c r="O2203" s="387"/>
      <c r="P2203" s="387"/>
      <c r="Q2203" s="387"/>
    </row>
    <row r="2204" spans="15:17" ht="20.100000000000001" customHeight="1">
      <c r="O2204" s="387"/>
      <c r="P2204" s="387"/>
      <c r="Q2204" s="387"/>
    </row>
    <row r="2205" spans="15:17" ht="20.100000000000001" customHeight="1">
      <c r="O2205" s="387"/>
      <c r="P2205" s="387"/>
      <c r="Q2205" s="387"/>
    </row>
    <row r="2206" spans="15:17" ht="20.100000000000001" customHeight="1">
      <c r="O2206" s="387"/>
      <c r="P2206" s="387"/>
      <c r="Q2206" s="387"/>
    </row>
    <row r="2207" spans="15:17" ht="20.100000000000001" customHeight="1">
      <c r="O2207" s="387"/>
      <c r="P2207" s="387"/>
      <c r="Q2207" s="387"/>
    </row>
    <row r="2208" spans="15:17" ht="20.100000000000001" customHeight="1">
      <c r="O2208" s="387"/>
      <c r="P2208" s="387"/>
      <c r="Q2208" s="387"/>
    </row>
    <row r="2209" spans="15:17" ht="20.100000000000001" customHeight="1">
      <c r="O2209" s="387"/>
      <c r="P2209" s="387"/>
      <c r="Q2209" s="387"/>
    </row>
    <row r="2210" spans="15:17" ht="20.100000000000001" customHeight="1">
      <c r="O2210" s="387"/>
      <c r="P2210" s="387"/>
      <c r="Q2210" s="387"/>
    </row>
    <row r="2211" spans="15:17" ht="20.100000000000001" customHeight="1">
      <c r="O2211" s="387"/>
      <c r="P2211" s="387"/>
      <c r="Q2211" s="387"/>
    </row>
    <row r="2212" spans="15:17" ht="20.100000000000001" customHeight="1">
      <c r="O2212" s="387"/>
      <c r="P2212" s="387"/>
      <c r="Q2212" s="387"/>
    </row>
    <row r="2213" spans="15:17" ht="20.100000000000001" customHeight="1">
      <c r="O2213" s="387"/>
      <c r="P2213" s="387"/>
      <c r="Q2213" s="387"/>
    </row>
    <row r="2214" spans="15:17" ht="20.100000000000001" customHeight="1">
      <c r="O2214" s="387"/>
      <c r="P2214" s="387"/>
      <c r="Q2214" s="387"/>
    </row>
    <row r="2215" spans="15:17" ht="20.100000000000001" customHeight="1">
      <c r="O2215" s="387"/>
      <c r="P2215" s="387"/>
      <c r="Q2215" s="387"/>
    </row>
    <row r="2216" spans="15:17" ht="20.100000000000001" customHeight="1">
      <c r="O2216" s="387"/>
      <c r="P2216" s="387"/>
      <c r="Q2216" s="387"/>
    </row>
    <row r="2217" spans="15:17" ht="20.100000000000001" customHeight="1">
      <c r="O2217" s="387"/>
      <c r="P2217" s="387"/>
      <c r="Q2217" s="387"/>
    </row>
    <row r="2218" spans="15:17" ht="20.100000000000001" customHeight="1">
      <c r="O2218" s="387"/>
      <c r="P2218" s="387"/>
      <c r="Q2218" s="387"/>
    </row>
    <row r="2219" spans="15:17" ht="20.100000000000001" customHeight="1">
      <c r="O2219" s="387"/>
      <c r="P2219" s="387"/>
      <c r="Q2219" s="387"/>
    </row>
    <row r="2220" spans="15:17" ht="20.100000000000001" customHeight="1">
      <c r="O2220" s="387"/>
      <c r="P2220" s="387"/>
      <c r="Q2220" s="387"/>
    </row>
    <row r="2221" spans="15:17" ht="20.100000000000001" customHeight="1">
      <c r="O2221" s="387"/>
      <c r="P2221" s="387"/>
      <c r="Q2221" s="387"/>
    </row>
    <row r="2222" spans="15:17" ht="20.100000000000001" customHeight="1">
      <c r="O2222" s="387"/>
      <c r="P2222" s="387"/>
      <c r="Q2222" s="387"/>
    </row>
    <row r="2223" spans="15:17" ht="20.100000000000001" customHeight="1">
      <c r="O2223" s="387"/>
      <c r="P2223" s="387"/>
      <c r="Q2223" s="387"/>
    </row>
    <row r="2224" spans="15:17" ht="20.100000000000001" customHeight="1">
      <c r="O2224" s="387"/>
      <c r="P2224" s="387"/>
      <c r="Q2224" s="387"/>
    </row>
    <row r="2225" spans="15:17" ht="20.100000000000001" customHeight="1">
      <c r="O2225" s="387"/>
      <c r="P2225" s="387"/>
      <c r="Q2225" s="387"/>
    </row>
    <row r="2226" spans="15:17" ht="20.100000000000001" customHeight="1">
      <c r="O2226" s="387"/>
      <c r="P2226" s="387"/>
      <c r="Q2226" s="387"/>
    </row>
    <row r="2227" spans="15:17" ht="20.100000000000001" customHeight="1">
      <c r="O2227" s="387"/>
      <c r="P2227" s="387"/>
      <c r="Q2227" s="387"/>
    </row>
    <row r="2228" spans="15:17" ht="20.100000000000001" customHeight="1">
      <c r="O2228" s="387"/>
      <c r="P2228" s="387"/>
      <c r="Q2228" s="387"/>
    </row>
    <row r="2229" spans="15:17" ht="20.100000000000001" customHeight="1">
      <c r="O2229" s="387"/>
      <c r="P2229" s="387"/>
      <c r="Q2229" s="387"/>
    </row>
    <row r="2230" spans="15:17" ht="20.100000000000001" customHeight="1">
      <c r="O2230" s="387"/>
      <c r="P2230" s="387"/>
      <c r="Q2230" s="387"/>
    </row>
    <row r="2231" spans="15:17" ht="20.100000000000001" customHeight="1">
      <c r="O2231" s="387"/>
      <c r="P2231" s="387"/>
      <c r="Q2231" s="387"/>
    </row>
    <row r="2232" spans="15:17" ht="20.100000000000001" customHeight="1">
      <c r="O2232" s="387"/>
      <c r="P2232" s="387"/>
      <c r="Q2232" s="387"/>
    </row>
    <row r="2233" spans="15:17" ht="20.100000000000001" customHeight="1">
      <c r="O2233" s="387"/>
      <c r="P2233" s="387"/>
      <c r="Q2233" s="387"/>
    </row>
    <row r="2234" spans="15:17" ht="20.100000000000001" customHeight="1">
      <c r="O2234" s="387"/>
      <c r="P2234" s="387"/>
      <c r="Q2234" s="387"/>
    </row>
    <row r="2235" spans="15:17" ht="20.100000000000001" customHeight="1">
      <c r="O2235" s="387"/>
      <c r="P2235" s="387"/>
      <c r="Q2235" s="387"/>
    </row>
    <row r="2236" spans="15:17" ht="20.100000000000001" customHeight="1">
      <c r="O2236" s="387"/>
      <c r="P2236" s="387"/>
      <c r="Q2236" s="387"/>
    </row>
    <row r="2237" spans="15:17" ht="20.100000000000001" customHeight="1">
      <c r="O2237" s="387"/>
      <c r="P2237" s="387"/>
      <c r="Q2237" s="387"/>
    </row>
    <row r="2238" spans="15:17" ht="20.100000000000001" customHeight="1">
      <c r="O2238" s="387"/>
      <c r="P2238" s="387"/>
      <c r="Q2238" s="387"/>
    </row>
    <row r="2239" spans="15:17" ht="20.100000000000001" customHeight="1">
      <c r="O2239" s="387"/>
      <c r="P2239" s="387"/>
      <c r="Q2239" s="387"/>
    </row>
    <row r="2240" spans="15:17" ht="20.100000000000001" customHeight="1">
      <c r="O2240" s="387"/>
      <c r="P2240" s="387"/>
      <c r="Q2240" s="387"/>
    </row>
    <row r="2241" spans="15:17" ht="20.100000000000001" customHeight="1">
      <c r="O2241" s="387"/>
      <c r="P2241" s="387"/>
      <c r="Q2241" s="387"/>
    </row>
    <row r="2242" spans="15:17" ht="20.100000000000001" customHeight="1">
      <c r="O2242" s="387"/>
      <c r="P2242" s="387"/>
      <c r="Q2242" s="387"/>
    </row>
    <row r="2243" spans="15:17" ht="20.100000000000001" customHeight="1">
      <c r="O2243" s="387"/>
      <c r="P2243" s="387"/>
      <c r="Q2243" s="387"/>
    </row>
    <row r="2244" spans="15:17" ht="20.100000000000001" customHeight="1">
      <c r="O2244" s="387"/>
      <c r="P2244" s="387"/>
      <c r="Q2244" s="387"/>
    </row>
    <row r="2245" spans="15:17" ht="20.100000000000001" customHeight="1">
      <c r="O2245" s="387"/>
      <c r="P2245" s="387"/>
      <c r="Q2245" s="387"/>
    </row>
    <row r="2246" spans="15:17" ht="20.100000000000001" customHeight="1">
      <c r="O2246" s="387"/>
      <c r="P2246" s="387"/>
      <c r="Q2246" s="387"/>
    </row>
    <row r="2247" spans="15:17" ht="20.100000000000001" customHeight="1">
      <c r="O2247" s="387"/>
      <c r="P2247" s="387"/>
      <c r="Q2247" s="387"/>
    </row>
    <row r="2248" spans="15:17" ht="20.100000000000001" customHeight="1">
      <c r="O2248" s="387"/>
      <c r="P2248" s="387"/>
      <c r="Q2248" s="387"/>
    </row>
    <row r="2249" spans="15:17" ht="20.100000000000001" customHeight="1">
      <c r="O2249" s="387"/>
      <c r="P2249" s="387"/>
      <c r="Q2249" s="387"/>
    </row>
    <row r="2250" spans="15:17" ht="20.100000000000001" customHeight="1">
      <c r="O2250" s="387"/>
      <c r="P2250" s="387"/>
      <c r="Q2250" s="387"/>
    </row>
    <row r="2251" spans="15:17" ht="20.100000000000001" customHeight="1">
      <c r="O2251" s="387"/>
      <c r="P2251" s="387"/>
      <c r="Q2251" s="387"/>
    </row>
    <row r="2252" spans="15:17" ht="20.100000000000001" customHeight="1">
      <c r="O2252" s="387"/>
      <c r="P2252" s="387"/>
      <c r="Q2252" s="387"/>
    </row>
    <row r="2253" spans="15:17" ht="20.100000000000001" customHeight="1">
      <c r="O2253" s="387"/>
      <c r="P2253" s="387"/>
      <c r="Q2253" s="387"/>
    </row>
    <row r="2254" spans="15:17" ht="20.100000000000001" customHeight="1">
      <c r="O2254" s="387"/>
      <c r="P2254" s="387"/>
      <c r="Q2254" s="387"/>
    </row>
    <row r="2255" spans="15:17" ht="20.100000000000001" customHeight="1">
      <c r="O2255" s="387"/>
      <c r="P2255" s="387"/>
      <c r="Q2255" s="387"/>
    </row>
    <row r="2256" spans="15:17" ht="20.100000000000001" customHeight="1">
      <c r="O2256" s="387"/>
      <c r="P2256" s="387"/>
      <c r="Q2256" s="387"/>
    </row>
    <row r="2257" spans="15:17" ht="20.100000000000001" customHeight="1">
      <c r="O2257" s="387"/>
      <c r="P2257" s="387"/>
      <c r="Q2257" s="387"/>
    </row>
    <row r="2258" spans="15:17" ht="20.100000000000001" customHeight="1">
      <c r="O2258" s="387"/>
      <c r="P2258" s="387"/>
      <c r="Q2258" s="387"/>
    </row>
    <row r="2259" spans="15:17" ht="20.100000000000001" customHeight="1">
      <c r="O2259" s="387"/>
      <c r="P2259" s="387"/>
      <c r="Q2259" s="387"/>
    </row>
    <row r="2260" spans="15:17" ht="20.100000000000001" customHeight="1">
      <c r="O2260" s="387"/>
      <c r="P2260" s="387"/>
      <c r="Q2260" s="387"/>
    </row>
    <row r="2261" spans="15:17" ht="20.100000000000001" customHeight="1">
      <c r="O2261" s="387"/>
      <c r="P2261" s="387"/>
      <c r="Q2261" s="387"/>
    </row>
    <row r="2262" spans="15:17" ht="20.100000000000001" customHeight="1">
      <c r="O2262" s="387"/>
      <c r="P2262" s="387"/>
      <c r="Q2262" s="387"/>
    </row>
    <row r="2263" spans="15:17" ht="20.100000000000001" customHeight="1">
      <c r="O2263" s="387"/>
      <c r="P2263" s="387"/>
      <c r="Q2263" s="387"/>
    </row>
    <row r="2264" spans="15:17" ht="20.100000000000001" customHeight="1">
      <c r="O2264" s="387"/>
      <c r="P2264" s="387"/>
      <c r="Q2264" s="387"/>
    </row>
    <row r="2265" spans="15:17" ht="20.100000000000001" customHeight="1">
      <c r="O2265" s="387"/>
      <c r="P2265" s="387"/>
      <c r="Q2265" s="387"/>
    </row>
    <row r="2266" spans="15:17" ht="20.100000000000001" customHeight="1">
      <c r="O2266" s="387"/>
      <c r="P2266" s="387"/>
      <c r="Q2266" s="387"/>
    </row>
    <row r="2267" spans="15:17" ht="20.100000000000001" customHeight="1">
      <c r="O2267" s="387"/>
      <c r="P2267" s="387"/>
      <c r="Q2267" s="387"/>
    </row>
    <row r="2268" spans="15:17" ht="20.100000000000001" customHeight="1">
      <c r="O2268" s="387"/>
      <c r="P2268" s="387"/>
      <c r="Q2268" s="387"/>
    </row>
    <row r="2269" spans="15:17" ht="20.100000000000001" customHeight="1">
      <c r="O2269" s="387"/>
      <c r="P2269" s="387"/>
      <c r="Q2269" s="387"/>
    </row>
    <row r="2270" spans="15:17" ht="20.100000000000001" customHeight="1">
      <c r="O2270" s="387"/>
      <c r="P2270" s="387"/>
      <c r="Q2270" s="387"/>
    </row>
    <row r="2271" spans="15:17" ht="20.100000000000001" customHeight="1">
      <c r="O2271" s="387"/>
      <c r="P2271" s="387"/>
      <c r="Q2271" s="387"/>
    </row>
    <row r="2272" spans="15:17" ht="20.100000000000001" customHeight="1">
      <c r="O2272" s="387"/>
      <c r="P2272" s="387"/>
      <c r="Q2272" s="387"/>
    </row>
    <row r="2273" spans="15:17" ht="20.100000000000001" customHeight="1">
      <c r="O2273" s="387"/>
      <c r="P2273" s="387"/>
      <c r="Q2273" s="387"/>
    </row>
    <row r="2274" spans="15:17" ht="20.100000000000001" customHeight="1">
      <c r="O2274" s="387"/>
      <c r="P2274" s="387"/>
      <c r="Q2274" s="387"/>
    </row>
    <row r="2275" spans="15:17" ht="20.100000000000001" customHeight="1">
      <c r="O2275" s="387"/>
      <c r="P2275" s="387"/>
      <c r="Q2275" s="387"/>
    </row>
    <row r="2276" spans="15:17" ht="20.100000000000001" customHeight="1">
      <c r="O2276" s="387"/>
      <c r="P2276" s="387"/>
      <c r="Q2276" s="387"/>
    </row>
    <row r="2277" spans="15:17" ht="20.100000000000001" customHeight="1">
      <c r="O2277" s="387"/>
      <c r="P2277" s="387"/>
      <c r="Q2277" s="387"/>
    </row>
    <row r="2278" spans="15:17" ht="20.100000000000001" customHeight="1">
      <c r="O2278" s="387"/>
      <c r="P2278" s="387"/>
      <c r="Q2278" s="387"/>
    </row>
    <row r="2279" spans="15:17" ht="20.100000000000001" customHeight="1">
      <c r="O2279" s="387"/>
      <c r="P2279" s="387"/>
      <c r="Q2279" s="387"/>
    </row>
    <row r="2280" spans="15:17" ht="20.100000000000001" customHeight="1">
      <c r="O2280" s="387"/>
      <c r="P2280" s="387"/>
      <c r="Q2280" s="387"/>
    </row>
    <row r="2281" spans="15:17" ht="20.100000000000001" customHeight="1">
      <c r="O2281" s="387"/>
      <c r="P2281" s="387"/>
      <c r="Q2281" s="387"/>
    </row>
    <row r="2282" spans="15:17" ht="20.100000000000001" customHeight="1">
      <c r="O2282" s="387"/>
      <c r="P2282" s="387"/>
      <c r="Q2282" s="387"/>
    </row>
    <row r="2283" spans="15:17" ht="20.100000000000001" customHeight="1">
      <c r="O2283" s="387"/>
      <c r="P2283" s="387"/>
      <c r="Q2283" s="387"/>
    </row>
    <row r="2284" spans="15:17" ht="20.100000000000001" customHeight="1">
      <c r="O2284" s="387"/>
      <c r="P2284" s="387"/>
      <c r="Q2284" s="387"/>
    </row>
    <row r="2285" spans="15:17" ht="20.100000000000001" customHeight="1">
      <c r="O2285" s="387"/>
      <c r="P2285" s="387"/>
      <c r="Q2285" s="387"/>
    </row>
    <row r="2286" spans="15:17" ht="20.100000000000001" customHeight="1">
      <c r="O2286" s="387"/>
      <c r="P2286" s="387"/>
      <c r="Q2286" s="387"/>
    </row>
    <row r="2287" spans="15:17" ht="20.100000000000001" customHeight="1">
      <c r="O2287" s="387"/>
      <c r="P2287" s="387"/>
      <c r="Q2287" s="387"/>
    </row>
    <row r="2288" spans="15:17" ht="20.100000000000001" customHeight="1">
      <c r="O2288" s="387"/>
      <c r="P2288" s="387"/>
      <c r="Q2288" s="387"/>
    </row>
    <row r="2289" spans="15:17" ht="20.100000000000001" customHeight="1">
      <c r="O2289" s="387"/>
      <c r="P2289" s="387"/>
      <c r="Q2289" s="387"/>
    </row>
    <row r="2290" spans="15:17" ht="20.100000000000001" customHeight="1">
      <c r="O2290" s="387"/>
      <c r="P2290" s="387"/>
      <c r="Q2290" s="387"/>
    </row>
    <row r="2291" spans="15:17" ht="20.100000000000001" customHeight="1">
      <c r="O2291" s="387"/>
      <c r="P2291" s="387"/>
      <c r="Q2291" s="387"/>
    </row>
    <row r="2292" spans="15:17" ht="20.100000000000001" customHeight="1">
      <c r="O2292" s="387"/>
      <c r="P2292" s="387"/>
      <c r="Q2292" s="387"/>
    </row>
    <row r="2293" spans="15:17" ht="20.100000000000001" customHeight="1">
      <c r="O2293" s="387"/>
      <c r="P2293" s="387"/>
      <c r="Q2293" s="387"/>
    </row>
    <row r="2294" spans="15:17" ht="20.100000000000001" customHeight="1">
      <c r="O2294" s="387"/>
      <c r="P2294" s="387"/>
      <c r="Q2294" s="387"/>
    </row>
    <row r="2295" spans="15:17" ht="20.100000000000001" customHeight="1">
      <c r="O2295" s="387"/>
      <c r="P2295" s="387"/>
      <c r="Q2295" s="387"/>
    </row>
    <row r="2296" spans="15:17" ht="20.100000000000001" customHeight="1">
      <c r="O2296" s="387"/>
      <c r="P2296" s="387"/>
      <c r="Q2296" s="387"/>
    </row>
    <row r="2297" spans="15:17" ht="20.100000000000001" customHeight="1">
      <c r="O2297" s="387"/>
      <c r="P2297" s="387"/>
      <c r="Q2297" s="387"/>
    </row>
    <row r="2298" spans="15:17" ht="20.100000000000001" customHeight="1">
      <c r="O2298" s="387"/>
      <c r="P2298" s="387"/>
      <c r="Q2298" s="387"/>
    </row>
    <row r="2299" spans="15:17" ht="20.100000000000001" customHeight="1">
      <c r="O2299" s="387"/>
      <c r="P2299" s="387"/>
      <c r="Q2299" s="387"/>
    </row>
    <row r="2300" spans="15:17" ht="20.100000000000001" customHeight="1">
      <c r="O2300" s="387"/>
      <c r="P2300" s="387"/>
      <c r="Q2300" s="387"/>
    </row>
    <row r="2301" spans="15:17" ht="20.100000000000001" customHeight="1">
      <c r="O2301" s="387"/>
      <c r="P2301" s="387"/>
      <c r="Q2301" s="387"/>
    </row>
    <row r="2302" spans="15:17" ht="20.100000000000001" customHeight="1">
      <c r="O2302" s="387"/>
      <c r="P2302" s="387"/>
      <c r="Q2302" s="387"/>
    </row>
    <row r="2303" spans="15:17" ht="20.100000000000001" customHeight="1">
      <c r="O2303" s="387"/>
      <c r="P2303" s="387"/>
      <c r="Q2303" s="387"/>
    </row>
    <row r="2304" spans="15:17" ht="20.100000000000001" customHeight="1">
      <c r="O2304" s="387"/>
      <c r="P2304" s="387"/>
      <c r="Q2304" s="387"/>
    </row>
    <row r="2305" spans="15:17" ht="20.100000000000001" customHeight="1">
      <c r="O2305" s="387"/>
      <c r="P2305" s="387"/>
      <c r="Q2305" s="387"/>
    </row>
    <row r="2306" spans="15:17" ht="20.100000000000001" customHeight="1">
      <c r="O2306" s="387"/>
      <c r="P2306" s="387"/>
      <c r="Q2306" s="387"/>
    </row>
    <row r="2307" spans="15:17" ht="20.100000000000001" customHeight="1">
      <c r="O2307" s="387"/>
      <c r="P2307" s="387"/>
      <c r="Q2307" s="387"/>
    </row>
    <row r="2308" spans="15:17" ht="20.100000000000001" customHeight="1">
      <c r="O2308" s="387"/>
      <c r="P2308" s="387"/>
      <c r="Q2308" s="387"/>
    </row>
    <row r="2309" spans="15:17" ht="20.100000000000001" customHeight="1">
      <c r="O2309" s="387"/>
      <c r="P2309" s="387"/>
      <c r="Q2309" s="387"/>
    </row>
    <row r="2310" spans="15:17" ht="20.100000000000001" customHeight="1">
      <c r="O2310" s="387"/>
      <c r="P2310" s="387"/>
      <c r="Q2310" s="387"/>
    </row>
    <row r="2311" spans="15:17" ht="20.100000000000001" customHeight="1">
      <c r="O2311" s="387"/>
      <c r="P2311" s="387"/>
      <c r="Q2311" s="387"/>
    </row>
    <row r="2312" spans="15:17" ht="20.100000000000001" customHeight="1">
      <c r="O2312" s="387"/>
      <c r="P2312" s="387"/>
      <c r="Q2312" s="387"/>
    </row>
    <row r="2313" spans="15:17" ht="20.100000000000001" customHeight="1">
      <c r="O2313" s="387"/>
      <c r="P2313" s="387"/>
      <c r="Q2313" s="387"/>
    </row>
    <row r="2314" spans="15:17" ht="20.100000000000001" customHeight="1">
      <c r="O2314" s="387"/>
      <c r="P2314" s="387"/>
      <c r="Q2314" s="387"/>
    </row>
    <row r="2315" spans="15:17" ht="20.100000000000001" customHeight="1">
      <c r="O2315" s="387"/>
      <c r="P2315" s="387"/>
      <c r="Q2315" s="387"/>
    </row>
    <row r="2316" spans="15:17" ht="20.100000000000001" customHeight="1">
      <c r="O2316" s="387"/>
      <c r="P2316" s="387"/>
      <c r="Q2316" s="387"/>
    </row>
    <row r="2317" spans="15:17" ht="20.100000000000001" customHeight="1">
      <c r="O2317" s="387"/>
      <c r="P2317" s="387"/>
      <c r="Q2317" s="387"/>
    </row>
    <row r="2318" spans="15:17" ht="20.100000000000001" customHeight="1">
      <c r="O2318" s="387"/>
      <c r="P2318" s="387"/>
      <c r="Q2318" s="387"/>
    </row>
    <row r="2319" spans="15:17" ht="20.100000000000001" customHeight="1">
      <c r="O2319" s="387"/>
      <c r="P2319" s="387"/>
      <c r="Q2319" s="387"/>
    </row>
    <row r="2320" spans="15:17" ht="20.100000000000001" customHeight="1">
      <c r="O2320" s="387"/>
      <c r="P2320" s="387"/>
      <c r="Q2320" s="387"/>
    </row>
    <row r="2321" spans="15:17" ht="20.100000000000001" customHeight="1">
      <c r="O2321" s="387"/>
      <c r="P2321" s="387"/>
      <c r="Q2321" s="387"/>
    </row>
    <row r="2322" spans="15:17" ht="20.100000000000001" customHeight="1">
      <c r="O2322" s="387"/>
      <c r="P2322" s="387"/>
      <c r="Q2322" s="387"/>
    </row>
    <row r="2323" spans="15:17" ht="20.100000000000001" customHeight="1">
      <c r="O2323" s="387"/>
      <c r="P2323" s="387"/>
      <c r="Q2323" s="387"/>
    </row>
    <row r="2324" spans="15:17" ht="20.100000000000001" customHeight="1">
      <c r="O2324" s="387"/>
      <c r="P2324" s="387"/>
      <c r="Q2324" s="387"/>
    </row>
    <row r="2325" spans="15:17" ht="20.100000000000001" customHeight="1">
      <c r="O2325" s="387"/>
      <c r="P2325" s="387"/>
      <c r="Q2325" s="387"/>
    </row>
    <row r="2326" spans="15:17" ht="20.100000000000001" customHeight="1">
      <c r="O2326" s="387"/>
      <c r="P2326" s="387"/>
      <c r="Q2326" s="387"/>
    </row>
    <row r="2327" spans="15:17" ht="20.100000000000001" customHeight="1">
      <c r="O2327" s="387"/>
      <c r="P2327" s="387"/>
      <c r="Q2327" s="387"/>
    </row>
    <row r="2328" spans="15:17" ht="20.100000000000001" customHeight="1">
      <c r="O2328" s="387"/>
      <c r="P2328" s="387"/>
      <c r="Q2328" s="387"/>
    </row>
    <row r="2329" spans="15:17" ht="20.100000000000001" customHeight="1">
      <c r="O2329" s="387"/>
      <c r="P2329" s="387"/>
      <c r="Q2329" s="387"/>
    </row>
    <row r="2330" spans="15:17" ht="20.100000000000001" customHeight="1">
      <c r="O2330" s="387"/>
      <c r="P2330" s="387"/>
      <c r="Q2330" s="387"/>
    </row>
    <row r="2331" spans="15:17" ht="20.100000000000001" customHeight="1">
      <c r="O2331" s="387"/>
      <c r="P2331" s="387"/>
      <c r="Q2331" s="387"/>
    </row>
    <row r="2332" spans="15:17" ht="20.100000000000001" customHeight="1">
      <c r="O2332" s="387"/>
      <c r="P2332" s="387"/>
      <c r="Q2332" s="387"/>
    </row>
    <row r="2333" spans="15:17" ht="20.100000000000001" customHeight="1">
      <c r="O2333" s="387"/>
      <c r="P2333" s="387"/>
      <c r="Q2333" s="387"/>
    </row>
    <row r="2334" spans="15:17" ht="20.100000000000001" customHeight="1">
      <c r="O2334" s="387"/>
      <c r="P2334" s="387"/>
      <c r="Q2334" s="387"/>
    </row>
    <row r="2335" spans="15:17" ht="20.100000000000001" customHeight="1">
      <c r="O2335" s="387"/>
      <c r="P2335" s="387"/>
      <c r="Q2335" s="387"/>
    </row>
    <row r="2336" spans="15:17" ht="20.100000000000001" customHeight="1">
      <c r="O2336" s="387"/>
      <c r="P2336" s="387"/>
      <c r="Q2336" s="387"/>
    </row>
    <row r="2337" spans="15:17" ht="20.100000000000001" customHeight="1">
      <c r="O2337" s="387"/>
      <c r="P2337" s="387"/>
      <c r="Q2337" s="387"/>
    </row>
    <row r="2338" spans="15:17" ht="20.100000000000001" customHeight="1">
      <c r="O2338" s="387"/>
      <c r="P2338" s="387"/>
      <c r="Q2338" s="387"/>
    </row>
    <row r="2339" spans="15:17" ht="20.100000000000001" customHeight="1">
      <c r="O2339" s="387"/>
      <c r="P2339" s="387"/>
      <c r="Q2339" s="387"/>
    </row>
    <row r="2340" spans="15:17" ht="20.100000000000001" customHeight="1">
      <c r="O2340" s="387"/>
      <c r="P2340" s="387"/>
      <c r="Q2340" s="387"/>
    </row>
    <row r="2341" spans="15:17" ht="20.100000000000001" customHeight="1">
      <c r="O2341" s="387"/>
      <c r="P2341" s="387"/>
      <c r="Q2341" s="387"/>
    </row>
    <row r="2342" spans="15:17" ht="20.100000000000001" customHeight="1">
      <c r="O2342" s="387"/>
      <c r="P2342" s="387"/>
      <c r="Q2342" s="387"/>
    </row>
    <row r="2343" spans="15:17" ht="20.100000000000001" customHeight="1">
      <c r="O2343" s="387"/>
      <c r="P2343" s="387"/>
      <c r="Q2343" s="387"/>
    </row>
    <row r="2344" spans="15:17" ht="20.100000000000001" customHeight="1">
      <c r="O2344" s="387"/>
      <c r="P2344" s="387"/>
      <c r="Q2344" s="387"/>
    </row>
    <row r="2345" spans="15:17" ht="20.100000000000001" customHeight="1">
      <c r="O2345" s="387"/>
      <c r="P2345" s="387"/>
      <c r="Q2345" s="387"/>
    </row>
    <row r="2346" spans="15:17" ht="20.100000000000001" customHeight="1">
      <c r="O2346" s="387"/>
      <c r="P2346" s="387"/>
      <c r="Q2346" s="387"/>
    </row>
    <row r="2347" spans="15:17" ht="20.100000000000001" customHeight="1">
      <c r="O2347" s="387"/>
      <c r="P2347" s="387"/>
      <c r="Q2347" s="387"/>
    </row>
    <row r="2348" spans="15:17" ht="20.100000000000001" customHeight="1">
      <c r="O2348" s="387"/>
      <c r="P2348" s="387"/>
      <c r="Q2348" s="387"/>
    </row>
    <row r="2349" spans="15:17" ht="20.100000000000001" customHeight="1">
      <c r="O2349" s="387"/>
      <c r="P2349" s="387"/>
      <c r="Q2349" s="387"/>
    </row>
    <row r="2350" spans="15:17" ht="20.100000000000001" customHeight="1">
      <c r="O2350" s="387"/>
      <c r="P2350" s="387"/>
      <c r="Q2350" s="387"/>
    </row>
    <row r="2351" spans="15:17" ht="20.100000000000001" customHeight="1">
      <c r="O2351" s="387"/>
      <c r="P2351" s="387"/>
      <c r="Q2351" s="387"/>
    </row>
    <row r="2352" spans="15:17" ht="20.100000000000001" customHeight="1">
      <c r="O2352" s="387"/>
      <c r="P2352" s="387"/>
      <c r="Q2352" s="387"/>
    </row>
    <row r="2353" spans="15:17" ht="20.100000000000001" customHeight="1">
      <c r="O2353" s="387"/>
      <c r="P2353" s="387"/>
      <c r="Q2353" s="387"/>
    </row>
    <row r="2354" spans="15:17" ht="20.100000000000001" customHeight="1">
      <c r="O2354" s="387"/>
      <c r="P2354" s="387"/>
      <c r="Q2354" s="387"/>
    </row>
    <row r="2355" spans="15:17" ht="20.100000000000001" customHeight="1">
      <c r="O2355" s="387"/>
      <c r="P2355" s="387"/>
      <c r="Q2355" s="387"/>
    </row>
    <row r="2356" spans="15:17" ht="20.100000000000001" customHeight="1">
      <c r="O2356" s="387"/>
      <c r="P2356" s="387"/>
      <c r="Q2356" s="387"/>
    </row>
    <row r="2357" spans="15:17" ht="20.100000000000001" customHeight="1">
      <c r="O2357" s="387"/>
      <c r="P2357" s="387"/>
      <c r="Q2357" s="387"/>
    </row>
    <row r="2358" spans="15:17" ht="20.100000000000001" customHeight="1">
      <c r="O2358" s="387"/>
      <c r="P2358" s="387"/>
      <c r="Q2358" s="387"/>
    </row>
    <row r="2359" spans="15:17" ht="20.100000000000001" customHeight="1">
      <c r="O2359" s="387"/>
      <c r="P2359" s="387"/>
      <c r="Q2359" s="387"/>
    </row>
    <row r="2360" spans="15:17" ht="20.100000000000001" customHeight="1">
      <c r="O2360" s="387"/>
      <c r="P2360" s="387"/>
      <c r="Q2360" s="387"/>
    </row>
    <row r="2361" spans="15:17" ht="20.100000000000001" customHeight="1">
      <c r="O2361" s="387"/>
      <c r="P2361" s="387"/>
      <c r="Q2361" s="387"/>
    </row>
    <row r="2362" spans="15:17" ht="20.100000000000001" customHeight="1">
      <c r="O2362" s="387"/>
      <c r="P2362" s="387"/>
      <c r="Q2362" s="387"/>
    </row>
    <row r="2363" spans="15:17" ht="20.100000000000001" customHeight="1">
      <c r="O2363" s="387"/>
      <c r="P2363" s="387"/>
      <c r="Q2363" s="387"/>
    </row>
    <row r="2364" spans="15:17" ht="20.100000000000001" customHeight="1">
      <c r="O2364" s="387"/>
      <c r="P2364" s="387"/>
      <c r="Q2364" s="387"/>
    </row>
    <row r="2365" spans="15:17" ht="20.100000000000001" customHeight="1">
      <c r="O2365" s="387"/>
      <c r="P2365" s="387"/>
      <c r="Q2365" s="387"/>
    </row>
    <row r="2366" spans="15:17" ht="20.100000000000001" customHeight="1">
      <c r="O2366" s="387"/>
      <c r="P2366" s="387"/>
      <c r="Q2366" s="387"/>
    </row>
    <row r="2367" spans="15:17" ht="20.100000000000001" customHeight="1">
      <c r="O2367" s="387"/>
      <c r="P2367" s="387"/>
      <c r="Q2367" s="387"/>
    </row>
    <row r="2368" spans="15:17" ht="20.100000000000001" customHeight="1">
      <c r="O2368" s="387"/>
      <c r="P2368" s="387"/>
      <c r="Q2368" s="387"/>
    </row>
    <row r="2369" spans="15:17" ht="20.100000000000001" customHeight="1">
      <c r="O2369" s="387"/>
      <c r="P2369" s="387"/>
      <c r="Q2369" s="387"/>
    </row>
    <row r="2370" spans="15:17" ht="20.100000000000001" customHeight="1">
      <c r="O2370" s="387"/>
      <c r="P2370" s="387"/>
      <c r="Q2370" s="387"/>
    </row>
    <row r="2371" spans="15:17" ht="20.100000000000001" customHeight="1">
      <c r="O2371" s="387"/>
      <c r="P2371" s="387"/>
      <c r="Q2371" s="387"/>
    </row>
    <row r="2372" spans="15:17" ht="20.100000000000001" customHeight="1">
      <c r="O2372" s="387"/>
      <c r="P2372" s="387"/>
      <c r="Q2372" s="387"/>
    </row>
    <row r="2373" spans="15:17" ht="20.100000000000001" customHeight="1">
      <c r="O2373" s="387"/>
      <c r="P2373" s="387"/>
      <c r="Q2373" s="387"/>
    </row>
    <row r="2374" spans="15:17" ht="20.100000000000001" customHeight="1">
      <c r="O2374" s="387"/>
      <c r="P2374" s="387"/>
      <c r="Q2374" s="387"/>
    </row>
    <row r="2375" spans="15:17" ht="20.100000000000001" customHeight="1">
      <c r="O2375" s="387"/>
      <c r="P2375" s="387"/>
      <c r="Q2375" s="387"/>
    </row>
    <row r="2376" spans="15:17" ht="20.100000000000001" customHeight="1">
      <c r="O2376" s="387"/>
      <c r="P2376" s="387"/>
      <c r="Q2376" s="387"/>
    </row>
    <row r="2377" spans="15:17" ht="20.100000000000001" customHeight="1">
      <c r="O2377" s="387"/>
      <c r="P2377" s="387"/>
      <c r="Q2377" s="387"/>
    </row>
    <row r="2378" spans="15:17" ht="20.100000000000001" customHeight="1">
      <c r="O2378" s="387"/>
      <c r="P2378" s="387"/>
      <c r="Q2378" s="387"/>
    </row>
    <row r="2379" spans="15:17" ht="20.100000000000001" customHeight="1">
      <c r="O2379" s="387"/>
      <c r="P2379" s="387"/>
      <c r="Q2379" s="387"/>
    </row>
    <row r="2380" spans="15:17" ht="20.100000000000001" customHeight="1">
      <c r="O2380" s="387"/>
      <c r="P2380" s="387"/>
      <c r="Q2380" s="387"/>
    </row>
    <row r="2381" spans="15:17" ht="20.100000000000001" customHeight="1">
      <c r="O2381" s="387"/>
      <c r="P2381" s="387"/>
      <c r="Q2381" s="387"/>
    </row>
    <row r="2382" spans="15:17" ht="20.100000000000001" customHeight="1">
      <c r="O2382" s="387"/>
      <c r="P2382" s="387"/>
      <c r="Q2382" s="387"/>
    </row>
    <row r="2383" spans="15:17" ht="20.100000000000001" customHeight="1">
      <c r="O2383" s="387"/>
      <c r="P2383" s="387"/>
      <c r="Q2383" s="387"/>
    </row>
    <row r="2384" spans="15:17" ht="20.100000000000001" customHeight="1">
      <c r="O2384" s="387"/>
      <c r="P2384" s="387"/>
      <c r="Q2384" s="387"/>
    </row>
    <row r="2385" spans="15:17" ht="20.100000000000001" customHeight="1">
      <c r="O2385" s="387"/>
      <c r="P2385" s="387"/>
      <c r="Q2385" s="387"/>
    </row>
    <row r="2386" spans="15:17" ht="20.100000000000001" customHeight="1">
      <c r="O2386" s="387"/>
      <c r="P2386" s="387"/>
      <c r="Q2386" s="387"/>
    </row>
    <row r="2387" spans="15:17" ht="20.100000000000001" customHeight="1">
      <c r="O2387" s="387"/>
      <c r="P2387" s="387"/>
      <c r="Q2387" s="387"/>
    </row>
    <row r="2388" spans="15:17" ht="20.100000000000001" customHeight="1">
      <c r="O2388" s="387"/>
      <c r="P2388" s="387"/>
      <c r="Q2388" s="387"/>
    </row>
    <row r="2389" spans="15:17" ht="20.100000000000001" customHeight="1">
      <c r="O2389" s="387"/>
      <c r="P2389" s="387"/>
      <c r="Q2389" s="387"/>
    </row>
    <row r="2390" spans="15:17" ht="20.100000000000001" customHeight="1">
      <c r="O2390" s="387"/>
      <c r="P2390" s="387"/>
      <c r="Q2390" s="387"/>
    </row>
    <row r="2391" spans="15:17" ht="20.100000000000001" customHeight="1">
      <c r="O2391" s="387"/>
      <c r="P2391" s="387"/>
      <c r="Q2391" s="387"/>
    </row>
    <row r="2392" spans="15:17" ht="20.100000000000001" customHeight="1">
      <c r="O2392" s="387"/>
      <c r="P2392" s="387"/>
      <c r="Q2392" s="387"/>
    </row>
    <row r="2393" spans="15:17" ht="20.100000000000001" customHeight="1">
      <c r="O2393" s="387"/>
      <c r="P2393" s="387"/>
      <c r="Q2393" s="387"/>
    </row>
    <row r="2394" spans="15:17" ht="20.100000000000001" customHeight="1">
      <c r="O2394" s="387"/>
      <c r="P2394" s="387"/>
      <c r="Q2394" s="387"/>
    </row>
    <row r="2395" spans="15:17" ht="20.100000000000001" customHeight="1">
      <c r="O2395" s="387"/>
      <c r="P2395" s="387"/>
      <c r="Q2395" s="387"/>
    </row>
    <row r="2396" spans="15:17" ht="20.100000000000001" customHeight="1">
      <c r="O2396" s="387"/>
      <c r="P2396" s="387"/>
      <c r="Q2396" s="387"/>
    </row>
    <row r="2397" spans="15:17" ht="20.100000000000001" customHeight="1">
      <c r="O2397" s="387"/>
      <c r="P2397" s="387"/>
      <c r="Q2397" s="387"/>
    </row>
    <row r="2398" spans="15:17" ht="20.100000000000001" customHeight="1">
      <c r="O2398" s="387"/>
      <c r="P2398" s="387"/>
      <c r="Q2398" s="387"/>
    </row>
    <row r="2399" spans="15:17" ht="20.100000000000001" customHeight="1">
      <c r="O2399" s="387"/>
      <c r="P2399" s="387"/>
      <c r="Q2399" s="387"/>
    </row>
    <row r="2400" spans="15:17" ht="20.100000000000001" customHeight="1">
      <c r="O2400" s="387"/>
      <c r="P2400" s="387"/>
      <c r="Q2400" s="387"/>
    </row>
    <row r="2401" spans="15:17" ht="20.100000000000001" customHeight="1">
      <c r="O2401" s="387"/>
      <c r="P2401" s="387"/>
      <c r="Q2401" s="387"/>
    </row>
    <row r="2402" spans="15:17" ht="20.100000000000001" customHeight="1">
      <c r="O2402" s="387"/>
      <c r="P2402" s="387"/>
      <c r="Q2402" s="387"/>
    </row>
    <row r="2403" spans="15:17" ht="20.100000000000001" customHeight="1">
      <c r="O2403" s="387"/>
      <c r="P2403" s="387"/>
      <c r="Q2403" s="387"/>
    </row>
    <row r="2404" spans="15:17" ht="20.100000000000001" customHeight="1">
      <c r="O2404" s="387"/>
      <c r="P2404" s="387"/>
      <c r="Q2404" s="387"/>
    </row>
    <row r="2405" spans="15:17" ht="20.100000000000001" customHeight="1">
      <c r="O2405" s="387"/>
      <c r="P2405" s="387"/>
      <c r="Q2405" s="387"/>
    </row>
    <row r="2406" spans="15:17" ht="20.100000000000001" customHeight="1">
      <c r="O2406" s="387"/>
      <c r="P2406" s="387"/>
      <c r="Q2406" s="387"/>
    </row>
    <row r="2407" spans="15:17" ht="20.100000000000001" customHeight="1">
      <c r="O2407" s="387"/>
      <c r="P2407" s="387"/>
      <c r="Q2407" s="387"/>
    </row>
    <row r="2408" spans="15:17" ht="20.100000000000001" customHeight="1">
      <c r="O2408" s="387"/>
      <c r="P2408" s="387"/>
      <c r="Q2408" s="387"/>
    </row>
    <row r="2409" spans="15:17" ht="20.100000000000001" customHeight="1">
      <c r="O2409" s="387"/>
      <c r="P2409" s="387"/>
      <c r="Q2409" s="387"/>
    </row>
    <row r="2410" spans="15:17" ht="20.100000000000001" customHeight="1">
      <c r="O2410" s="387"/>
      <c r="P2410" s="387"/>
      <c r="Q2410" s="387"/>
    </row>
    <row r="2411" spans="15:17" ht="20.100000000000001" customHeight="1">
      <c r="O2411" s="387"/>
      <c r="P2411" s="387"/>
      <c r="Q2411" s="387"/>
    </row>
    <row r="2412" spans="15:17" ht="20.100000000000001" customHeight="1">
      <c r="O2412" s="387"/>
      <c r="P2412" s="387"/>
      <c r="Q2412" s="387"/>
    </row>
    <row r="2413" spans="15:17" ht="20.100000000000001" customHeight="1">
      <c r="O2413" s="387"/>
      <c r="P2413" s="387"/>
      <c r="Q2413" s="387"/>
    </row>
    <row r="2414" spans="15:17" ht="20.100000000000001" customHeight="1">
      <c r="O2414" s="387"/>
      <c r="P2414" s="387"/>
      <c r="Q2414" s="387"/>
    </row>
    <row r="2415" spans="15:17" ht="20.100000000000001" customHeight="1">
      <c r="O2415" s="387"/>
      <c r="P2415" s="387"/>
      <c r="Q2415" s="387"/>
    </row>
    <row r="2416" spans="15:17" ht="20.100000000000001" customHeight="1">
      <c r="O2416" s="387"/>
      <c r="P2416" s="387"/>
      <c r="Q2416" s="387"/>
    </row>
    <row r="2417" spans="15:17" ht="20.100000000000001" customHeight="1">
      <c r="O2417" s="387"/>
      <c r="P2417" s="387"/>
      <c r="Q2417" s="387"/>
    </row>
    <row r="2418" spans="15:17" ht="20.100000000000001" customHeight="1">
      <c r="O2418" s="387"/>
      <c r="P2418" s="387"/>
      <c r="Q2418" s="387"/>
    </row>
    <row r="2419" spans="15:17" ht="20.100000000000001" customHeight="1">
      <c r="O2419" s="387"/>
      <c r="P2419" s="387"/>
      <c r="Q2419" s="387"/>
    </row>
    <row r="2420" spans="15:17" ht="20.100000000000001" customHeight="1">
      <c r="O2420" s="387"/>
      <c r="P2420" s="387"/>
      <c r="Q2420" s="387"/>
    </row>
    <row r="2421" spans="15:17" ht="20.100000000000001" customHeight="1">
      <c r="O2421" s="387"/>
      <c r="P2421" s="387"/>
      <c r="Q2421" s="387"/>
    </row>
    <row r="2422" spans="15:17" ht="20.100000000000001" customHeight="1">
      <c r="O2422" s="387"/>
      <c r="P2422" s="387"/>
      <c r="Q2422" s="387"/>
    </row>
    <row r="2423" spans="15:17" ht="20.100000000000001" customHeight="1">
      <c r="O2423" s="387"/>
      <c r="P2423" s="387"/>
      <c r="Q2423" s="387"/>
    </row>
    <row r="2424" spans="15:17" ht="20.100000000000001" customHeight="1">
      <c r="O2424" s="387"/>
      <c r="P2424" s="387"/>
      <c r="Q2424" s="387"/>
    </row>
    <row r="2425" spans="15:17" ht="20.100000000000001" customHeight="1">
      <c r="O2425" s="387"/>
      <c r="P2425" s="387"/>
      <c r="Q2425" s="387"/>
    </row>
    <row r="2426" spans="15:17" ht="20.100000000000001" customHeight="1">
      <c r="O2426" s="387"/>
      <c r="P2426" s="387"/>
      <c r="Q2426" s="387"/>
    </row>
    <row r="2427" spans="15:17" ht="20.100000000000001" customHeight="1">
      <c r="O2427" s="387"/>
      <c r="P2427" s="387"/>
      <c r="Q2427" s="387"/>
    </row>
    <row r="2428" spans="15:17" ht="20.100000000000001" customHeight="1">
      <c r="O2428" s="387"/>
      <c r="P2428" s="387"/>
      <c r="Q2428" s="387"/>
    </row>
    <row r="2429" spans="15:17" ht="20.100000000000001" customHeight="1">
      <c r="O2429" s="387"/>
      <c r="P2429" s="387"/>
      <c r="Q2429" s="387"/>
    </row>
    <row r="2430" spans="15:17" ht="20.100000000000001" customHeight="1">
      <c r="O2430" s="387"/>
      <c r="P2430" s="387"/>
      <c r="Q2430" s="387"/>
    </row>
    <row r="2431" spans="15:17" ht="20.100000000000001" customHeight="1">
      <c r="O2431" s="387"/>
      <c r="P2431" s="387"/>
      <c r="Q2431" s="387"/>
    </row>
    <row r="2432" spans="15:17" ht="20.100000000000001" customHeight="1">
      <c r="O2432" s="387"/>
      <c r="P2432" s="387"/>
      <c r="Q2432" s="387"/>
    </row>
    <row r="2433" spans="15:17" ht="20.100000000000001" customHeight="1">
      <c r="O2433" s="387"/>
      <c r="P2433" s="387"/>
      <c r="Q2433" s="387"/>
    </row>
    <row r="2434" spans="15:17" ht="20.100000000000001" customHeight="1">
      <c r="O2434" s="387"/>
      <c r="P2434" s="387"/>
      <c r="Q2434" s="387"/>
    </row>
    <row r="2435" spans="15:17" ht="20.100000000000001" customHeight="1">
      <c r="O2435" s="387"/>
      <c r="P2435" s="387"/>
      <c r="Q2435" s="387"/>
    </row>
    <row r="2436" spans="15:17" ht="20.100000000000001" customHeight="1">
      <c r="O2436" s="387"/>
      <c r="P2436" s="387"/>
      <c r="Q2436" s="387"/>
    </row>
    <row r="2437" spans="15:17" ht="20.100000000000001" customHeight="1">
      <c r="O2437" s="387"/>
      <c r="P2437" s="387"/>
      <c r="Q2437" s="387"/>
    </row>
    <row r="2438" spans="15:17" ht="20.100000000000001" customHeight="1">
      <c r="O2438" s="387"/>
      <c r="P2438" s="387"/>
      <c r="Q2438" s="387"/>
    </row>
    <row r="2439" spans="15:17" ht="20.100000000000001" customHeight="1">
      <c r="O2439" s="387"/>
      <c r="P2439" s="387"/>
      <c r="Q2439" s="387"/>
    </row>
    <row r="2440" spans="15:17" ht="20.100000000000001" customHeight="1">
      <c r="O2440" s="387"/>
      <c r="P2440" s="387"/>
      <c r="Q2440" s="387"/>
    </row>
    <row r="2441" spans="15:17" ht="20.100000000000001" customHeight="1">
      <c r="O2441" s="387"/>
      <c r="P2441" s="387"/>
      <c r="Q2441" s="387"/>
    </row>
    <row r="2442" spans="15:17" ht="20.100000000000001" customHeight="1">
      <c r="O2442" s="387"/>
      <c r="P2442" s="387"/>
      <c r="Q2442" s="387"/>
    </row>
    <row r="2443" spans="15:17" ht="20.100000000000001" customHeight="1">
      <c r="O2443" s="387"/>
      <c r="P2443" s="387"/>
      <c r="Q2443" s="387"/>
    </row>
    <row r="2444" spans="15:17" ht="20.100000000000001" customHeight="1">
      <c r="O2444" s="387"/>
      <c r="P2444" s="387"/>
      <c r="Q2444" s="387"/>
    </row>
    <row r="2445" spans="15:17" ht="20.100000000000001" customHeight="1">
      <c r="O2445" s="387"/>
      <c r="P2445" s="387"/>
      <c r="Q2445" s="387"/>
    </row>
    <row r="2446" spans="15:17" ht="20.100000000000001" customHeight="1">
      <c r="O2446" s="387"/>
      <c r="P2446" s="387"/>
      <c r="Q2446" s="387"/>
    </row>
    <row r="2447" spans="15:17" ht="20.100000000000001" customHeight="1">
      <c r="O2447" s="387"/>
      <c r="P2447" s="387"/>
      <c r="Q2447" s="387"/>
    </row>
    <row r="2448" spans="15:17" ht="20.100000000000001" customHeight="1">
      <c r="O2448" s="387"/>
      <c r="P2448" s="387"/>
      <c r="Q2448" s="387"/>
    </row>
    <row r="2449" spans="15:17" ht="20.100000000000001" customHeight="1">
      <c r="O2449" s="387"/>
      <c r="P2449" s="387"/>
      <c r="Q2449" s="387"/>
    </row>
    <row r="2450" spans="15:17" ht="20.100000000000001" customHeight="1">
      <c r="O2450" s="387"/>
      <c r="P2450" s="387"/>
      <c r="Q2450" s="387"/>
    </row>
    <row r="2451" spans="15:17" ht="20.100000000000001" customHeight="1">
      <c r="O2451" s="387"/>
      <c r="P2451" s="387"/>
      <c r="Q2451" s="387"/>
    </row>
    <row r="2452" spans="15:17" ht="20.100000000000001" customHeight="1">
      <c r="O2452" s="387"/>
      <c r="P2452" s="387"/>
      <c r="Q2452" s="387"/>
    </row>
    <row r="2453" spans="15:17" ht="20.100000000000001" customHeight="1">
      <c r="O2453" s="387"/>
      <c r="P2453" s="387"/>
      <c r="Q2453" s="387"/>
    </row>
    <row r="2454" spans="15:17" ht="20.100000000000001" customHeight="1">
      <c r="O2454" s="387"/>
      <c r="P2454" s="387"/>
      <c r="Q2454" s="387"/>
    </row>
    <row r="2455" spans="15:17" ht="20.100000000000001" customHeight="1">
      <c r="O2455" s="387"/>
      <c r="P2455" s="387"/>
      <c r="Q2455" s="387"/>
    </row>
    <row r="2456" spans="15:17" ht="20.100000000000001" customHeight="1">
      <c r="O2456" s="387"/>
      <c r="P2456" s="387"/>
      <c r="Q2456" s="387"/>
    </row>
    <row r="2457" spans="15:17" ht="20.100000000000001" customHeight="1">
      <c r="O2457" s="387"/>
      <c r="P2457" s="387"/>
      <c r="Q2457" s="387"/>
    </row>
    <row r="2458" spans="15:17" ht="20.100000000000001" customHeight="1">
      <c r="O2458" s="387"/>
      <c r="P2458" s="387"/>
      <c r="Q2458" s="387"/>
    </row>
    <row r="2459" spans="15:17" ht="20.100000000000001" customHeight="1">
      <c r="O2459" s="387"/>
      <c r="P2459" s="387"/>
      <c r="Q2459" s="387"/>
    </row>
    <row r="2460" spans="15:17" ht="20.100000000000001" customHeight="1">
      <c r="O2460" s="387"/>
      <c r="P2460" s="387"/>
      <c r="Q2460" s="387"/>
    </row>
    <row r="2461" spans="15:17" ht="20.100000000000001" customHeight="1">
      <c r="O2461" s="387"/>
      <c r="P2461" s="387"/>
      <c r="Q2461" s="387"/>
    </row>
    <row r="2462" spans="15:17" ht="20.100000000000001" customHeight="1">
      <c r="O2462" s="387"/>
      <c r="P2462" s="387"/>
      <c r="Q2462" s="387"/>
    </row>
    <row r="2463" spans="15:17" ht="20.100000000000001" customHeight="1">
      <c r="O2463" s="387"/>
      <c r="P2463" s="387"/>
      <c r="Q2463" s="387"/>
    </row>
    <row r="2464" spans="15:17" ht="20.100000000000001" customHeight="1">
      <c r="O2464" s="387"/>
      <c r="P2464" s="387"/>
      <c r="Q2464" s="387"/>
    </row>
    <row r="2465" spans="15:17" ht="20.100000000000001" customHeight="1">
      <c r="O2465" s="387"/>
      <c r="P2465" s="387"/>
      <c r="Q2465" s="387"/>
    </row>
    <row r="2466" spans="15:17" ht="20.100000000000001" customHeight="1">
      <c r="O2466" s="387"/>
      <c r="P2466" s="387"/>
      <c r="Q2466" s="387"/>
    </row>
    <row r="2467" spans="15:17" ht="20.100000000000001" customHeight="1">
      <c r="O2467" s="387"/>
      <c r="P2467" s="387"/>
      <c r="Q2467" s="387"/>
    </row>
    <row r="2468" spans="15:17" ht="20.100000000000001" customHeight="1">
      <c r="O2468" s="387"/>
      <c r="P2468" s="387"/>
      <c r="Q2468" s="387"/>
    </row>
    <row r="2469" spans="15:17" ht="20.100000000000001" customHeight="1">
      <c r="O2469" s="387"/>
      <c r="P2469" s="387"/>
      <c r="Q2469" s="387"/>
    </row>
    <row r="2470" spans="15:17" ht="20.100000000000001" customHeight="1">
      <c r="O2470" s="387"/>
      <c r="P2470" s="387"/>
      <c r="Q2470" s="387"/>
    </row>
    <row r="2471" spans="15:17" ht="20.100000000000001" customHeight="1">
      <c r="O2471" s="387"/>
      <c r="P2471" s="387"/>
      <c r="Q2471" s="387"/>
    </row>
    <row r="2472" spans="15:17" ht="20.100000000000001" customHeight="1">
      <c r="O2472" s="387"/>
      <c r="P2472" s="387"/>
      <c r="Q2472" s="387"/>
    </row>
    <row r="2473" spans="15:17" ht="20.100000000000001" customHeight="1">
      <c r="O2473" s="387"/>
      <c r="P2473" s="387"/>
      <c r="Q2473" s="387"/>
    </row>
    <row r="2474" spans="15:17" ht="20.100000000000001" customHeight="1">
      <c r="O2474" s="387"/>
      <c r="P2474" s="387"/>
      <c r="Q2474" s="387"/>
    </row>
    <row r="2475" spans="15:17" ht="20.100000000000001" customHeight="1">
      <c r="O2475" s="387"/>
      <c r="P2475" s="387"/>
      <c r="Q2475" s="387"/>
    </row>
    <row r="2476" spans="15:17" ht="20.100000000000001" customHeight="1">
      <c r="O2476" s="387"/>
      <c r="P2476" s="387"/>
      <c r="Q2476" s="387"/>
    </row>
    <row r="2477" spans="15:17" ht="20.100000000000001" customHeight="1">
      <c r="O2477" s="387"/>
      <c r="P2477" s="387"/>
      <c r="Q2477" s="387"/>
    </row>
    <row r="2478" spans="15:17" ht="20.100000000000001" customHeight="1">
      <c r="O2478" s="387"/>
      <c r="P2478" s="387"/>
      <c r="Q2478" s="387"/>
    </row>
    <row r="2479" spans="15:17" ht="20.100000000000001" customHeight="1">
      <c r="O2479" s="387"/>
      <c r="P2479" s="387"/>
      <c r="Q2479" s="387"/>
    </row>
    <row r="2480" spans="15:17" ht="20.100000000000001" customHeight="1">
      <c r="O2480" s="387"/>
      <c r="P2480" s="387"/>
      <c r="Q2480" s="387"/>
    </row>
    <row r="2481" spans="15:17" ht="20.100000000000001" customHeight="1">
      <c r="O2481" s="387"/>
      <c r="P2481" s="387"/>
      <c r="Q2481" s="387"/>
    </row>
    <row r="2482" spans="15:17" ht="20.100000000000001" customHeight="1">
      <c r="O2482" s="387"/>
      <c r="P2482" s="387"/>
      <c r="Q2482" s="387"/>
    </row>
    <row r="2483" spans="15:17" ht="20.100000000000001" customHeight="1">
      <c r="O2483" s="387"/>
      <c r="P2483" s="387"/>
      <c r="Q2483" s="387"/>
    </row>
    <row r="2484" spans="15:17" ht="20.100000000000001" customHeight="1">
      <c r="O2484" s="387"/>
      <c r="P2484" s="387"/>
      <c r="Q2484" s="387"/>
    </row>
    <row r="2485" spans="15:17" ht="20.100000000000001" customHeight="1">
      <c r="O2485" s="387"/>
      <c r="P2485" s="387"/>
      <c r="Q2485" s="387"/>
    </row>
    <row r="2486" spans="15:17" ht="20.100000000000001" customHeight="1">
      <c r="O2486" s="387"/>
      <c r="P2486" s="387"/>
      <c r="Q2486" s="387"/>
    </row>
    <row r="2487" spans="15:17" ht="20.100000000000001" customHeight="1">
      <c r="O2487" s="387"/>
      <c r="P2487" s="387"/>
      <c r="Q2487" s="387"/>
    </row>
    <row r="2488" spans="15:17" ht="20.100000000000001" customHeight="1">
      <c r="O2488" s="387"/>
      <c r="P2488" s="387"/>
      <c r="Q2488" s="387"/>
    </row>
    <row r="2489" spans="15:17" ht="20.100000000000001" customHeight="1">
      <c r="O2489" s="387"/>
      <c r="P2489" s="387"/>
      <c r="Q2489" s="387"/>
    </row>
    <row r="2490" spans="15:17" ht="20.100000000000001" customHeight="1">
      <c r="O2490" s="387"/>
      <c r="P2490" s="387"/>
      <c r="Q2490" s="387"/>
    </row>
    <row r="2491" spans="15:17" ht="20.100000000000001" customHeight="1">
      <c r="O2491" s="387"/>
      <c r="P2491" s="387"/>
      <c r="Q2491" s="387"/>
    </row>
    <row r="2492" spans="15:17" ht="20.100000000000001" customHeight="1">
      <c r="O2492" s="387"/>
      <c r="P2492" s="387"/>
      <c r="Q2492" s="387"/>
    </row>
    <row r="2493" spans="15:17" ht="20.100000000000001" customHeight="1">
      <c r="O2493" s="387"/>
      <c r="P2493" s="387"/>
      <c r="Q2493" s="387"/>
    </row>
    <row r="2494" spans="15:17" ht="20.100000000000001" customHeight="1">
      <c r="O2494" s="387"/>
      <c r="P2494" s="387"/>
      <c r="Q2494" s="387"/>
    </row>
    <row r="2495" spans="15:17" ht="20.100000000000001" customHeight="1">
      <c r="O2495" s="387"/>
      <c r="P2495" s="387"/>
      <c r="Q2495" s="387"/>
    </row>
    <row r="2496" spans="15:17" ht="20.100000000000001" customHeight="1">
      <c r="O2496" s="387"/>
      <c r="P2496" s="387"/>
      <c r="Q2496" s="387"/>
    </row>
    <row r="2497" spans="15:17" ht="20.100000000000001" customHeight="1">
      <c r="O2497" s="387"/>
      <c r="P2497" s="387"/>
      <c r="Q2497" s="387"/>
    </row>
    <row r="2498" spans="15:17" ht="20.100000000000001" customHeight="1">
      <c r="O2498" s="387"/>
      <c r="P2498" s="387"/>
      <c r="Q2498" s="387"/>
    </row>
    <row r="2499" spans="15:17" ht="20.100000000000001" customHeight="1">
      <c r="O2499" s="387"/>
      <c r="P2499" s="387"/>
      <c r="Q2499" s="387"/>
    </row>
    <row r="2500" spans="15:17" ht="20.100000000000001" customHeight="1">
      <c r="O2500" s="387"/>
      <c r="P2500" s="387"/>
      <c r="Q2500" s="387"/>
    </row>
    <row r="2501" spans="15:17" ht="20.100000000000001" customHeight="1">
      <c r="O2501" s="387"/>
      <c r="P2501" s="387"/>
      <c r="Q2501" s="387"/>
    </row>
    <row r="2502" spans="15:17" ht="20.100000000000001" customHeight="1">
      <c r="O2502" s="387"/>
      <c r="P2502" s="387"/>
      <c r="Q2502" s="387"/>
    </row>
    <row r="2503" spans="15:17" ht="20.100000000000001" customHeight="1">
      <c r="O2503" s="387"/>
      <c r="P2503" s="387"/>
      <c r="Q2503" s="387"/>
    </row>
    <row r="2504" spans="15:17" ht="20.100000000000001" customHeight="1">
      <c r="O2504" s="387"/>
      <c r="P2504" s="387"/>
      <c r="Q2504" s="387"/>
    </row>
    <row r="2505" spans="15:17" ht="20.100000000000001" customHeight="1">
      <c r="O2505" s="387"/>
      <c r="P2505" s="387"/>
      <c r="Q2505" s="387"/>
    </row>
    <row r="2506" spans="15:17" ht="20.100000000000001" customHeight="1">
      <c r="O2506" s="387"/>
      <c r="P2506" s="387"/>
      <c r="Q2506" s="387"/>
    </row>
    <row r="2507" spans="15:17" ht="20.100000000000001" customHeight="1">
      <c r="O2507" s="387"/>
      <c r="P2507" s="387"/>
      <c r="Q2507" s="387"/>
    </row>
    <row r="2508" spans="15:17" ht="20.100000000000001" customHeight="1">
      <c r="O2508" s="387"/>
      <c r="P2508" s="387"/>
      <c r="Q2508" s="387"/>
    </row>
    <row r="2509" spans="15:17" ht="20.100000000000001" customHeight="1">
      <c r="O2509" s="387"/>
      <c r="P2509" s="387"/>
      <c r="Q2509" s="387"/>
    </row>
    <row r="2510" spans="15:17" ht="20.100000000000001" customHeight="1">
      <c r="O2510" s="387"/>
      <c r="P2510" s="387"/>
      <c r="Q2510" s="387"/>
    </row>
    <row r="2511" spans="15:17" ht="20.100000000000001" customHeight="1">
      <c r="O2511" s="387"/>
      <c r="P2511" s="387"/>
      <c r="Q2511" s="387"/>
    </row>
    <row r="2512" spans="15:17" ht="20.100000000000001" customHeight="1">
      <c r="O2512" s="387"/>
      <c r="P2512" s="387"/>
      <c r="Q2512" s="387"/>
    </row>
    <row r="2513" spans="15:17" ht="20.100000000000001" customHeight="1">
      <c r="O2513" s="387"/>
      <c r="P2513" s="387"/>
      <c r="Q2513" s="387"/>
    </row>
    <row r="2514" spans="15:17" ht="20.100000000000001" customHeight="1">
      <c r="O2514" s="387"/>
      <c r="P2514" s="387"/>
      <c r="Q2514" s="387"/>
    </row>
    <row r="2515" spans="15:17" ht="20.100000000000001" customHeight="1">
      <c r="O2515" s="387"/>
      <c r="P2515" s="387"/>
      <c r="Q2515" s="387"/>
    </row>
    <row r="2516" spans="15:17" ht="20.100000000000001" customHeight="1">
      <c r="O2516" s="387"/>
      <c r="P2516" s="387"/>
      <c r="Q2516" s="387"/>
    </row>
    <row r="2517" spans="15:17" ht="20.100000000000001" customHeight="1">
      <c r="O2517" s="387"/>
      <c r="P2517" s="387"/>
      <c r="Q2517" s="387"/>
    </row>
    <row r="2518" spans="15:17" ht="20.100000000000001" customHeight="1">
      <c r="O2518" s="387"/>
      <c r="P2518" s="387"/>
      <c r="Q2518" s="387"/>
    </row>
    <row r="2519" spans="15:17" ht="20.100000000000001" customHeight="1">
      <c r="O2519" s="387"/>
      <c r="P2519" s="387"/>
      <c r="Q2519" s="387"/>
    </row>
    <row r="2520" spans="15:17" ht="20.100000000000001" customHeight="1">
      <c r="O2520" s="387"/>
      <c r="P2520" s="387"/>
      <c r="Q2520" s="387"/>
    </row>
    <row r="2521" spans="15:17" ht="20.100000000000001" customHeight="1">
      <c r="O2521" s="387"/>
      <c r="P2521" s="387"/>
      <c r="Q2521" s="387"/>
    </row>
    <row r="2522" spans="15:17" ht="20.100000000000001" customHeight="1">
      <c r="O2522" s="387"/>
      <c r="P2522" s="387"/>
      <c r="Q2522" s="387"/>
    </row>
    <row r="2523" spans="15:17" ht="20.100000000000001" customHeight="1">
      <c r="O2523" s="387"/>
      <c r="P2523" s="387"/>
      <c r="Q2523" s="387"/>
    </row>
    <row r="2524" spans="15:17" ht="20.100000000000001" customHeight="1">
      <c r="O2524" s="387"/>
      <c r="P2524" s="387"/>
      <c r="Q2524" s="387"/>
    </row>
    <row r="2525" spans="15:17" ht="20.100000000000001" customHeight="1">
      <c r="O2525" s="387"/>
      <c r="P2525" s="387"/>
      <c r="Q2525" s="387"/>
    </row>
    <row r="2526" spans="15:17" ht="20.100000000000001" customHeight="1">
      <c r="O2526" s="387"/>
      <c r="P2526" s="387"/>
      <c r="Q2526" s="387"/>
    </row>
    <row r="2527" spans="15:17" ht="20.100000000000001" customHeight="1">
      <c r="O2527" s="387"/>
      <c r="P2527" s="387"/>
      <c r="Q2527" s="387"/>
    </row>
    <row r="2528" spans="15:17" ht="20.100000000000001" customHeight="1">
      <c r="O2528" s="387"/>
      <c r="P2528" s="387"/>
      <c r="Q2528" s="387"/>
    </row>
    <row r="2529" spans="15:17" ht="20.100000000000001" customHeight="1">
      <c r="O2529" s="387"/>
      <c r="P2529" s="387"/>
      <c r="Q2529" s="387"/>
    </row>
    <row r="2530" spans="15:17" ht="20.100000000000001" customHeight="1">
      <c r="O2530" s="387"/>
      <c r="P2530" s="387"/>
      <c r="Q2530" s="387"/>
    </row>
    <row r="2531" spans="15:17" ht="20.100000000000001" customHeight="1">
      <c r="O2531" s="387"/>
      <c r="P2531" s="387"/>
      <c r="Q2531" s="387"/>
    </row>
    <row r="2532" spans="15:17" ht="20.100000000000001" customHeight="1">
      <c r="O2532" s="387"/>
      <c r="P2532" s="387"/>
      <c r="Q2532" s="387"/>
    </row>
    <row r="2533" spans="15:17" ht="20.100000000000001" customHeight="1">
      <c r="O2533" s="387"/>
      <c r="P2533" s="387"/>
      <c r="Q2533" s="387"/>
    </row>
    <row r="2534" spans="15:17" ht="20.100000000000001" customHeight="1">
      <c r="O2534" s="387"/>
      <c r="P2534" s="387"/>
      <c r="Q2534" s="387"/>
    </row>
    <row r="2535" spans="15:17" ht="20.100000000000001" customHeight="1">
      <c r="O2535" s="387"/>
      <c r="P2535" s="387"/>
      <c r="Q2535" s="387"/>
    </row>
    <row r="2536" spans="15:17" ht="20.100000000000001" customHeight="1">
      <c r="O2536" s="387"/>
      <c r="P2536" s="387"/>
      <c r="Q2536" s="387"/>
    </row>
    <row r="2537" spans="15:17" ht="20.100000000000001" customHeight="1">
      <c r="O2537" s="387"/>
      <c r="P2537" s="387"/>
      <c r="Q2537" s="387"/>
    </row>
    <row r="2538" spans="15:17" ht="20.100000000000001" customHeight="1">
      <c r="O2538" s="387"/>
      <c r="P2538" s="387"/>
      <c r="Q2538" s="387"/>
    </row>
    <row r="2539" spans="15:17" ht="20.100000000000001" customHeight="1">
      <c r="O2539" s="387"/>
      <c r="P2539" s="387"/>
      <c r="Q2539" s="387"/>
    </row>
    <row r="2540" spans="15:17" ht="20.100000000000001" customHeight="1">
      <c r="O2540" s="387"/>
      <c r="P2540" s="387"/>
      <c r="Q2540" s="387"/>
    </row>
    <row r="2541" spans="15:17" ht="20.100000000000001" customHeight="1">
      <c r="O2541" s="387"/>
      <c r="P2541" s="387"/>
      <c r="Q2541" s="387"/>
    </row>
    <row r="2542" spans="15:17" ht="20.100000000000001" customHeight="1">
      <c r="O2542" s="387"/>
      <c r="P2542" s="387"/>
      <c r="Q2542" s="387"/>
    </row>
    <row r="2543" spans="15:17" ht="20.100000000000001" customHeight="1">
      <c r="O2543" s="387"/>
      <c r="P2543" s="387"/>
      <c r="Q2543" s="387"/>
    </row>
    <row r="2544" spans="15:17" ht="20.100000000000001" customHeight="1">
      <c r="O2544" s="387"/>
      <c r="P2544" s="387"/>
      <c r="Q2544" s="387"/>
    </row>
    <row r="2545" spans="15:17" ht="20.100000000000001" customHeight="1">
      <c r="O2545" s="387"/>
      <c r="P2545" s="387"/>
      <c r="Q2545" s="387"/>
    </row>
    <row r="2546" spans="15:17" ht="20.100000000000001" customHeight="1">
      <c r="O2546" s="387"/>
      <c r="P2546" s="387"/>
      <c r="Q2546" s="387"/>
    </row>
    <row r="2547" spans="15:17" ht="20.100000000000001" customHeight="1">
      <c r="O2547" s="387"/>
      <c r="P2547" s="387"/>
      <c r="Q2547" s="387"/>
    </row>
    <row r="2548" spans="15:17" ht="20.100000000000001" customHeight="1">
      <c r="O2548" s="387"/>
      <c r="P2548" s="387"/>
      <c r="Q2548" s="387"/>
    </row>
    <row r="2549" spans="15:17" ht="20.100000000000001" customHeight="1">
      <c r="O2549" s="387"/>
      <c r="P2549" s="387"/>
      <c r="Q2549" s="387"/>
    </row>
    <row r="2550" spans="15:17" ht="20.100000000000001" customHeight="1">
      <c r="O2550" s="387"/>
      <c r="P2550" s="387"/>
      <c r="Q2550" s="387"/>
    </row>
    <row r="2551" spans="15:17" ht="20.100000000000001" customHeight="1">
      <c r="O2551" s="387"/>
      <c r="P2551" s="387"/>
      <c r="Q2551" s="387"/>
    </row>
    <row r="2552" spans="15:17" ht="20.100000000000001" customHeight="1">
      <c r="O2552" s="387"/>
      <c r="P2552" s="387"/>
      <c r="Q2552" s="387"/>
    </row>
    <row r="2553" spans="15:17" ht="20.100000000000001" customHeight="1">
      <c r="O2553" s="387"/>
      <c r="P2553" s="387"/>
      <c r="Q2553" s="387"/>
    </row>
    <row r="2554" spans="15:17" ht="20.100000000000001" customHeight="1">
      <c r="O2554" s="387"/>
      <c r="P2554" s="387"/>
      <c r="Q2554" s="387"/>
    </row>
    <row r="2555" spans="15:17" ht="20.100000000000001" customHeight="1">
      <c r="O2555" s="387"/>
      <c r="P2555" s="387"/>
      <c r="Q2555" s="387"/>
    </row>
    <row r="2556" spans="15:17" ht="20.100000000000001" customHeight="1">
      <c r="O2556" s="387"/>
      <c r="P2556" s="387"/>
      <c r="Q2556" s="387"/>
    </row>
    <row r="2557" spans="15:17" ht="20.100000000000001" customHeight="1">
      <c r="O2557" s="387"/>
      <c r="P2557" s="387"/>
      <c r="Q2557" s="387"/>
    </row>
    <row r="2558" spans="15:17" ht="20.100000000000001" customHeight="1">
      <c r="O2558" s="387"/>
      <c r="P2558" s="387"/>
      <c r="Q2558" s="387"/>
    </row>
    <row r="2559" spans="15:17" ht="20.100000000000001" customHeight="1">
      <c r="O2559" s="387"/>
      <c r="P2559" s="387"/>
      <c r="Q2559" s="387"/>
    </row>
    <row r="2560" spans="15:17" ht="20.100000000000001" customHeight="1">
      <c r="O2560" s="387"/>
      <c r="P2560" s="387"/>
      <c r="Q2560" s="387"/>
    </row>
    <row r="2561" spans="15:17" ht="20.100000000000001" customHeight="1">
      <c r="O2561" s="387"/>
      <c r="P2561" s="387"/>
      <c r="Q2561" s="387"/>
    </row>
    <row r="2562" spans="15:17" ht="20.100000000000001" customHeight="1">
      <c r="O2562" s="387"/>
      <c r="P2562" s="387"/>
      <c r="Q2562" s="387"/>
    </row>
    <row r="2563" spans="15:17" ht="20.100000000000001" customHeight="1">
      <c r="O2563" s="387"/>
      <c r="P2563" s="387"/>
      <c r="Q2563" s="387"/>
    </row>
    <row r="2564" spans="15:17" ht="20.100000000000001" customHeight="1">
      <c r="O2564" s="387"/>
      <c r="P2564" s="387"/>
      <c r="Q2564" s="387"/>
    </row>
    <row r="2565" spans="15:17" ht="20.100000000000001" customHeight="1">
      <c r="O2565" s="387"/>
      <c r="P2565" s="387"/>
      <c r="Q2565" s="387"/>
    </row>
    <row r="2566" spans="15:17" ht="20.100000000000001" customHeight="1">
      <c r="O2566" s="387"/>
      <c r="P2566" s="387"/>
      <c r="Q2566" s="387"/>
    </row>
    <row r="2567" spans="15:17" ht="20.100000000000001" customHeight="1">
      <c r="O2567" s="387"/>
      <c r="P2567" s="387"/>
      <c r="Q2567" s="387"/>
    </row>
    <row r="2568" spans="15:17" ht="20.100000000000001" customHeight="1">
      <c r="O2568" s="387"/>
      <c r="P2568" s="387"/>
      <c r="Q2568" s="387"/>
    </row>
    <row r="2569" spans="15:17" ht="20.100000000000001" customHeight="1">
      <c r="O2569" s="387"/>
      <c r="P2569" s="387"/>
      <c r="Q2569" s="387"/>
    </row>
    <row r="2570" spans="15:17" ht="20.100000000000001" customHeight="1">
      <c r="O2570" s="387"/>
      <c r="P2570" s="387"/>
      <c r="Q2570" s="387"/>
    </row>
    <row r="2571" spans="15:17" ht="20.100000000000001" customHeight="1">
      <c r="O2571" s="387"/>
      <c r="P2571" s="387"/>
      <c r="Q2571" s="387"/>
    </row>
    <row r="2572" spans="15:17" ht="20.100000000000001" customHeight="1">
      <c r="O2572" s="387"/>
      <c r="P2572" s="387"/>
      <c r="Q2572" s="387"/>
    </row>
    <row r="2573" spans="15:17" ht="20.100000000000001" customHeight="1">
      <c r="O2573" s="387"/>
      <c r="P2573" s="387"/>
      <c r="Q2573" s="387"/>
    </row>
    <row r="2574" spans="15:17" ht="20.100000000000001" customHeight="1">
      <c r="O2574" s="387"/>
      <c r="P2574" s="387"/>
      <c r="Q2574" s="387"/>
    </row>
    <row r="2575" spans="15:17" ht="20.100000000000001" customHeight="1">
      <c r="O2575" s="387"/>
      <c r="P2575" s="387"/>
      <c r="Q2575" s="387"/>
    </row>
    <row r="2576" spans="15:17" ht="20.100000000000001" customHeight="1">
      <c r="O2576" s="387"/>
      <c r="P2576" s="387"/>
      <c r="Q2576" s="387"/>
    </row>
    <row r="2577" spans="15:17" ht="20.100000000000001" customHeight="1">
      <c r="O2577" s="387"/>
      <c r="P2577" s="387"/>
      <c r="Q2577" s="387"/>
    </row>
    <row r="2578" spans="15:17" ht="20.100000000000001" customHeight="1">
      <c r="O2578" s="387"/>
      <c r="P2578" s="387"/>
      <c r="Q2578" s="387"/>
    </row>
    <row r="2579" spans="15:17" ht="20.100000000000001" customHeight="1">
      <c r="O2579" s="387"/>
      <c r="P2579" s="387"/>
      <c r="Q2579" s="387"/>
    </row>
    <row r="2580" spans="15:17" ht="20.100000000000001" customHeight="1">
      <c r="O2580" s="387"/>
      <c r="P2580" s="387"/>
      <c r="Q2580" s="387"/>
    </row>
    <row r="2581" spans="15:17" ht="20.100000000000001" customHeight="1">
      <c r="O2581" s="387"/>
      <c r="P2581" s="387"/>
      <c r="Q2581" s="387"/>
    </row>
    <row r="2582" spans="15:17" ht="20.100000000000001" customHeight="1">
      <c r="O2582" s="387"/>
      <c r="P2582" s="387"/>
      <c r="Q2582" s="387"/>
    </row>
    <row r="2583" spans="15:17" ht="20.100000000000001" customHeight="1">
      <c r="O2583" s="387"/>
      <c r="P2583" s="387"/>
      <c r="Q2583" s="387"/>
    </row>
    <row r="2584" spans="15:17" ht="20.100000000000001" customHeight="1">
      <c r="O2584" s="387"/>
      <c r="P2584" s="387"/>
      <c r="Q2584" s="387"/>
    </row>
    <row r="2585" spans="15:17" ht="20.100000000000001" customHeight="1">
      <c r="O2585" s="387"/>
      <c r="P2585" s="387"/>
      <c r="Q2585" s="387"/>
    </row>
    <row r="2586" spans="15:17" ht="20.100000000000001" customHeight="1">
      <c r="O2586" s="387"/>
      <c r="P2586" s="387"/>
      <c r="Q2586" s="387"/>
    </row>
    <row r="2587" spans="15:17" ht="20.100000000000001" customHeight="1">
      <c r="O2587" s="387"/>
      <c r="P2587" s="387"/>
      <c r="Q2587" s="387"/>
    </row>
    <row r="2588" spans="15:17" ht="20.100000000000001" customHeight="1">
      <c r="O2588" s="387"/>
      <c r="P2588" s="387"/>
      <c r="Q2588" s="387"/>
    </row>
    <row r="2589" spans="15:17" ht="20.100000000000001" customHeight="1">
      <c r="O2589" s="387"/>
      <c r="P2589" s="387"/>
      <c r="Q2589" s="387"/>
    </row>
    <row r="2590" spans="15:17" ht="20.100000000000001" customHeight="1">
      <c r="O2590" s="387"/>
      <c r="P2590" s="387"/>
      <c r="Q2590" s="387"/>
    </row>
    <row r="2591" spans="15:17" ht="20.100000000000001" customHeight="1">
      <c r="O2591" s="387"/>
      <c r="P2591" s="387"/>
      <c r="Q2591" s="387"/>
    </row>
    <row r="2592" spans="15:17" ht="20.100000000000001" customHeight="1">
      <c r="O2592" s="387"/>
      <c r="P2592" s="387"/>
      <c r="Q2592" s="387"/>
    </row>
    <row r="2593" spans="15:17" ht="20.100000000000001" customHeight="1">
      <c r="O2593" s="387"/>
      <c r="P2593" s="387"/>
      <c r="Q2593" s="387"/>
    </row>
    <row r="2594" spans="15:17" ht="20.100000000000001" customHeight="1">
      <c r="O2594" s="387"/>
      <c r="P2594" s="387"/>
      <c r="Q2594" s="387"/>
    </row>
    <row r="2595" spans="15:17" ht="20.100000000000001" customHeight="1">
      <c r="O2595" s="387"/>
      <c r="P2595" s="387"/>
      <c r="Q2595" s="387"/>
    </row>
    <row r="2596" spans="15:17" ht="20.100000000000001" customHeight="1">
      <c r="O2596" s="387"/>
      <c r="P2596" s="387"/>
      <c r="Q2596" s="387"/>
    </row>
    <row r="2597" spans="15:17" ht="20.100000000000001" customHeight="1">
      <c r="O2597" s="387"/>
      <c r="P2597" s="387"/>
      <c r="Q2597" s="387"/>
    </row>
    <row r="2598" spans="15:17" ht="20.100000000000001" customHeight="1">
      <c r="O2598" s="387"/>
      <c r="P2598" s="387"/>
      <c r="Q2598" s="387"/>
    </row>
    <row r="2599" spans="15:17" ht="20.100000000000001" customHeight="1">
      <c r="O2599" s="387"/>
      <c r="P2599" s="387"/>
      <c r="Q2599" s="387"/>
    </row>
    <row r="2600" spans="15:17" ht="20.100000000000001" customHeight="1">
      <c r="O2600" s="387"/>
      <c r="P2600" s="387"/>
      <c r="Q2600" s="387"/>
    </row>
    <row r="2601" spans="15:17" ht="20.100000000000001" customHeight="1">
      <c r="O2601" s="387"/>
      <c r="P2601" s="387"/>
      <c r="Q2601" s="387"/>
    </row>
    <row r="2602" spans="15:17" ht="20.100000000000001" customHeight="1">
      <c r="O2602" s="387"/>
      <c r="P2602" s="387"/>
      <c r="Q2602" s="387"/>
    </row>
    <row r="2603" spans="15:17" ht="20.100000000000001" customHeight="1">
      <c r="O2603" s="387"/>
      <c r="P2603" s="387"/>
      <c r="Q2603" s="387"/>
    </row>
    <row r="2604" spans="15:17" ht="20.100000000000001" customHeight="1">
      <c r="O2604" s="387"/>
      <c r="P2604" s="387"/>
      <c r="Q2604" s="387"/>
    </row>
    <row r="2605" spans="15:17" ht="20.100000000000001" customHeight="1">
      <c r="O2605" s="387"/>
      <c r="P2605" s="387"/>
      <c r="Q2605" s="387"/>
    </row>
    <row r="2606" spans="15:17" ht="20.100000000000001" customHeight="1">
      <c r="O2606" s="387"/>
      <c r="P2606" s="387"/>
      <c r="Q2606" s="387"/>
    </row>
    <row r="2607" spans="15:17" ht="20.100000000000001" customHeight="1">
      <c r="O2607" s="387"/>
      <c r="P2607" s="387"/>
      <c r="Q2607" s="387"/>
    </row>
    <row r="2608" spans="15:17" ht="20.100000000000001" customHeight="1">
      <c r="O2608" s="387"/>
      <c r="P2608" s="387"/>
      <c r="Q2608" s="387"/>
    </row>
    <row r="2609" spans="15:17" ht="20.100000000000001" customHeight="1">
      <c r="O2609" s="387"/>
      <c r="P2609" s="387"/>
      <c r="Q2609" s="387"/>
    </row>
    <row r="2610" spans="15:17" ht="20.100000000000001" customHeight="1">
      <c r="O2610" s="387"/>
      <c r="P2610" s="387"/>
      <c r="Q2610" s="387"/>
    </row>
    <row r="2611" spans="15:17" ht="20.100000000000001" customHeight="1">
      <c r="O2611" s="387"/>
      <c r="P2611" s="387"/>
      <c r="Q2611" s="387"/>
    </row>
    <row r="2612" spans="15:17" ht="20.100000000000001" customHeight="1">
      <c r="O2612" s="387"/>
      <c r="P2612" s="387"/>
      <c r="Q2612" s="387"/>
    </row>
    <row r="2613" spans="15:17" ht="20.100000000000001" customHeight="1">
      <c r="O2613" s="387"/>
      <c r="P2613" s="387"/>
      <c r="Q2613" s="387"/>
    </row>
    <row r="2614" spans="15:17" ht="20.100000000000001" customHeight="1">
      <c r="O2614" s="387"/>
      <c r="P2614" s="387"/>
      <c r="Q2614" s="387"/>
    </row>
    <row r="2615" spans="15:17" ht="20.100000000000001" customHeight="1">
      <c r="O2615" s="387"/>
      <c r="P2615" s="387"/>
      <c r="Q2615" s="387"/>
    </row>
    <row r="2616" spans="15:17" ht="20.100000000000001" customHeight="1">
      <c r="O2616" s="387"/>
      <c r="P2616" s="387"/>
      <c r="Q2616" s="387"/>
    </row>
    <row r="2617" spans="15:17" ht="20.100000000000001" customHeight="1">
      <c r="O2617" s="387"/>
      <c r="P2617" s="387"/>
      <c r="Q2617" s="387"/>
    </row>
    <row r="2618" spans="15:17" ht="20.100000000000001" customHeight="1">
      <c r="O2618" s="387"/>
      <c r="P2618" s="387"/>
      <c r="Q2618" s="387"/>
    </row>
    <row r="2619" spans="15:17" ht="20.100000000000001" customHeight="1">
      <c r="O2619" s="387"/>
      <c r="P2619" s="387"/>
      <c r="Q2619" s="387"/>
    </row>
    <row r="2620" spans="15:17" ht="20.100000000000001" customHeight="1">
      <c r="O2620" s="387"/>
      <c r="P2620" s="387"/>
      <c r="Q2620" s="387"/>
    </row>
    <row r="2621" spans="15:17" ht="20.100000000000001" customHeight="1">
      <c r="O2621" s="387"/>
      <c r="P2621" s="387"/>
      <c r="Q2621" s="387"/>
    </row>
    <row r="2622" spans="15:17" ht="20.100000000000001" customHeight="1">
      <c r="O2622" s="387"/>
      <c r="P2622" s="387"/>
      <c r="Q2622" s="387"/>
    </row>
    <row r="2623" spans="15:17" ht="20.100000000000001" customHeight="1">
      <c r="O2623" s="387"/>
      <c r="P2623" s="387"/>
      <c r="Q2623" s="387"/>
    </row>
    <row r="2624" spans="15:17" ht="20.100000000000001" customHeight="1">
      <c r="O2624" s="387"/>
      <c r="P2624" s="387"/>
      <c r="Q2624" s="387"/>
    </row>
    <row r="2625" spans="15:17" ht="20.100000000000001" customHeight="1">
      <c r="O2625" s="387"/>
      <c r="P2625" s="387"/>
      <c r="Q2625" s="387"/>
    </row>
    <row r="2626" spans="15:17" ht="20.100000000000001" customHeight="1">
      <c r="O2626" s="387"/>
      <c r="P2626" s="387"/>
      <c r="Q2626" s="387"/>
    </row>
    <row r="2627" spans="15:17" ht="20.100000000000001" customHeight="1">
      <c r="O2627" s="387"/>
      <c r="P2627" s="387"/>
      <c r="Q2627" s="387"/>
    </row>
    <row r="2628" spans="15:17" ht="20.100000000000001" customHeight="1">
      <c r="O2628" s="387"/>
      <c r="P2628" s="387"/>
      <c r="Q2628" s="387"/>
    </row>
    <row r="2629" spans="15:17" ht="20.100000000000001" customHeight="1">
      <c r="O2629" s="387"/>
      <c r="P2629" s="387"/>
      <c r="Q2629" s="387"/>
    </row>
    <row r="2630" spans="15:17" ht="20.100000000000001" customHeight="1">
      <c r="O2630" s="387"/>
      <c r="P2630" s="387"/>
      <c r="Q2630" s="387"/>
    </row>
    <row r="2631" spans="15:17" ht="20.100000000000001" customHeight="1">
      <c r="O2631" s="387"/>
      <c r="P2631" s="387"/>
      <c r="Q2631" s="387"/>
    </row>
    <row r="2632" spans="15:17" ht="20.100000000000001" customHeight="1">
      <c r="O2632" s="387"/>
      <c r="P2632" s="387"/>
      <c r="Q2632" s="387"/>
    </row>
    <row r="2633" spans="15:17" ht="20.100000000000001" customHeight="1">
      <c r="O2633" s="387"/>
      <c r="P2633" s="387"/>
      <c r="Q2633" s="387"/>
    </row>
    <row r="2634" spans="15:17" ht="20.100000000000001" customHeight="1">
      <c r="O2634" s="387"/>
      <c r="P2634" s="387"/>
      <c r="Q2634" s="387"/>
    </row>
    <row r="2635" spans="15:17" ht="20.100000000000001" customHeight="1">
      <c r="O2635" s="387"/>
      <c r="P2635" s="387"/>
      <c r="Q2635" s="387"/>
    </row>
    <row r="2636" spans="15:17" ht="20.100000000000001" customHeight="1">
      <c r="O2636" s="387"/>
      <c r="P2636" s="387"/>
      <c r="Q2636" s="387"/>
    </row>
    <row r="2637" spans="15:17" ht="20.100000000000001" customHeight="1">
      <c r="O2637" s="387"/>
      <c r="P2637" s="387"/>
      <c r="Q2637" s="387"/>
    </row>
    <row r="2638" spans="15:17" ht="20.100000000000001" customHeight="1">
      <c r="O2638" s="387"/>
      <c r="P2638" s="387"/>
      <c r="Q2638" s="387"/>
    </row>
    <row r="2639" spans="15:17" ht="20.100000000000001" customHeight="1">
      <c r="O2639" s="387"/>
      <c r="P2639" s="387"/>
      <c r="Q2639" s="387"/>
    </row>
    <row r="2640" spans="15:17" ht="20.100000000000001" customHeight="1">
      <c r="O2640" s="387"/>
      <c r="P2640" s="387"/>
      <c r="Q2640" s="387"/>
    </row>
    <row r="2641" spans="15:17" ht="20.100000000000001" customHeight="1">
      <c r="O2641" s="387"/>
      <c r="P2641" s="387"/>
      <c r="Q2641" s="387"/>
    </row>
    <row r="2642" spans="15:17" ht="20.100000000000001" customHeight="1">
      <c r="O2642" s="387"/>
      <c r="P2642" s="387"/>
      <c r="Q2642" s="387"/>
    </row>
    <row r="2643" spans="15:17" ht="20.100000000000001" customHeight="1">
      <c r="O2643" s="387"/>
      <c r="P2643" s="387"/>
      <c r="Q2643" s="387"/>
    </row>
    <row r="2644" spans="15:17" ht="20.100000000000001" customHeight="1">
      <c r="O2644" s="387"/>
      <c r="P2644" s="387"/>
      <c r="Q2644" s="387"/>
    </row>
    <row r="2645" spans="15:17" ht="20.100000000000001" customHeight="1">
      <c r="O2645" s="387"/>
      <c r="P2645" s="387"/>
      <c r="Q2645" s="387"/>
    </row>
    <row r="2646" spans="15:17" ht="20.100000000000001" customHeight="1">
      <c r="O2646" s="387"/>
      <c r="P2646" s="387"/>
      <c r="Q2646" s="387"/>
    </row>
    <row r="2647" spans="15:17" ht="20.100000000000001" customHeight="1">
      <c r="O2647" s="387"/>
      <c r="P2647" s="387"/>
      <c r="Q2647" s="387"/>
    </row>
    <row r="2648" spans="15:17" ht="20.100000000000001" customHeight="1">
      <c r="O2648" s="387"/>
      <c r="P2648" s="387"/>
      <c r="Q2648" s="387"/>
    </row>
    <row r="2649" spans="15:17" ht="20.100000000000001" customHeight="1">
      <c r="O2649" s="387"/>
      <c r="P2649" s="387"/>
      <c r="Q2649" s="387"/>
    </row>
    <row r="2650" spans="15:17" ht="20.100000000000001" customHeight="1">
      <c r="O2650" s="387"/>
      <c r="P2650" s="387"/>
      <c r="Q2650" s="387"/>
    </row>
    <row r="2651" spans="15:17" ht="20.100000000000001" customHeight="1">
      <c r="O2651" s="387"/>
      <c r="P2651" s="387"/>
      <c r="Q2651" s="387"/>
    </row>
    <row r="2652" spans="15:17" ht="20.100000000000001" customHeight="1">
      <c r="O2652" s="387"/>
      <c r="P2652" s="387"/>
      <c r="Q2652" s="387"/>
    </row>
    <row r="2653" spans="15:17" ht="20.100000000000001" customHeight="1">
      <c r="O2653" s="387"/>
      <c r="P2653" s="387"/>
      <c r="Q2653" s="387"/>
    </row>
    <row r="2654" spans="15:17" ht="20.100000000000001" customHeight="1">
      <c r="O2654" s="387"/>
      <c r="P2654" s="387"/>
      <c r="Q2654" s="387"/>
    </row>
    <row r="2655" spans="15:17" ht="20.100000000000001" customHeight="1">
      <c r="O2655" s="387"/>
      <c r="P2655" s="387"/>
      <c r="Q2655" s="387"/>
    </row>
    <row r="2656" spans="15:17" ht="20.100000000000001" customHeight="1">
      <c r="O2656" s="387"/>
      <c r="P2656" s="387"/>
      <c r="Q2656" s="387"/>
    </row>
    <row r="2657" spans="15:17" ht="20.100000000000001" customHeight="1">
      <c r="O2657" s="387"/>
      <c r="P2657" s="387"/>
      <c r="Q2657" s="387"/>
    </row>
    <row r="2658" spans="15:17" ht="20.100000000000001" customHeight="1">
      <c r="O2658" s="387"/>
      <c r="P2658" s="387"/>
      <c r="Q2658" s="387"/>
    </row>
    <row r="2659" spans="15:17" ht="20.100000000000001" customHeight="1">
      <c r="O2659" s="387"/>
      <c r="P2659" s="387"/>
      <c r="Q2659" s="387"/>
    </row>
    <row r="2660" spans="15:17" ht="20.100000000000001" customHeight="1">
      <c r="O2660" s="387"/>
      <c r="P2660" s="387"/>
      <c r="Q2660" s="387"/>
    </row>
    <row r="2661" spans="15:17" ht="20.100000000000001" customHeight="1">
      <c r="O2661" s="387"/>
      <c r="P2661" s="387"/>
      <c r="Q2661" s="387"/>
    </row>
    <row r="2662" spans="15:17" ht="20.100000000000001" customHeight="1">
      <c r="O2662" s="387"/>
      <c r="P2662" s="387"/>
      <c r="Q2662" s="387"/>
    </row>
    <row r="2663" spans="15:17" ht="20.100000000000001" customHeight="1">
      <c r="O2663" s="387"/>
      <c r="P2663" s="387"/>
      <c r="Q2663" s="387"/>
    </row>
    <row r="2664" spans="15:17" ht="20.100000000000001" customHeight="1">
      <c r="O2664" s="387"/>
      <c r="P2664" s="387"/>
      <c r="Q2664" s="387"/>
    </row>
    <row r="2665" spans="15:17" ht="20.100000000000001" customHeight="1">
      <c r="O2665" s="387"/>
      <c r="P2665" s="387"/>
      <c r="Q2665" s="387"/>
    </row>
    <row r="2666" spans="15:17" ht="20.100000000000001" customHeight="1">
      <c r="O2666" s="387"/>
      <c r="P2666" s="387"/>
      <c r="Q2666" s="387"/>
    </row>
    <row r="2667" spans="15:17" ht="20.100000000000001" customHeight="1">
      <c r="O2667" s="387"/>
      <c r="P2667" s="387"/>
      <c r="Q2667" s="387"/>
    </row>
    <row r="2668" spans="15:17" ht="20.100000000000001" customHeight="1">
      <c r="O2668" s="387"/>
      <c r="P2668" s="387"/>
      <c r="Q2668" s="387"/>
    </row>
    <row r="2669" spans="15:17" ht="20.100000000000001" customHeight="1">
      <c r="O2669" s="387"/>
      <c r="P2669" s="387"/>
      <c r="Q2669" s="387"/>
    </row>
    <row r="2670" spans="15:17" ht="20.100000000000001" customHeight="1">
      <c r="O2670" s="387"/>
      <c r="P2670" s="387"/>
      <c r="Q2670" s="387"/>
    </row>
    <row r="2671" spans="15:17" ht="20.100000000000001" customHeight="1">
      <c r="O2671" s="387"/>
      <c r="P2671" s="387"/>
      <c r="Q2671" s="387"/>
    </row>
    <row r="2672" spans="15:17" ht="20.100000000000001" customHeight="1">
      <c r="O2672" s="387"/>
      <c r="P2672" s="387"/>
      <c r="Q2672" s="387"/>
    </row>
    <row r="2673" spans="15:17" ht="20.100000000000001" customHeight="1">
      <c r="O2673" s="387"/>
      <c r="P2673" s="387"/>
      <c r="Q2673" s="387"/>
    </row>
    <row r="2674" spans="15:17" ht="20.100000000000001" customHeight="1">
      <c r="O2674" s="387"/>
      <c r="P2674" s="387"/>
      <c r="Q2674" s="387"/>
    </row>
    <row r="2675" spans="15:17" ht="20.100000000000001" customHeight="1">
      <c r="O2675" s="387"/>
      <c r="P2675" s="387"/>
      <c r="Q2675" s="387"/>
    </row>
    <row r="2676" spans="15:17" ht="20.100000000000001" customHeight="1">
      <c r="O2676" s="387"/>
      <c r="P2676" s="387"/>
      <c r="Q2676" s="387"/>
    </row>
    <row r="2677" spans="15:17" ht="20.100000000000001" customHeight="1">
      <c r="O2677" s="387"/>
      <c r="P2677" s="387"/>
      <c r="Q2677" s="387"/>
    </row>
    <row r="2678" spans="15:17" ht="20.100000000000001" customHeight="1">
      <c r="O2678" s="387"/>
      <c r="P2678" s="387"/>
      <c r="Q2678" s="387"/>
    </row>
    <row r="2679" spans="15:17" ht="20.100000000000001" customHeight="1">
      <c r="O2679" s="387"/>
      <c r="P2679" s="387"/>
      <c r="Q2679" s="387"/>
    </row>
    <row r="2680" spans="15:17" ht="20.100000000000001" customHeight="1">
      <c r="O2680" s="387"/>
      <c r="P2680" s="387"/>
      <c r="Q2680" s="387"/>
    </row>
    <row r="2681" spans="15:17" ht="20.100000000000001" customHeight="1">
      <c r="O2681" s="387"/>
      <c r="P2681" s="387"/>
      <c r="Q2681" s="387"/>
    </row>
    <row r="2682" spans="15:17" ht="20.100000000000001" customHeight="1">
      <c r="O2682" s="387"/>
      <c r="P2682" s="387"/>
      <c r="Q2682" s="387"/>
    </row>
    <row r="2683" spans="15:17" ht="20.100000000000001" customHeight="1">
      <c r="O2683" s="387"/>
      <c r="P2683" s="387"/>
      <c r="Q2683" s="387"/>
    </row>
    <row r="2684" spans="15:17" ht="20.100000000000001" customHeight="1">
      <c r="O2684" s="387"/>
      <c r="P2684" s="387"/>
      <c r="Q2684" s="387"/>
    </row>
    <row r="2685" spans="15:17" ht="20.100000000000001" customHeight="1">
      <c r="O2685" s="387"/>
      <c r="P2685" s="387"/>
      <c r="Q2685" s="387"/>
    </row>
    <row r="2686" spans="15:17" ht="20.100000000000001" customHeight="1">
      <c r="O2686" s="387"/>
      <c r="P2686" s="387"/>
      <c r="Q2686" s="387"/>
    </row>
    <row r="2687" spans="15:17" ht="20.100000000000001" customHeight="1">
      <c r="O2687" s="387"/>
      <c r="P2687" s="387"/>
      <c r="Q2687" s="387"/>
    </row>
    <row r="2688" spans="15:17" ht="20.100000000000001" customHeight="1">
      <c r="O2688" s="387"/>
      <c r="P2688" s="387"/>
      <c r="Q2688" s="387"/>
    </row>
    <row r="2689" spans="15:17" ht="20.100000000000001" customHeight="1">
      <c r="O2689" s="387"/>
      <c r="P2689" s="387"/>
      <c r="Q2689" s="387"/>
    </row>
    <row r="2690" spans="15:17" ht="20.100000000000001" customHeight="1">
      <c r="O2690" s="387"/>
      <c r="P2690" s="387"/>
      <c r="Q2690" s="387"/>
    </row>
    <row r="2691" spans="15:17" ht="20.100000000000001" customHeight="1">
      <c r="O2691" s="387"/>
      <c r="P2691" s="387"/>
      <c r="Q2691" s="387"/>
    </row>
    <row r="2692" spans="15:17" ht="20.100000000000001" customHeight="1">
      <c r="O2692" s="387"/>
      <c r="P2692" s="387"/>
      <c r="Q2692" s="387"/>
    </row>
    <row r="2693" spans="15:17" ht="20.100000000000001" customHeight="1">
      <c r="O2693" s="387"/>
      <c r="P2693" s="387"/>
      <c r="Q2693" s="387"/>
    </row>
    <row r="2694" spans="15:17" ht="20.100000000000001" customHeight="1">
      <c r="O2694" s="387"/>
      <c r="P2694" s="387"/>
      <c r="Q2694" s="387"/>
    </row>
    <row r="2695" spans="15:17" ht="20.100000000000001" customHeight="1">
      <c r="O2695" s="387"/>
      <c r="P2695" s="387"/>
      <c r="Q2695" s="387"/>
    </row>
    <row r="2696" spans="15:17" ht="20.100000000000001" customHeight="1">
      <c r="O2696" s="387"/>
      <c r="P2696" s="387"/>
      <c r="Q2696" s="387"/>
    </row>
    <row r="2697" spans="15:17" ht="20.100000000000001" customHeight="1">
      <c r="O2697" s="387"/>
      <c r="P2697" s="387"/>
      <c r="Q2697" s="387"/>
    </row>
    <row r="2698" spans="15:17" ht="20.100000000000001" customHeight="1">
      <c r="O2698" s="387"/>
      <c r="P2698" s="387"/>
      <c r="Q2698" s="387"/>
    </row>
    <row r="2699" spans="15:17" ht="20.100000000000001" customHeight="1">
      <c r="O2699" s="387"/>
      <c r="P2699" s="387"/>
      <c r="Q2699" s="387"/>
    </row>
    <row r="2700" spans="15:17" ht="20.100000000000001" customHeight="1">
      <c r="O2700" s="387"/>
      <c r="P2700" s="387"/>
      <c r="Q2700" s="387"/>
    </row>
    <row r="2701" spans="15:17" ht="20.100000000000001" customHeight="1">
      <c r="O2701" s="387"/>
      <c r="P2701" s="387"/>
      <c r="Q2701" s="387"/>
    </row>
    <row r="2702" spans="15:17" ht="20.100000000000001" customHeight="1">
      <c r="O2702" s="387"/>
      <c r="P2702" s="387"/>
      <c r="Q2702" s="387"/>
    </row>
    <row r="2703" spans="15:17" ht="20.100000000000001" customHeight="1">
      <c r="O2703" s="387"/>
      <c r="P2703" s="387"/>
      <c r="Q2703" s="387"/>
    </row>
    <row r="2704" spans="15:17" ht="20.100000000000001" customHeight="1">
      <c r="O2704" s="387"/>
      <c r="P2704" s="387"/>
      <c r="Q2704" s="387"/>
    </row>
    <row r="2705" spans="15:17" ht="20.100000000000001" customHeight="1">
      <c r="O2705" s="387"/>
      <c r="P2705" s="387"/>
      <c r="Q2705" s="387"/>
    </row>
    <row r="2706" spans="15:17" ht="20.100000000000001" customHeight="1">
      <c r="O2706" s="387"/>
      <c r="P2706" s="387"/>
      <c r="Q2706" s="387"/>
    </row>
    <row r="2707" spans="15:17" ht="20.100000000000001" customHeight="1">
      <c r="O2707" s="387"/>
      <c r="P2707" s="387"/>
      <c r="Q2707" s="387"/>
    </row>
    <row r="2708" spans="15:17" ht="20.100000000000001" customHeight="1">
      <c r="O2708" s="387"/>
      <c r="P2708" s="387"/>
      <c r="Q2708" s="387"/>
    </row>
    <row r="2709" spans="15:17" ht="20.100000000000001" customHeight="1">
      <c r="O2709" s="387"/>
      <c r="P2709" s="387"/>
      <c r="Q2709" s="387"/>
    </row>
    <row r="2710" spans="15:17" ht="20.100000000000001" customHeight="1">
      <c r="O2710" s="387"/>
      <c r="P2710" s="387"/>
      <c r="Q2710" s="387"/>
    </row>
    <row r="2711" spans="15:17" ht="20.100000000000001" customHeight="1">
      <c r="O2711" s="387"/>
      <c r="P2711" s="387"/>
      <c r="Q2711" s="387"/>
    </row>
    <row r="2712" spans="15:17" ht="20.100000000000001" customHeight="1">
      <c r="O2712" s="387"/>
      <c r="P2712" s="387"/>
      <c r="Q2712" s="387"/>
    </row>
    <row r="2713" spans="15:17" ht="20.100000000000001" customHeight="1">
      <c r="O2713" s="387"/>
      <c r="P2713" s="387"/>
      <c r="Q2713" s="387"/>
    </row>
    <row r="2714" spans="15:17" ht="20.100000000000001" customHeight="1">
      <c r="O2714" s="387"/>
      <c r="P2714" s="387"/>
      <c r="Q2714" s="387"/>
    </row>
    <row r="2715" spans="15:17" ht="20.100000000000001" customHeight="1">
      <c r="O2715" s="387"/>
      <c r="P2715" s="387"/>
      <c r="Q2715" s="387"/>
    </row>
    <row r="2716" spans="15:17" ht="20.100000000000001" customHeight="1">
      <c r="O2716" s="387"/>
      <c r="P2716" s="387"/>
      <c r="Q2716" s="387"/>
    </row>
    <row r="2717" spans="15:17" ht="20.100000000000001" customHeight="1">
      <c r="O2717" s="387"/>
      <c r="P2717" s="387"/>
      <c r="Q2717" s="387"/>
    </row>
    <row r="2718" spans="15:17" ht="20.100000000000001" customHeight="1">
      <c r="O2718" s="387"/>
      <c r="P2718" s="387"/>
      <c r="Q2718" s="387"/>
    </row>
    <row r="2719" spans="15:17" ht="20.100000000000001" customHeight="1">
      <c r="O2719" s="387"/>
      <c r="P2719" s="387"/>
      <c r="Q2719" s="387"/>
    </row>
    <row r="2720" spans="15:17" ht="20.100000000000001" customHeight="1">
      <c r="O2720" s="387"/>
      <c r="P2720" s="387"/>
      <c r="Q2720" s="387"/>
    </row>
    <row r="2721" spans="15:17" ht="20.100000000000001" customHeight="1">
      <c r="O2721" s="387"/>
      <c r="P2721" s="387"/>
      <c r="Q2721" s="387"/>
    </row>
    <row r="2722" spans="15:17" ht="20.100000000000001" customHeight="1">
      <c r="O2722" s="387"/>
      <c r="P2722" s="387"/>
      <c r="Q2722" s="387"/>
    </row>
    <row r="2723" spans="15:17" ht="20.100000000000001" customHeight="1">
      <c r="O2723" s="387"/>
      <c r="P2723" s="387"/>
      <c r="Q2723" s="387"/>
    </row>
    <row r="2724" spans="15:17" ht="20.100000000000001" customHeight="1">
      <c r="O2724" s="387"/>
      <c r="P2724" s="387"/>
      <c r="Q2724" s="387"/>
    </row>
    <row r="2725" spans="15:17" ht="20.100000000000001" customHeight="1">
      <c r="O2725" s="387"/>
      <c r="P2725" s="387"/>
      <c r="Q2725" s="387"/>
    </row>
    <row r="2726" spans="15:17" ht="20.100000000000001" customHeight="1">
      <c r="O2726" s="387"/>
      <c r="P2726" s="387"/>
      <c r="Q2726" s="387"/>
    </row>
    <row r="2727" spans="15:17" ht="20.100000000000001" customHeight="1">
      <c r="O2727" s="387"/>
      <c r="P2727" s="387"/>
      <c r="Q2727" s="387"/>
    </row>
    <row r="2728" spans="15:17" ht="20.100000000000001" customHeight="1">
      <c r="O2728" s="387"/>
      <c r="P2728" s="387"/>
      <c r="Q2728" s="387"/>
    </row>
    <row r="2729" spans="15:17" ht="20.100000000000001" customHeight="1">
      <c r="O2729" s="387"/>
      <c r="P2729" s="387"/>
      <c r="Q2729" s="387"/>
    </row>
    <row r="2730" spans="15:17" ht="20.100000000000001" customHeight="1">
      <c r="O2730" s="387"/>
      <c r="P2730" s="387"/>
      <c r="Q2730" s="387"/>
    </row>
    <row r="2731" spans="15:17" ht="20.100000000000001" customHeight="1">
      <c r="O2731" s="387"/>
      <c r="P2731" s="387"/>
      <c r="Q2731" s="387"/>
    </row>
    <row r="2732" spans="15:17" ht="20.100000000000001" customHeight="1">
      <c r="O2732" s="387"/>
      <c r="P2732" s="387"/>
      <c r="Q2732" s="387"/>
    </row>
    <row r="2733" spans="15:17" ht="20.100000000000001" customHeight="1">
      <c r="O2733" s="387"/>
      <c r="P2733" s="387"/>
      <c r="Q2733" s="387"/>
    </row>
    <row r="2734" spans="15:17" ht="20.100000000000001" customHeight="1">
      <c r="O2734" s="387"/>
      <c r="P2734" s="387"/>
      <c r="Q2734" s="387"/>
    </row>
    <row r="2735" spans="15:17" ht="20.100000000000001" customHeight="1">
      <c r="O2735" s="387"/>
      <c r="P2735" s="387"/>
      <c r="Q2735" s="387"/>
    </row>
    <row r="2736" spans="15:17" ht="20.100000000000001" customHeight="1">
      <c r="O2736" s="387"/>
      <c r="P2736" s="387"/>
      <c r="Q2736" s="387"/>
    </row>
    <row r="2737" spans="15:17" ht="20.100000000000001" customHeight="1">
      <c r="O2737" s="387"/>
      <c r="P2737" s="387"/>
      <c r="Q2737" s="387"/>
    </row>
    <row r="2738" spans="15:17" ht="20.100000000000001" customHeight="1">
      <c r="O2738" s="387"/>
      <c r="P2738" s="387"/>
      <c r="Q2738" s="387"/>
    </row>
    <row r="2739" spans="15:17" ht="20.100000000000001" customHeight="1">
      <c r="O2739" s="387"/>
      <c r="P2739" s="387"/>
      <c r="Q2739" s="387"/>
    </row>
    <row r="2740" spans="15:17" ht="20.100000000000001" customHeight="1">
      <c r="O2740" s="387"/>
      <c r="P2740" s="387"/>
      <c r="Q2740" s="387"/>
    </row>
    <row r="2741" spans="15:17" ht="20.100000000000001" customHeight="1">
      <c r="O2741" s="387"/>
      <c r="P2741" s="387"/>
      <c r="Q2741" s="387"/>
    </row>
    <row r="2742" spans="15:17" ht="20.100000000000001" customHeight="1">
      <c r="O2742" s="387"/>
      <c r="P2742" s="387"/>
      <c r="Q2742" s="387"/>
    </row>
    <row r="2743" spans="15:17" ht="20.100000000000001" customHeight="1">
      <c r="O2743" s="387"/>
      <c r="P2743" s="387"/>
      <c r="Q2743" s="387"/>
    </row>
    <row r="2744" spans="15:17" ht="20.100000000000001" customHeight="1">
      <c r="O2744" s="387"/>
      <c r="P2744" s="387"/>
      <c r="Q2744" s="387"/>
    </row>
    <row r="2745" spans="15:17" ht="20.100000000000001" customHeight="1">
      <c r="O2745" s="387"/>
      <c r="P2745" s="387"/>
      <c r="Q2745" s="387"/>
    </row>
    <row r="2746" spans="15:17" ht="20.100000000000001" customHeight="1">
      <c r="O2746" s="387"/>
      <c r="P2746" s="387"/>
      <c r="Q2746" s="387"/>
    </row>
    <row r="2747" spans="15:17" ht="20.100000000000001" customHeight="1">
      <c r="O2747" s="387"/>
      <c r="P2747" s="387"/>
      <c r="Q2747" s="387"/>
    </row>
    <row r="2748" spans="15:17" ht="20.100000000000001" customHeight="1">
      <c r="O2748" s="387"/>
      <c r="P2748" s="387"/>
      <c r="Q2748" s="387"/>
    </row>
    <row r="2749" spans="15:17" ht="20.100000000000001" customHeight="1">
      <c r="O2749" s="387"/>
      <c r="P2749" s="387"/>
      <c r="Q2749" s="387"/>
    </row>
    <row r="2750" spans="15:17" ht="20.100000000000001" customHeight="1">
      <c r="O2750" s="387"/>
      <c r="P2750" s="387"/>
      <c r="Q2750" s="387"/>
    </row>
    <row r="2751" spans="15:17" ht="20.100000000000001" customHeight="1">
      <c r="O2751" s="387"/>
      <c r="P2751" s="387"/>
      <c r="Q2751" s="387"/>
    </row>
    <row r="2752" spans="15:17" ht="20.100000000000001" customHeight="1">
      <c r="O2752" s="387"/>
      <c r="P2752" s="387"/>
      <c r="Q2752" s="387"/>
    </row>
    <row r="2753" spans="15:17" ht="20.100000000000001" customHeight="1">
      <c r="O2753" s="387"/>
      <c r="P2753" s="387"/>
      <c r="Q2753" s="387"/>
    </row>
    <row r="2754" spans="15:17" ht="20.100000000000001" customHeight="1">
      <c r="O2754" s="387"/>
      <c r="P2754" s="387"/>
      <c r="Q2754" s="387"/>
    </row>
    <row r="2755" spans="15:17" ht="20.100000000000001" customHeight="1">
      <c r="O2755" s="387"/>
      <c r="P2755" s="387"/>
      <c r="Q2755" s="387"/>
    </row>
    <row r="2756" spans="15:17" ht="20.100000000000001" customHeight="1">
      <c r="O2756" s="387"/>
      <c r="P2756" s="387"/>
      <c r="Q2756" s="387"/>
    </row>
    <row r="2757" spans="15:17" ht="20.100000000000001" customHeight="1">
      <c r="O2757" s="387"/>
      <c r="P2757" s="387"/>
      <c r="Q2757" s="387"/>
    </row>
    <row r="2758" spans="15:17" ht="20.100000000000001" customHeight="1">
      <c r="O2758" s="387"/>
      <c r="P2758" s="387"/>
      <c r="Q2758" s="387"/>
    </row>
    <row r="2759" spans="15:17" ht="20.100000000000001" customHeight="1">
      <c r="O2759" s="387"/>
      <c r="P2759" s="387"/>
      <c r="Q2759" s="387"/>
    </row>
    <row r="2760" spans="15:17" ht="20.100000000000001" customHeight="1">
      <c r="O2760" s="387"/>
      <c r="P2760" s="387"/>
      <c r="Q2760" s="387"/>
    </row>
    <row r="2761" spans="15:17" ht="20.100000000000001" customHeight="1">
      <c r="O2761" s="387"/>
      <c r="P2761" s="387"/>
      <c r="Q2761" s="387"/>
    </row>
    <row r="2762" spans="15:17" ht="20.100000000000001" customHeight="1">
      <c r="O2762" s="387"/>
      <c r="P2762" s="387"/>
      <c r="Q2762" s="387"/>
    </row>
    <row r="2763" spans="15:17" ht="20.100000000000001" customHeight="1">
      <c r="O2763" s="387"/>
      <c r="P2763" s="387"/>
      <c r="Q2763" s="387"/>
    </row>
    <row r="2764" spans="15:17" ht="20.100000000000001" customHeight="1">
      <c r="O2764" s="387"/>
      <c r="P2764" s="387"/>
      <c r="Q2764" s="387"/>
    </row>
    <row r="2765" spans="15:17" ht="20.100000000000001" customHeight="1">
      <c r="O2765" s="387"/>
      <c r="P2765" s="387"/>
      <c r="Q2765" s="387"/>
    </row>
    <row r="2766" spans="15:17" ht="20.100000000000001" customHeight="1">
      <c r="O2766" s="387"/>
      <c r="P2766" s="387"/>
      <c r="Q2766" s="387"/>
    </row>
    <row r="2767" spans="15:17" ht="20.100000000000001" customHeight="1">
      <c r="O2767" s="387"/>
      <c r="P2767" s="387"/>
      <c r="Q2767" s="387"/>
    </row>
    <row r="2768" spans="15:17" ht="20.100000000000001" customHeight="1">
      <c r="O2768" s="387"/>
      <c r="P2768" s="387"/>
      <c r="Q2768" s="387"/>
    </row>
    <row r="2769" spans="15:17" ht="20.100000000000001" customHeight="1">
      <c r="O2769" s="387"/>
      <c r="P2769" s="387"/>
      <c r="Q2769" s="387"/>
    </row>
    <row r="2770" spans="15:17" ht="20.100000000000001" customHeight="1">
      <c r="O2770" s="387"/>
      <c r="P2770" s="387"/>
      <c r="Q2770" s="387"/>
    </row>
    <row r="2771" spans="15:17" ht="20.100000000000001" customHeight="1">
      <c r="O2771" s="387"/>
      <c r="P2771" s="387"/>
      <c r="Q2771" s="387"/>
    </row>
    <row r="2772" spans="15:17" ht="20.100000000000001" customHeight="1">
      <c r="O2772" s="387"/>
      <c r="P2772" s="387"/>
      <c r="Q2772" s="387"/>
    </row>
    <row r="2773" spans="15:17" ht="20.100000000000001" customHeight="1">
      <c r="O2773" s="387"/>
      <c r="P2773" s="387"/>
      <c r="Q2773" s="387"/>
    </row>
    <row r="2774" spans="15:17" ht="20.100000000000001" customHeight="1">
      <c r="O2774" s="387"/>
      <c r="P2774" s="387"/>
      <c r="Q2774" s="387"/>
    </row>
    <row r="2775" spans="15:17" ht="20.100000000000001" customHeight="1">
      <c r="O2775" s="387"/>
      <c r="P2775" s="387"/>
      <c r="Q2775" s="387"/>
    </row>
    <row r="2776" spans="15:17" ht="20.100000000000001" customHeight="1">
      <c r="O2776" s="387"/>
      <c r="P2776" s="387"/>
      <c r="Q2776" s="387"/>
    </row>
    <row r="2777" spans="15:17" ht="20.100000000000001" customHeight="1">
      <c r="O2777" s="387"/>
      <c r="P2777" s="387"/>
      <c r="Q2777" s="387"/>
    </row>
    <row r="2778" spans="15:17" ht="20.100000000000001" customHeight="1">
      <c r="O2778" s="387"/>
      <c r="P2778" s="387"/>
      <c r="Q2778" s="387"/>
    </row>
    <row r="2779" spans="15:17" ht="20.100000000000001" customHeight="1">
      <c r="O2779" s="387"/>
      <c r="P2779" s="387"/>
      <c r="Q2779" s="387"/>
    </row>
    <row r="2780" spans="15:17" ht="20.100000000000001" customHeight="1">
      <c r="O2780" s="387"/>
      <c r="P2780" s="387"/>
      <c r="Q2780" s="387"/>
    </row>
    <row r="2781" spans="15:17" ht="20.100000000000001" customHeight="1">
      <c r="O2781" s="387"/>
      <c r="P2781" s="387"/>
      <c r="Q2781" s="387"/>
    </row>
    <row r="2782" spans="15:17" ht="20.100000000000001" customHeight="1">
      <c r="O2782" s="387"/>
      <c r="P2782" s="387"/>
      <c r="Q2782" s="387"/>
    </row>
    <row r="2783" spans="15:17" ht="20.100000000000001" customHeight="1">
      <c r="O2783" s="387"/>
      <c r="P2783" s="387"/>
      <c r="Q2783" s="387"/>
    </row>
    <row r="2784" spans="15:17" ht="20.100000000000001" customHeight="1">
      <c r="O2784" s="387"/>
      <c r="P2784" s="387"/>
      <c r="Q2784" s="387"/>
    </row>
    <row r="2785" spans="15:17" ht="20.100000000000001" customHeight="1">
      <c r="O2785" s="387"/>
      <c r="P2785" s="387"/>
      <c r="Q2785" s="387"/>
    </row>
    <row r="2786" spans="15:17" ht="20.100000000000001" customHeight="1">
      <c r="O2786" s="387"/>
      <c r="P2786" s="387"/>
      <c r="Q2786" s="387"/>
    </row>
    <row r="2787" spans="15:17" ht="20.100000000000001" customHeight="1">
      <c r="O2787" s="387"/>
      <c r="P2787" s="387"/>
      <c r="Q2787" s="387"/>
    </row>
    <row r="2788" spans="15:17" ht="20.100000000000001" customHeight="1">
      <c r="O2788" s="387"/>
      <c r="P2788" s="387"/>
      <c r="Q2788" s="387"/>
    </row>
    <row r="2789" spans="15:17" ht="20.100000000000001" customHeight="1">
      <c r="O2789" s="387"/>
      <c r="P2789" s="387"/>
      <c r="Q2789" s="387"/>
    </row>
    <row r="2790" spans="15:17" ht="20.100000000000001" customHeight="1">
      <c r="O2790" s="387"/>
      <c r="P2790" s="387"/>
      <c r="Q2790" s="387"/>
    </row>
    <row r="2791" spans="15:17" ht="20.100000000000001" customHeight="1">
      <c r="O2791" s="387"/>
      <c r="P2791" s="387"/>
      <c r="Q2791" s="387"/>
    </row>
    <row r="2792" spans="15:17" ht="20.100000000000001" customHeight="1">
      <c r="O2792" s="387"/>
      <c r="P2792" s="387"/>
      <c r="Q2792" s="387"/>
    </row>
    <row r="2793" spans="15:17" ht="20.100000000000001" customHeight="1">
      <c r="O2793" s="387"/>
      <c r="P2793" s="387"/>
      <c r="Q2793" s="387"/>
    </row>
    <row r="2794" spans="15:17" ht="20.100000000000001" customHeight="1">
      <c r="O2794" s="387"/>
      <c r="P2794" s="387"/>
      <c r="Q2794" s="387"/>
    </row>
    <row r="2795" spans="15:17" ht="20.100000000000001" customHeight="1">
      <c r="O2795" s="387"/>
      <c r="P2795" s="387"/>
      <c r="Q2795" s="387"/>
    </row>
    <row r="2796" spans="15:17" ht="20.100000000000001" customHeight="1">
      <c r="O2796" s="387"/>
      <c r="P2796" s="387"/>
      <c r="Q2796" s="387"/>
    </row>
    <row r="2797" spans="15:17" ht="20.100000000000001" customHeight="1">
      <c r="O2797" s="387"/>
      <c r="P2797" s="387"/>
      <c r="Q2797" s="387"/>
    </row>
    <row r="2798" spans="15:17" ht="20.100000000000001" customHeight="1">
      <c r="O2798" s="387"/>
      <c r="P2798" s="387"/>
      <c r="Q2798" s="387"/>
    </row>
    <row r="2799" spans="15:17" ht="20.100000000000001" customHeight="1">
      <c r="O2799" s="387"/>
      <c r="P2799" s="387"/>
      <c r="Q2799" s="387"/>
    </row>
    <row r="2800" spans="15:17" ht="20.100000000000001" customHeight="1">
      <c r="O2800" s="387"/>
      <c r="P2800" s="387"/>
      <c r="Q2800" s="387"/>
    </row>
    <row r="2801" spans="15:17" ht="20.100000000000001" customHeight="1">
      <c r="O2801" s="387"/>
      <c r="P2801" s="387"/>
      <c r="Q2801" s="387"/>
    </row>
    <row r="2802" spans="15:17" ht="20.100000000000001" customHeight="1">
      <c r="O2802" s="387"/>
      <c r="P2802" s="387"/>
      <c r="Q2802" s="387"/>
    </row>
    <row r="2803" spans="15:17" ht="20.100000000000001" customHeight="1">
      <c r="O2803" s="387"/>
      <c r="P2803" s="387"/>
      <c r="Q2803" s="387"/>
    </row>
    <row r="2804" spans="15:17" ht="20.100000000000001" customHeight="1">
      <c r="O2804" s="387"/>
      <c r="P2804" s="387"/>
      <c r="Q2804" s="387"/>
    </row>
    <row r="2805" spans="15:17" ht="20.100000000000001" customHeight="1">
      <c r="O2805" s="387"/>
      <c r="P2805" s="387"/>
      <c r="Q2805" s="387"/>
    </row>
    <row r="2806" spans="15:17" ht="20.100000000000001" customHeight="1">
      <c r="O2806" s="387"/>
      <c r="P2806" s="387"/>
      <c r="Q2806" s="387"/>
    </row>
    <row r="2807" spans="15:17" ht="20.100000000000001" customHeight="1">
      <c r="O2807" s="387"/>
      <c r="P2807" s="387"/>
      <c r="Q2807" s="387"/>
    </row>
    <row r="2808" spans="15:17" ht="20.100000000000001" customHeight="1">
      <c r="O2808" s="387"/>
      <c r="P2808" s="387"/>
      <c r="Q2808" s="387"/>
    </row>
    <row r="2809" spans="15:17" ht="20.100000000000001" customHeight="1">
      <c r="O2809" s="387"/>
      <c r="P2809" s="387"/>
      <c r="Q2809" s="387"/>
    </row>
    <row r="2810" spans="15:17" ht="20.100000000000001" customHeight="1">
      <c r="O2810" s="387"/>
      <c r="P2810" s="387"/>
      <c r="Q2810" s="387"/>
    </row>
    <row r="2811" spans="15:17" ht="20.100000000000001" customHeight="1">
      <c r="O2811" s="387"/>
      <c r="P2811" s="387"/>
      <c r="Q2811" s="387"/>
    </row>
    <row r="2812" spans="15:17" ht="20.100000000000001" customHeight="1">
      <c r="O2812" s="387"/>
      <c r="P2812" s="387"/>
      <c r="Q2812" s="387"/>
    </row>
    <row r="2813" spans="15:17" ht="20.100000000000001" customHeight="1">
      <c r="O2813" s="387"/>
      <c r="P2813" s="387"/>
      <c r="Q2813" s="387"/>
    </row>
    <row r="2814" spans="15:17" ht="20.100000000000001" customHeight="1">
      <c r="O2814" s="387"/>
      <c r="P2814" s="387"/>
      <c r="Q2814" s="387"/>
    </row>
    <row r="2815" spans="15:17" ht="20.100000000000001" customHeight="1">
      <c r="O2815" s="387"/>
      <c r="P2815" s="387"/>
      <c r="Q2815" s="387"/>
    </row>
    <row r="2816" spans="15:17" ht="20.100000000000001" customHeight="1">
      <c r="O2816" s="387"/>
      <c r="P2816" s="387"/>
      <c r="Q2816" s="387"/>
    </row>
    <row r="2817" spans="15:17" ht="20.100000000000001" customHeight="1">
      <c r="O2817" s="387"/>
      <c r="P2817" s="387"/>
      <c r="Q2817" s="387"/>
    </row>
    <row r="2818" spans="15:17" ht="20.100000000000001" customHeight="1">
      <c r="O2818" s="387"/>
      <c r="P2818" s="387"/>
      <c r="Q2818" s="387"/>
    </row>
    <row r="2819" spans="15:17" ht="20.100000000000001" customHeight="1">
      <c r="O2819" s="387"/>
      <c r="P2819" s="387"/>
      <c r="Q2819" s="387"/>
    </row>
    <row r="2820" spans="15:17" ht="20.100000000000001" customHeight="1">
      <c r="O2820" s="387"/>
      <c r="P2820" s="387"/>
      <c r="Q2820" s="387"/>
    </row>
    <row r="2821" spans="15:17" ht="20.100000000000001" customHeight="1">
      <c r="O2821" s="387"/>
      <c r="P2821" s="387"/>
      <c r="Q2821" s="387"/>
    </row>
    <row r="2822" spans="15:17" ht="20.100000000000001" customHeight="1">
      <c r="O2822" s="387"/>
      <c r="P2822" s="387"/>
      <c r="Q2822" s="387"/>
    </row>
    <row r="2823" spans="15:17" ht="20.100000000000001" customHeight="1">
      <c r="O2823" s="387"/>
      <c r="P2823" s="387"/>
      <c r="Q2823" s="387"/>
    </row>
    <row r="2824" spans="15:17" ht="20.100000000000001" customHeight="1">
      <c r="O2824" s="387"/>
      <c r="P2824" s="387"/>
      <c r="Q2824" s="387"/>
    </row>
    <row r="2825" spans="15:17" ht="20.100000000000001" customHeight="1">
      <c r="O2825" s="387"/>
      <c r="P2825" s="387"/>
      <c r="Q2825" s="387"/>
    </row>
    <row r="2826" spans="15:17" ht="20.100000000000001" customHeight="1">
      <c r="O2826" s="387"/>
      <c r="P2826" s="387"/>
      <c r="Q2826" s="387"/>
    </row>
    <row r="2827" spans="15:17" ht="20.100000000000001" customHeight="1">
      <c r="O2827" s="387"/>
      <c r="P2827" s="387"/>
      <c r="Q2827" s="387"/>
    </row>
    <row r="2828" spans="15:17" ht="20.100000000000001" customHeight="1">
      <c r="O2828" s="387"/>
      <c r="P2828" s="387"/>
      <c r="Q2828" s="387"/>
    </row>
    <row r="2829" spans="15:17" ht="20.100000000000001" customHeight="1">
      <c r="O2829" s="387"/>
      <c r="P2829" s="387"/>
      <c r="Q2829" s="387"/>
    </row>
    <row r="2830" spans="15:17" ht="20.100000000000001" customHeight="1">
      <c r="O2830" s="387"/>
      <c r="P2830" s="387"/>
      <c r="Q2830" s="387"/>
    </row>
    <row r="2831" spans="15:17" ht="20.100000000000001" customHeight="1">
      <c r="O2831" s="387"/>
      <c r="P2831" s="387"/>
      <c r="Q2831" s="387"/>
    </row>
    <row r="2832" spans="15:17" ht="20.100000000000001" customHeight="1">
      <c r="O2832" s="387"/>
      <c r="P2832" s="387"/>
      <c r="Q2832" s="387"/>
    </row>
    <row r="2833" spans="15:17" ht="20.100000000000001" customHeight="1">
      <c r="O2833" s="387"/>
      <c r="P2833" s="387"/>
      <c r="Q2833" s="387"/>
    </row>
    <row r="2834" spans="15:17" ht="20.100000000000001" customHeight="1">
      <c r="O2834" s="387"/>
      <c r="P2834" s="387"/>
      <c r="Q2834" s="387"/>
    </row>
    <row r="2835" spans="15:17" ht="20.100000000000001" customHeight="1">
      <c r="O2835" s="387"/>
      <c r="P2835" s="387"/>
      <c r="Q2835" s="387"/>
    </row>
    <row r="2836" spans="15:17" ht="20.100000000000001" customHeight="1">
      <c r="O2836" s="387"/>
      <c r="P2836" s="387"/>
      <c r="Q2836" s="387"/>
    </row>
    <row r="2837" spans="15:17" ht="20.100000000000001" customHeight="1">
      <c r="O2837" s="387"/>
      <c r="P2837" s="387"/>
      <c r="Q2837" s="387"/>
    </row>
    <row r="2838" spans="15:17" ht="20.100000000000001" customHeight="1">
      <c r="O2838" s="387"/>
      <c r="P2838" s="387"/>
      <c r="Q2838" s="387"/>
    </row>
    <row r="2839" spans="15:17" ht="20.100000000000001" customHeight="1">
      <c r="O2839" s="387"/>
      <c r="P2839" s="387"/>
      <c r="Q2839" s="387"/>
    </row>
    <row r="2840" spans="15:17" ht="20.100000000000001" customHeight="1">
      <c r="O2840" s="387"/>
      <c r="P2840" s="387"/>
      <c r="Q2840" s="387"/>
    </row>
    <row r="2841" spans="15:17" ht="20.100000000000001" customHeight="1">
      <c r="O2841" s="387"/>
      <c r="P2841" s="387"/>
      <c r="Q2841" s="387"/>
    </row>
    <row r="2842" spans="15:17" ht="20.100000000000001" customHeight="1">
      <c r="O2842" s="387"/>
      <c r="P2842" s="387"/>
      <c r="Q2842" s="387"/>
    </row>
    <row r="2843" spans="15:17" ht="20.100000000000001" customHeight="1">
      <c r="O2843" s="387"/>
      <c r="P2843" s="387"/>
      <c r="Q2843" s="387"/>
    </row>
    <row r="2844" spans="15:17" ht="20.100000000000001" customHeight="1">
      <c r="O2844" s="387"/>
      <c r="P2844" s="387"/>
      <c r="Q2844" s="387"/>
    </row>
    <row r="2845" spans="15:17" ht="20.100000000000001" customHeight="1">
      <c r="O2845" s="387"/>
      <c r="P2845" s="387"/>
      <c r="Q2845" s="387"/>
    </row>
    <row r="2846" spans="15:17" ht="20.100000000000001" customHeight="1">
      <c r="O2846" s="387"/>
      <c r="P2846" s="387"/>
      <c r="Q2846" s="387"/>
    </row>
    <row r="2847" spans="15:17" ht="20.100000000000001" customHeight="1">
      <c r="O2847" s="387"/>
      <c r="P2847" s="387"/>
      <c r="Q2847" s="387"/>
    </row>
    <row r="2848" spans="15:17" ht="20.100000000000001" customHeight="1">
      <c r="O2848" s="387"/>
      <c r="P2848" s="387"/>
      <c r="Q2848" s="387"/>
    </row>
    <row r="2849" spans="15:17" ht="20.100000000000001" customHeight="1">
      <c r="O2849" s="387"/>
      <c r="P2849" s="387"/>
      <c r="Q2849" s="387"/>
    </row>
    <row r="2850" spans="15:17" ht="20.100000000000001" customHeight="1">
      <c r="O2850" s="387"/>
      <c r="P2850" s="387"/>
      <c r="Q2850" s="387"/>
    </row>
    <row r="2851" spans="15:17" ht="20.100000000000001" customHeight="1">
      <c r="O2851" s="387"/>
      <c r="P2851" s="387"/>
      <c r="Q2851" s="387"/>
    </row>
    <row r="2852" spans="15:17" ht="20.100000000000001" customHeight="1">
      <c r="O2852" s="387"/>
      <c r="P2852" s="387"/>
      <c r="Q2852" s="387"/>
    </row>
    <row r="2853" spans="15:17" ht="20.100000000000001" customHeight="1">
      <c r="O2853" s="387"/>
      <c r="P2853" s="387"/>
      <c r="Q2853" s="387"/>
    </row>
    <row r="2854" spans="15:17" ht="20.100000000000001" customHeight="1">
      <c r="O2854" s="387"/>
      <c r="P2854" s="387"/>
      <c r="Q2854" s="387"/>
    </row>
    <row r="2855" spans="15:17" ht="20.100000000000001" customHeight="1">
      <c r="O2855" s="387"/>
      <c r="P2855" s="387"/>
      <c r="Q2855" s="387"/>
    </row>
    <row r="2856" spans="15:17" ht="20.100000000000001" customHeight="1">
      <c r="O2856" s="387"/>
      <c r="P2856" s="387"/>
      <c r="Q2856" s="387"/>
    </row>
    <row r="2857" spans="15:17" ht="20.100000000000001" customHeight="1">
      <c r="O2857" s="387"/>
      <c r="P2857" s="387"/>
      <c r="Q2857" s="387"/>
    </row>
    <row r="2858" spans="15:17" ht="20.100000000000001" customHeight="1">
      <c r="O2858" s="387"/>
      <c r="P2858" s="387"/>
      <c r="Q2858" s="387"/>
    </row>
    <row r="2859" spans="15:17" ht="20.100000000000001" customHeight="1">
      <c r="O2859" s="387"/>
      <c r="P2859" s="387"/>
      <c r="Q2859" s="387"/>
    </row>
    <row r="2860" spans="15:17" ht="20.100000000000001" customHeight="1">
      <c r="O2860" s="387"/>
      <c r="P2860" s="387"/>
      <c r="Q2860" s="387"/>
    </row>
    <row r="2861" spans="15:17" ht="20.100000000000001" customHeight="1">
      <c r="O2861" s="387"/>
      <c r="P2861" s="387"/>
      <c r="Q2861" s="387"/>
    </row>
    <row r="2862" spans="15:17" ht="20.100000000000001" customHeight="1">
      <c r="O2862" s="387"/>
      <c r="P2862" s="387"/>
      <c r="Q2862" s="387"/>
    </row>
    <row r="2863" spans="15:17" ht="20.100000000000001" customHeight="1">
      <c r="O2863" s="387"/>
      <c r="P2863" s="387"/>
      <c r="Q2863" s="387"/>
    </row>
    <row r="2864" spans="15:17" ht="20.100000000000001" customHeight="1">
      <c r="O2864" s="387"/>
      <c r="P2864" s="387"/>
      <c r="Q2864" s="387"/>
    </row>
    <row r="2865" spans="15:17" ht="20.100000000000001" customHeight="1">
      <c r="O2865" s="387"/>
      <c r="P2865" s="387"/>
      <c r="Q2865" s="387"/>
    </row>
    <row r="2866" spans="15:17" ht="20.100000000000001" customHeight="1">
      <c r="O2866" s="387"/>
      <c r="P2866" s="387"/>
      <c r="Q2866" s="387"/>
    </row>
    <row r="2867" spans="15:17" ht="20.100000000000001" customHeight="1">
      <c r="O2867" s="387"/>
      <c r="P2867" s="387"/>
      <c r="Q2867" s="387"/>
    </row>
    <row r="2868" spans="15:17" ht="20.100000000000001" customHeight="1">
      <c r="O2868" s="387"/>
      <c r="P2868" s="387"/>
      <c r="Q2868" s="387"/>
    </row>
    <row r="2869" spans="15:17" ht="20.100000000000001" customHeight="1">
      <c r="O2869" s="387"/>
      <c r="P2869" s="387"/>
      <c r="Q2869" s="387"/>
    </row>
    <row r="2870" spans="15:17" ht="20.100000000000001" customHeight="1">
      <c r="O2870" s="387"/>
      <c r="P2870" s="387"/>
      <c r="Q2870" s="387"/>
    </row>
    <row r="2871" spans="15:17" ht="20.100000000000001" customHeight="1">
      <c r="O2871" s="387"/>
      <c r="P2871" s="387"/>
      <c r="Q2871" s="387"/>
    </row>
    <row r="2872" spans="15:17" ht="20.100000000000001" customHeight="1">
      <c r="O2872" s="387"/>
      <c r="P2872" s="387"/>
      <c r="Q2872" s="387"/>
    </row>
    <row r="2873" spans="15:17" ht="20.100000000000001" customHeight="1">
      <c r="O2873" s="387"/>
      <c r="P2873" s="387"/>
      <c r="Q2873" s="387"/>
    </row>
    <row r="2874" spans="15:17" ht="20.100000000000001" customHeight="1">
      <c r="O2874" s="387"/>
      <c r="P2874" s="387"/>
      <c r="Q2874" s="387"/>
    </row>
    <row r="2875" spans="15:17" ht="20.100000000000001" customHeight="1">
      <c r="O2875" s="387"/>
      <c r="P2875" s="387"/>
      <c r="Q2875" s="387"/>
    </row>
    <row r="2876" spans="15:17" ht="20.100000000000001" customHeight="1">
      <c r="O2876" s="387"/>
      <c r="P2876" s="387"/>
      <c r="Q2876" s="387"/>
    </row>
    <row r="2877" spans="15:17" ht="20.100000000000001" customHeight="1">
      <c r="O2877" s="387"/>
      <c r="P2877" s="387"/>
      <c r="Q2877" s="387"/>
    </row>
    <row r="2878" spans="15:17" ht="20.100000000000001" customHeight="1">
      <c r="O2878" s="387"/>
      <c r="P2878" s="387"/>
      <c r="Q2878" s="387"/>
    </row>
    <row r="2879" spans="15:17" ht="20.100000000000001" customHeight="1">
      <c r="O2879" s="387"/>
      <c r="P2879" s="387"/>
      <c r="Q2879" s="387"/>
    </row>
    <row r="2880" spans="15:17" ht="20.100000000000001" customHeight="1">
      <c r="O2880" s="387"/>
      <c r="P2880" s="387"/>
      <c r="Q2880" s="387"/>
    </row>
    <row r="2881" spans="15:17" ht="20.100000000000001" customHeight="1">
      <c r="O2881" s="387"/>
      <c r="P2881" s="387"/>
      <c r="Q2881" s="387"/>
    </row>
    <row r="2882" spans="15:17" ht="20.100000000000001" customHeight="1">
      <c r="O2882" s="387"/>
      <c r="P2882" s="387"/>
      <c r="Q2882" s="387"/>
    </row>
    <row r="2883" spans="15:17" ht="20.100000000000001" customHeight="1">
      <c r="O2883" s="387"/>
      <c r="P2883" s="387"/>
      <c r="Q2883" s="387"/>
    </row>
    <row r="2884" spans="15:17" ht="20.100000000000001" customHeight="1">
      <c r="O2884" s="387"/>
      <c r="P2884" s="387"/>
      <c r="Q2884" s="387"/>
    </row>
    <row r="2885" spans="15:17" ht="20.100000000000001" customHeight="1">
      <c r="O2885" s="387"/>
      <c r="P2885" s="387"/>
      <c r="Q2885" s="387"/>
    </row>
    <row r="2886" spans="15:17" ht="20.100000000000001" customHeight="1">
      <c r="O2886" s="387"/>
      <c r="P2886" s="387"/>
      <c r="Q2886" s="387"/>
    </row>
    <row r="2887" spans="15:17" ht="20.100000000000001" customHeight="1">
      <c r="O2887" s="387"/>
      <c r="P2887" s="387"/>
      <c r="Q2887" s="387"/>
    </row>
    <row r="2888" spans="15:17" ht="20.100000000000001" customHeight="1">
      <c r="O2888" s="387"/>
      <c r="P2888" s="387"/>
      <c r="Q2888" s="387"/>
    </row>
    <row r="2889" spans="15:17" ht="20.100000000000001" customHeight="1">
      <c r="O2889" s="387"/>
      <c r="P2889" s="387"/>
      <c r="Q2889" s="387"/>
    </row>
    <row r="2890" spans="15:17" ht="20.100000000000001" customHeight="1">
      <c r="O2890" s="387"/>
      <c r="P2890" s="387"/>
      <c r="Q2890" s="387"/>
    </row>
    <row r="2891" spans="15:17" ht="20.100000000000001" customHeight="1">
      <c r="O2891" s="387"/>
      <c r="P2891" s="387"/>
      <c r="Q2891" s="387"/>
    </row>
    <row r="2892" spans="15:17" ht="20.100000000000001" customHeight="1">
      <c r="O2892" s="387"/>
      <c r="P2892" s="387"/>
      <c r="Q2892" s="387"/>
    </row>
    <row r="2893" spans="15:17" ht="20.100000000000001" customHeight="1">
      <c r="O2893" s="387"/>
      <c r="P2893" s="387"/>
      <c r="Q2893" s="387"/>
    </row>
    <row r="2894" spans="15:17" ht="20.100000000000001" customHeight="1">
      <c r="O2894" s="387"/>
      <c r="P2894" s="387"/>
      <c r="Q2894" s="387"/>
    </row>
    <row r="2895" spans="15:17" ht="20.100000000000001" customHeight="1">
      <c r="O2895" s="387"/>
      <c r="P2895" s="387"/>
      <c r="Q2895" s="387"/>
    </row>
    <row r="2896" spans="15:17" ht="20.100000000000001" customHeight="1">
      <c r="O2896" s="387"/>
      <c r="P2896" s="387"/>
      <c r="Q2896" s="387"/>
    </row>
    <row r="2897" spans="15:17" ht="20.100000000000001" customHeight="1">
      <c r="O2897" s="387"/>
      <c r="P2897" s="387"/>
      <c r="Q2897" s="387"/>
    </row>
    <row r="2898" spans="15:17" ht="20.100000000000001" customHeight="1">
      <c r="O2898" s="387"/>
      <c r="P2898" s="387"/>
      <c r="Q2898" s="387"/>
    </row>
    <row r="2899" spans="15:17" ht="20.100000000000001" customHeight="1">
      <c r="O2899" s="387"/>
      <c r="P2899" s="387"/>
      <c r="Q2899" s="387"/>
    </row>
    <row r="2900" spans="15:17" ht="20.100000000000001" customHeight="1">
      <c r="O2900" s="387"/>
      <c r="P2900" s="387"/>
      <c r="Q2900" s="387"/>
    </row>
    <row r="2901" spans="15:17" ht="20.100000000000001" customHeight="1">
      <c r="O2901" s="387"/>
      <c r="P2901" s="387"/>
      <c r="Q2901" s="387"/>
    </row>
    <row r="2902" spans="15:17" ht="20.100000000000001" customHeight="1">
      <c r="O2902" s="387"/>
      <c r="P2902" s="387"/>
      <c r="Q2902" s="387"/>
    </row>
    <row r="2903" spans="15:17" ht="20.100000000000001" customHeight="1">
      <c r="O2903" s="387"/>
      <c r="P2903" s="387"/>
      <c r="Q2903" s="387"/>
    </row>
    <row r="2904" spans="15:17" ht="20.100000000000001" customHeight="1">
      <c r="O2904" s="387"/>
      <c r="P2904" s="387"/>
      <c r="Q2904" s="387"/>
    </row>
    <row r="2905" spans="15:17" ht="20.100000000000001" customHeight="1">
      <c r="O2905" s="387"/>
      <c r="P2905" s="387"/>
      <c r="Q2905" s="387"/>
    </row>
    <row r="2906" spans="15:17" ht="20.100000000000001" customHeight="1">
      <c r="O2906" s="387"/>
      <c r="P2906" s="387"/>
      <c r="Q2906" s="387"/>
    </row>
    <row r="2907" spans="15:17" ht="20.100000000000001" customHeight="1">
      <c r="O2907" s="387"/>
      <c r="P2907" s="387"/>
      <c r="Q2907" s="387"/>
    </row>
    <row r="2908" spans="15:17" ht="20.100000000000001" customHeight="1">
      <c r="O2908" s="387"/>
      <c r="P2908" s="387"/>
      <c r="Q2908" s="387"/>
    </row>
    <row r="2909" spans="15:17" ht="20.100000000000001" customHeight="1">
      <c r="O2909" s="387"/>
      <c r="P2909" s="387"/>
      <c r="Q2909" s="387"/>
    </row>
    <row r="2910" spans="15:17" ht="20.100000000000001" customHeight="1">
      <c r="O2910" s="387"/>
      <c r="P2910" s="387"/>
      <c r="Q2910" s="387"/>
    </row>
    <row r="2911" spans="15:17" ht="20.100000000000001" customHeight="1">
      <c r="O2911" s="387"/>
      <c r="P2911" s="387"/>
      <c r="Q2911" s="387"/>
    </row>
    <row r="2912" spans="15:17" ht="20.100000000000001" customHeight="1">
      <c r="O2912" s="387"/>
      <c r="P2912" s="387"/>
      <c r="Q2912" s="387"/>
    </row>
    <row r="2913" spans="15:17" ht="20.100000000000001" customHeight="1">
      <c r="O2913" s="387"/>
      <c r="P2913" s="387"/>
      <c r="Q2913" s="387"/>
    </row>
    <row r="2914" spans="15:17" ht="20.100000000000001" customHeight="1">
      <c r="O2914" s="387"/>
      <c r="P2914" s="387"/>
      <c r="Q2914" s="387"/>
    </row>
    <row r="2915" spans="15:17" ht="20.100000000000001" customHeight="1">
      <c r="O2915" s="387"/>
      <c r="P2915" s="387"/>
      <c r="Q2915" s="387"/>
    </row>
    <row r="2916" spans="15:17" ht="20.100000000000001" customHeight="1">
      <c r="O2916" s="387"/>
      <c r="P2916" s="387"/>
      <c r="Q2916" s="387"/>
    </row>
    <row r="2917" spans="15:17" ht="20.100000000000001" customHeight="1">
      <c r="O2917" s="387"/>
      <c r="P2917" s="387"/>
      <c r="Q2917" s="387"/>
    </row>
    <row r="2918" spans="15:17" ht="20.100000000000001" customHeight="1">
      <c r="O2918" s="387"/>
      <c r="P2918" s="387"/>
      <c r="Q2918" s="387"/>
    </row>
    <row r="2919" spans="15:17" ht="20.100000000000001" customHeight="1">
      <c r="O2919" s="387"/>
      <c r="P2919" s="387"/>
      <c r="Q2919" s="387"/>
    </row>
    <row r="2920" spans="15:17" ht="20.100000000000001" customHeight="1">
      <c r="O2920" s="387"/>
      <c r="P2920" s="387"/>
      <c r="Q2920" s="387"/>
    </row>
    <row r="2921" spans="15:17" ht="20.100000000000001" customHeight="1">
      <c r="O2921" s="387"/>
      <c r="P2921" s="387"/>
      <c r="Q2921" s="387"/>
    </row>
    <row r="2922" spans="15:17" ht="20.100000000000001" customHeight="1">
      <c r="O2922" s="387"/>
      <c r="P2922" s="387"/>
      <c r="Q2922" s="387"/>
    </row>
    <row r="2923" spans="15:17" ht="20.100000000000001" customHeight="1">
      <c r="O2923" s="387"/>
      <c r="P2923" s="387"/>
      <c r="Q2923" s="387"/>
    </row>
    <row r="2924" spans="15:17" ht="20.100000000000001" customHeight="1">
      <c r="O2924" s="387"/>
      <c r="P2924" s="387"/>
      <c r="Q2924" s="387"/>
    </row>
    <row r="2925" spans="15:17" ht="20.100000000000001" customHeight="1">
      <c r="O2925" s="387"/>
      <c r="P2925" s="387"/>
      <c r="Q2925" s="387"/>
    </row>
    <row r="2926" spans="15:17" ht="20.100000000000001" customHeight="1">
      <c r="O2926" s="387"/>
      <c r="P2926" s="387"/>
      <c r="Q2926" s="387"/>
    </row>
    <row r="2927" spans="15:17" ht="20.100000000000001" customHeight="1">
      <c r="O2927" s="387"/>
      <c r="P2927" s="387"/>
      <c r="Q2927" s="387"/>
    </row>
    <row r="2928" spans="15:17" ht="20.100000000000001" customHeight="1">
      <c r="O2928" s="387"/>
      <c r="P2928" s="387"/>
      <c r="Q2928" s="387"/>
    </row>
    <row r="2929" spans="15:17" ht="20.100000000000001" customHeight="1">
      <c r="O2929" s="387"/>
      <c r="P2929" s="387"/>
      <c r="Q2929" s="387"/>
    </row>
    <row r="2930" spans="15:17" ht="20.100000000000001" customHeight="1">
      <c r="O2930" s="387"/>
      <c r="P2930" s="387"/>
      <c r="Q2930" s="387"/>
    </row>
    <row r="2931" spans="15:17" ht="20.100000000000001" customHeight="1">
      <c r="O2931" s="387"/>
      <c r="P2931" s="387"/>
      <c r="Q2931" s="387"/>
    </row>
    <row r="2932" spans="15:17" ht="20.100000000000001" customHeight="1">
      <c r="O2932" s="387"/>
      <c r="P2932" s="387"/>
      <c r="Q2932" s="387"/>
    </row>
    <row r="2933" spans="15:17" ht="20.100000000000001" customHeight="1">
      <c r="O2933" s="387"/>
      <c r="P2933" s="387"/>
      <c r="Q2933" s="387"/>
    </row>
    <row r="2934" spans="15:17" ht="20.100000000000001" customHeight="1">
      <c r="O2934" s="387"/>
      <c r="P2934" s="387"/>
      <c r="Q2934" s="387"/>
    </row>
    <row r="2935" spans="15:17" ht="20.100000000000001" customHeight="1">
      <c r="O2935" s="387"/>
      <c r="P2935" s="387"/>
      <c r="Q2935" s="387"/>
    </row>
    <row r="2936" spans="15:17" ht="20.100000000000001" customHeight="1">
      <c r="O2936" s="387"/>
      <c r="P2936" s="387"/>
      <c r="Q2936" s="387"/>
    </row>
    <row r="2937" spans="15:17" ht="20.100000000000001" customHeight="1">
      <c r="O2937" s="387"/>
      <c r="P2937" s="387"/>
      <c r="Q2937" s="387"/>
    </row>
    <row r="2938" spans="15:17" ht="20.100000000000001" customHeight="1">
      <c r="O2938" s="387"/>
      <c r="P2938" s="387"/>
      <c r="Q2938" s="387"/>
    </row>
    <row r="2939" spans="15:17" ht="20.100000000000001" customHeight="1">
      <c r="O2939" s="387"/>
      <c r="P2939" s="387"/>
      <c r="Q2939" s="387"/>
    </row>
    <row r="2940" spans="15:17" ht="20.100000000000001" customHeight="1">
      <c r="O2940" s="387"/>
      <c r="P2940" s="387"/>
      <c r="Q2940" s="387"/>
    </row>
    <row r="2941" spans="15:17" ht="20.100000000000001" customHeight="1">
      <c r="O2941" s="387"/>
      <c r="P2941" s="387"/>
      <c r="Q2941" s="387"/>
    </row>
    <row r="2942" spans="15:17" ht="20.100000000000001" customHeight="1">
      <c r="O2942" s="387"/>
      <c r="P2942" s="387"/>
      <c r="Q2942" s="387"/>
    </row>
    <row r="2943" spans="15:17" ht="20.100000000000001" customHeight="1">
      <c r="O2943" s="387"/>
      <c r="P2943" s="387"/>
      <c r="Q2943" s="387"/>
    </row>
    <row r="2944" spans="15:17" ht="20.100000000000001" customHeight="1">
      <c r="O2944" s="387"/>
      <c r="P2944" s="387"/>
      <c r="Q2944" s="387"/>
    </row>
    <row r="2945" spans="15:17" ht="20.100000000000001" customHeight="1">
      <c r="O2945" s="387"/>
      <c r="P2945" s="387"/>
      <c r="Q2945" s="387"/>
    </row>
    <row r="2946" spans="15:17" ht="20.100000000000001" customHeight="1">
      <c r="O2946" s="387"/>
      <c r="P2946" s="387"/>
      <c r="Q2946" s="387"/>
    </row>
    <row r="2947" spans="15:17" ht="20.100000000000001" customHeight="1">
      <c r="O2947" s="387"/>
      <c r="P2947" s="387"/>
      <c r="Q2947" s="387"/>
    </row>
    <row r="2948" spans="15:17" ht="20.100000000000001" customHeight="1">
      <c r="O2948" s="387"/>
      <c r="P2948" s="387"/>
      <c r="Q2948" s="387"/>
    </row>
    <row r="2949" spans="15:17" ht="20.100000000000001" customHeight="1">
      <c r="O2949" s="387"/>
      <c r="P2949" s="387"/>
      <c r="Q2949" s="387"/>
    </row>
    <row r="2950" spans="15:17" ht="20.100000000000001" customHeight="1">
      <c r="O2950" s="387"/>
      <c r="P2950" s="387"/>
      <c r="Q2950" s="387"/>
    </row>
    <row r="2951" spans="15:17" ht="20.100000000000001" customHeight="1">
      <c r="O2951" s="387"/>
      <c r="P2951" s="387"/>
      <c r="Q2951" s="387"/>
    </row>
    <row r="2952" spans="15:17" ht="20.100000000000001" customHeight="1">
      <c r="O2952" s="387"/>
      <c r="P2952" s="387"/>
      <c r="Q2952" s="387"/>
    </row>
    <row r="2953" spans="15:17" ht="20.100000000000001" customHeight="1">
      <c r="O2953" s="387"/>
      <c r="P2953" s="387"/>
      <c r="Q2953" s="387"/>
    </row>
    <row r="2954" spans="15:17" ht="20.100000000000001" customHeight="1">
      <c r="O2954" s="387"/>
      <c r="P2954" s="387"/>
      <c r="Q2954" s="387"/>
    </row>
    <row r="2955" spans="15:17" ht="20.100000000000001" customHeight="1">
      <c r="O2955" s="387"/>
      <c r="P2955" s="387"/>
      <c r="Q2955" s="387"/>
    </row>
    <row r="2956" spans="15:17" ht="20.100000000000001" customHeight="1">
      <c r="O2956" s="387"/>
      <c r="P2956" s="387"/>
      <c r="Q2956" s="387"/>
    </row>
    <row r="2957" spans="15:17" ht="20.100000000000001" customHeight="1">
      <c r="O2957" s="387"/>
      <c r="P2957" s="387"/>
      <c r="Q2957" s="387"/>
    </row>
    <row r="2958" spans="15:17" ht="20.100000000000001" customHeight="1">
      <c r="O2958" s="387"/>
      <c r="P2958" s="387"/>
      <c r="Q2958" s="387"/>
    </row>
    <row r="2959" spans="15:17" ht="20.100000000000001" customHeight="1">
      <c r="O2959" s="387"/>
      <c r="P2959" s="387"/>
      <c r="Q2959" s="387"/>
    </row>
    <row r="2960" spans="15:17" ht="20.100000000000001" customHeight="1">
      <c r="O2960" s="387"/>
      <c r="P2960" s="387"/>
      <c r="Q2960" s="387"/>
    </row>
    <row r="2961" spans="15:17" ht="20.100000000000001" customHeight="1">
      <c r="O2961" s="387"/>
      <c r="P2961" s="387"/>
      <c r="Q2961" s="387"/>
    </row>
    <row r="2962" spans="15:17" ht="20.100000000000001" customHeight="1">
      <c r="O2962" s="387"/>
      <c r="P2962" s="387"/>
      <c r="Q2962" s="387"/>
    </row>
    <row r="2963" spans="15:17" ht="20.100000000000001" customHeight="1">
      <c r="O2963" s="387"/>
      <c r="P2963" s="387"/>
      <c r="Q2963" s="387"/>
    </row>
    <row r="2964" spans="15:17" ht="20.100000000000001" customHeight="1">
      <c r="O2964" s="387"/>
      <c r="P2964" s="387"/>
      <c r="Q2964" s="387"/>
    </row>
    <row r="2965" spans="15:17" ht="20.100000000000001" customHeight="1">
      <c r="O2965" s="387"/>
      <c r="P2965" s="387"/>
      <c r="Q2965" s="387"/>
    </row>
    <row r="2966" spans="15:17" ht="20.100000000000001" customHeight="1">
      <c r="O2966" s="387"/>
      <c r="P2966" s="387"/>
      <c r="Q2966" s="387"/>
    </row>
    <row r="2967" spans="15:17" ht="20.100000000000001" customHeight="1">
      <c r="O2967" s="387"/>
      <c r="P2967" s="387"/>
      <c r="Q2967" s="387"/>
    </row>
    <row r="2968" spans="15:17" ht="20.100000000000001" customHeight="1">
      <c r="O2968" s="387"/>
      <c r="P2968" s="387"/>
      <c r="Q2968" s="387"/>
    </row>
    <row r="2969" spans="15:17" ht="20.100000000000001" customHeight="1">
      <c r="O2969" s="387"/>
      <c r="P2969" s="387"/>
      <c r="Q2969" s="387"/>
    </row>
    <row r="2970" spans="15:17" ht="20.100000000000001" customHeight="1">
      <c r="O2970" s="387"/>
      <c r="P2970" s="387"/>
      <c r="Q2970" s="387"/>
    </row>
    <row r="2971" spans="15:17" ht="20.100000000000001" customHeight="1">
      <c r="O2971" s="387"/>
      <c r="P2971" s="387"/>
      <c r="Q2971" s="387"/>
    </row>
    <row r="2972" spans="15:17" ht="20.100000000000001" customHeight="1">
      <c r="O2972" s="387"/>
      <c r="P2972" s="387"/>
      <c r="Q2972" s="387"/>
    </row>
    <row r="2973" spans="15:17" ht="20.100000000000001" customHeight="1">
      <c r="O2973" s="387"/>
      <c r="P2973" s="387"/>
      <c r="Q2973" s="387"/>
    </row>
    <row r="2974" spans="15:17" ht="20.100000000000001" customHeight="1">
      <c r="O2974" s="387"/>
      <c r="P2974" s="387"/>
      <c r="Q2974" s="387"/>
    </row>
    <row r="2975" spans="15:17" ht="20.100000000000001" customHeight="1">
      <c r="O2975" s="387"/>
      <c r="P2975" s="387"/>
      <c r="Q2975" s="387"/>
    </row>
    <row r="2976" spans="15:17" ht="20.100000000000001" customHeight="1">
      <c r="O2976" s="387"/>
      <c r="P2976" s="387"/>
      <c r="Q2976" s="387"/>
    </row>
    <row r="2977" spans="15:17" ht="20.100000000000001" customHeight="1">
      <c r="O2977" s="387"/>
      <c r="P2977" s="387"/>
      <c r="Q2977" s="387"/>
    </row>
    <row r="2978" spans="15:17" ht="20.100000000000001" customHeight="1">
      <c r="O2978" s="387"/>
      <c r="P2978" s="387"/>
      <c r="Q2978" s="387"/>
    </row>
    <row r="2979" spans="15:17" ht="20.100000000000001" customHeight="1">
      <c r="O2979" s="387"/>
      <c r="P2979" s="387"/>
      <c r="Q2979" s="387"/>
    </row>
    <row r="2980" spans="15:17" ht="20.100000000000001" customHeight="1">
      <c r="O2980" s="387"/>
      <c r="P2980" s="387"/>
      <c r="Q2980" s="387"/>
    </row>
    <row r="2981" spans="15:17" ht="20.100000000000001" customHeight="1">
      <c r="O2981" s="387"/>
      <c r="P2981" s="387"/>
      <c r="Q2981" s="387"/>
    </row>
    <row r="2982" spans="15:17" ht="20.100000000000001" customHeight="1">
      <c r="O2982" s="387"/>
      <c r="P2982" s="387"/>
      <c r="Q2982" s="387"/>
    </row>
    <row r="2983" spans="15:17" ht="20.100000000000001" customHeight="1">
      <c r="O2983" s="387"/>
      <c r="P2983" s="387"/>
      <c r="Q2983" s="387"/>
    </row>
    <row r="2984" spans="15:17" ht="20.100000000000001" customHeight="1">
      <c r="O2984" s="387"/>
      <c r="P2984" s="387"/>
      <c r="Q2984" s="387"/>
    </row>
    <row r="2985" spans="15:17" ht="20.100000000000001" customHeight="1">
      <c r="O2985" s="387"/>
      <c r="P2985" s="387"/>
      <c r="Q2985" s="387"/>
    </row>
    <row r="2986" spans="15:17" ht="20.100000000000001" customHeight="1">
      <c r="O2986" s="387"/>
      <c r="P2986" s="387"/>
      <c r="Q2986" s="387"/>
    </row>
    <row r="2987" spans="15:17" ht="20.100000000000001" customHeight="1">
      <c r="O2987" s="387"/>
      <c r="P2987" s="387"/>
      <c r="Q2987" s="387"/>
    </row>
    <row r="2988" spans="15:17" ht="20.100000000000001" customHeight="1">
      <c r="O2988" s="387"/>
      <c r="P2988" s="387"/>
      <c r="Q2988" s="387"/>
    </row>
    <row r="2989" spans="15:17" ht="20.100000000000001" customHeight="1">
      <c r="O2989" s="387"/>
      <c r="P2989" s="387"/>
      <c r="Q2989" s="387"/>
    </row>
    <row r="2990" spans="15:17" ht="20.100000000000001" customHeight="1">
      <c r="O2990" s="387"/>
      <c r="P2990" s="387"/>
      <c r="Q2990" s="387"/>
    </row>
    <row r="2991" spans="15:17" ht="20.100000000000001" customHeight="1">
      <c r="O2991" s="387"/>
      <c r="P2991" s="387"/>
      <c r="Q2991" s="387"/>
    </row>
    <row r="2992" spans="15:17" ht="20.100000000000001" customHeight="1">
      <c r="O2992" s="387"/>
      <c r="P2992" s="387"/>
      <c r="Q2992" s="387"/>
    </row>
    <row r="2993" spans="15:17" ht="20.100000000000001" customHeight="1">
      <c r="O2993" s="387"/>
      <c r="P2993" s="387"/>
      <c r="Q2993" s="387"/>
    </row>
    <row r="2994" spans="15:17" ht="20.100000000000001" customHeight="1">
      <c r="O2994" s="387"/>
      <c r="P2994" s="387"/>
      <c r="Q2994" s="387"/>
    </row>
    <row r="2995" spans="15:17" ht="20.100000000000001" customHeight="1">
      <c r="O2995" s="387"/>
      <c r="P2995" s="387"/>
      <c r="Q2995" s="387"/>
    </row>
    <row r="2996" spans="15:17" ht="20.100000000000001" customHeight="1">
      <c r="O2996" s="387"/>
      <c r="P2996" s="387"/>
      <c r="Q2996" s="387"/>
    </row>
    <row r="2997" spans="15:17" ht="20.100000000000001" customHeight="1">
      <c r="O2997" s="387"/>
      <c r="P2997" s="387"/>
      <c r="Q2997" s="387"/>
    </row>
    <row r="2998" spans="15:17" ht="20.100000000000001" customHeight="1">
      <c r="O2998" s="387"/>
      <c r="P2998" s="387"/>
      <c r="Q2998" s="387"/>
    </row>
    <row r="2999" spans="15:17" ht="20.100000000000001" customHeight="1">
      <c r="O2999" s="387"/>
      <c r="P2999" s="387"/>
      <c r="Q2999" s="387"/>
    </row>
    <row r="3000" spans="15:17" ht="20.100000000000001" customHeight="1">
      <c r="O3000" s="387"/>
      <c r="P3000" s="387"/>
      <c r="Q3000" s="387"/>
    </row>
    <row r="3001" spans="15:17" ht="20.100000000000001" customHeight="1">
      <c r="O3001" s="387"/>
      <c r="P3001" s="387"/>
      <c r="Q3001" s="387"/>
    </row>
    <row r="3002" spans="15:17" ht="20.100000000000001" customHeight="1">
      <c r="O3002" s="387"/>
      <c r="P3002" s="387"/>
      <c r="Q3002" s="387"/>
    </row>
    <row r="3003" spans="15:17" ht="20.100000000000001" customHeight="1">
      <c r="O3003" s="387"/>
      <c r="P3003" s="387"/>
      <c r="Q3003" s="387"/>
    </row>
    <row r="3004" spans="15:17" ht="20.100000000000001" customHeight="1">
      <c r="O3004" s="387"/>
      <c r="P3004" s="387"/>
      <c r="Q3004" s="387"/>
    </row>
    <row r="3005" spans="15:17" ht="20.100000000000001" customHeight="1">
      <c r="O3005" s="387"/>
      <c r="P3005" s="387"/>
      <c r="Q3005" s="387"/>
    </row>
    <row r="3006" spans="15:17" ht="20.100000000000001" customHeight="1">
      <c r="O3006" s="387"/>
      <c r="P3006" s="387"/>
      <c r="Q3006" s="387"/>
    </row>
    <row r="3007" spans="15:17" ht="20.100000000000001" customHeight="1">
      <c r="O3007" s="387"/>
      <c r="P3007" s="387"/>
      <c r="Q3007" s="387"/>
    </row>
    <row r="3008" spans="15:17" ht="20.100000000000001" customHeight="1">
      <c r="O3008" s="387"/>
      <c r="P3008" s="387"/>
      <c r="Q3008" s="387"/>
    </row>
    <row r="3009" spans="15:17" ht="20.100000000000001" customHeight="1">
      <c r="O3009" s="387"/>
      <c r="P3009" s="387"/>
      <c r="Q3009" s="387"/>
    </row>
    <row r="3010" spans="15:17" ht="20.100000000000001" customHeight="1">
      <c r="O3010" s="387"/>
      <c r="P3010" s="387"/>
      <c r="Q3010" s="387"/>
    </row>
    <row r="3011" spans="15:17" ht="20.100000000000001" customHeight="1">
      <c r="O3011" s="387"/>
      <c r="P3011" s="387"/>
      <c r="Q3011" s="387"/>
    </row>
    <row r="3012" spans="15:17" ht="20.100000000000001" customHeight="1">
      <c r="O3012" s="387"/>
      <c r="P3012" s="387"/>
      <c r="Q3012" s="387"/>
    </row>
    <row r="3013" spans="15:17" ht="20.100000000000001" customHeight="1">
      <c r="O3013" s="387"/>
      <c r="P3013" s="387"/>
      <c r="Q3013" s="387"/>
    </row>
    <row r="3014" spans="15:17" ht="20.100000000000001" customHeight="1">
      <c r="O3014" s="387"/>
      <c r="P3014" s="387"/>
      <c r="Q3014" s="387"/>
    </row>
    <row r="3015" spans="15:17" ht="20.100000000000001" customHeight="1">
      <c r="O3015" s="387"/>
      <c r="P3015" s="387"/>
      <c r="Q3015" s="387"/>
    </row>
    <row r="3016" spans="15:17" ht="20.100000000000001" customHeight="1">
      <c r="O3016" s="387"/>
      <c r="P3016" s="387"/>
      <c r="Q3016" s="387"/>
    </row>
    <row r="3017" spans="15:17" ht="20.100000000000001" customHeight="1">
      <c r="O3017" s="387"/>
      <c r="P3017" s="387"/>
      <c r="Q3017" s="387"/>
    </row>
    <row r="3018" spans="15:17" ht="20.100000000000001" customHeight="1">
      <c r="O3018" s="387"/>
      <c r="P3018" s="387"/>
      <c r="Q3018" s="387"/>
    </row>
    <row r="3019" spans="15:17" ht="20.100000000000001" customHeight="1">
      <c r="O3019" s="387"/>
      <c r="P3019" s="387"/>
      <c r="Q3019" s="387"/>
    </row>
    <row r="3020" spans="15:17" ht="20.100000000000001" customHeight="1">
      <c r="O3020" s="387"/>
      <c r="P3020" s="387"/>
      <c r="Q3020" s="387"/>
    </row>
    <row r="3021" spans="15:17" ht="20.100000000000001" customHeight="1">
      <c r="O3021" s="387"/>
      <c r="P3021" s="387"/>
      <c r="Q3021" s="387"/>
    </row>
    <row r="3022" spans="15:17" ht="20.100000000000001" customHeight="1">
      <c r="O3022" s="387"/>
      <c r="P3022" s="387"/>
      <c r="Q3022" s="387"/>
    </row>
    <row r="3023" spans="15:17" ht="20.100000000000001" customHeight="1">
      <c r="O3023" s="387"/>
      <c r="P3023" s="387"/>
      <c r="Q3023" s="387"/>
    </row>
    <row r="3024" spans="15:17" ht="20.100000000000001" customHeight="1">
      <c r="O3024" s="387"/>
      <c r="P3024" s="387"/>
      <c r="Q3024" s="387"/>
    </row>
    <row r="3025" spans="15:17" ht="20.100000000000001" customHeight="1">
      <c r="O3025" s="387"/>
      <c r="P3025" s="387"/>
      <c r="Q3025" s="387"/>
    </row>
    <row r="3026" spans="15:17" ht="20.100000000000001" customHeight="1">
      <c r="O3026" s="387"/>
      <c r="P3026" s="387"/>
      <c r="Q3026" s="387"/>
    </row>
    <row r="3027" spans="15:17" ht="20.100000000000001" customHeight="1">
      <c r="O3027" s="387"/>
      <c r="P3027" s="387"/>
      <c r="Q3027" s="387"/>
    </row>
    <row r="3028" spans="15:17" ht="20.100000000000001" customHeight="1">
      <c r="O3028" s="387"/>
      <c r="P3028" s="387"/>
      <c r="Q3028" s="387"/>
    </row>
    <row r="3029" spans="15:17" ht="20.100000000000001" customHeight="1">
      <c r="O3029" s="387"/>
      <c r="P3029" s="387"/>
      <c r="Q3029" s="387"/>
    </row>
    <row r="3030" spans="15:17" ht="20.100000000000001" customHeight="1">
      <c r="O3030" s="387"/>
      <c r="P3030" s="387"/>
      <c r="Q3030" s="387"/>
    </row>
    <row r="3031" spans="15:17" ht="20.100000000000001" customHeight="1">
      <c r="O3031" s="387"/>
      <c r="P3031" s="387"/>
      <c r="Q3031" s="387"/>
    </row>
    <row r="3032" spans="15:17" ht="20.100000000000001" customHeight="1">
      <c r="O3032" s="387"/>
      <c r="P3032" s="387"/>
      <c r="Q3032" s="387"/>
    </row>
    <row r="3033" spans="15:17" ht="20.100000000000001" customHeight="1">
      <c r="O3033" s="387"/>
      <c r="P3033" s="387"/>
      <c r="Q3033" s="387"/>
    </row>
    <row r="3034" spans="15:17" ht="20.100000000000001" customHeight="1">
      <c r="O3034" s="387"/>
      <c r="P3034" s="387"/>
      <c r="Q3034" s="387"/>
    </row>
    <row r="3035" spans="15:17" ht="20.100000000000001" customHeight="1">
      <c r="O3035" s="387"/>
      <c r="P3035" s="387"/>
      <c r="Q3035" s="387"/>
    </row>
    <row r="3036" spans="15:17" ht="20.100000000000001" customHeight="1">
      <c r="O3036" s="387"/>
      <c r="P3036" s="387"/>
      <c r="Q3036" s="387"/>
    </row>
    <row r="3037" spans="15:17" ht="20.100000000000001" customHeight="1">
      <c r="O3037" s="387"/>
      <c r="P3037" s="387"/>
      <c r="Q3037" s="387"/>
    </row>
    <row r="3038" spans="15:17" ht="20.100000000000001" customHeight="1">
      <c r="O3038" s="387"/>
      <c r="P3038" s="387"/>
      <c r="Q3038" s="387"/>
    </row>
    <row r="3039" spans="15:17" ht="20.100000000000001" customHeight="1">
      <c r="O3039" s="387"/>
      <c r="P3039" s="387"/>
      <c r="Q3039" s="387"/>
    </row>
    <row r="3040" spans="15:17" ht="20.100000000000001" customHeight="1">
      <c r="O3040" s="387"/>
      <c r="P3040" s="387"/>
      <c r="Q3040" s="387"/>
    </row>
    <row r="3041" spans="15:17" ht="20.100000000000001" customHeight="1">
      <c r="O3041" s="387"/>
      <c r="P3041" s="387"/>
      <c r="Q3041" s="387"/>
    </row>
    <row r="3042" spans="15:17" ht="20.100000000000001" customHeight="1">
      <c r="O3042" s="387"/>
      <c r="P3042" s="387"/>
      <c r="Q3042" s="387"/>
    </row>
    <row r="3043" spans="15:17" ht="20.100000000000001" customHeight="1">
      <c r="O3043" s="387"/>
      <c r="P3043" s="387"/>
      <c r="Q3043" s="387"/>
    </row>
    <row r="3044" spans="15:17" ht="20.100000000000001" customHeight="1">
      <c r="O3044" s="387"/>
      <c r="P3044" s="387"/>
      <c r="Q3044" s="387"/>
    </row>
    <row r="3045" spans="15:17" ht="20.100000000000001" customHeight="1">
      <c r="O3045" s="387"/>
      <c r="P3045" s="387"/>
      <c r="Q3045" s="387"/>
    </row>
    <row r="3046" spans="15:17" ht="20.100000000000001" customHeight="1">
      <c r="O3046" s="387"/>
      <c r="P3046" s="387"/>
      <c r="Q3046" s="387"/>
    </row>
    <row r="3047" spans="15:17" ht="20.100000000000001" customHeight="1">
      <c r="O3047" s="387"/>
      <c r="P3047" s="387"/>
      <c r="Q3047" s="387"/>
    </row>
    <row r="3048" spans="15:17" ht="20.100000000000001" customHeight="1">
      <c r="O3048" s="387"/>
      <c r="P3048" s="387"/>
      <c r="Q3048" s="387"/>
    </row>
    <row r="3049" spans="15:17" ht="20.100000000000001" customHeight="1">
      <c r="O3049" s="387"/>
      <c r="P3049" s="387"/>
      <c r="Q3049" s="387"/>
    </row>
    <row r="3050" spans="15:17" ht="20.100000000000001" customHeight="1">
      <c r="O3050" s="387"/>
      <c r="P3050" s="387"/>
      <c r="Q3050" s="387"/>
    </row>
    <row r="3051" spans="15:17" ht="20.100000000000001" customHeight="1">
      <c r="O3051" s="387"/>
      <c r="P3051" s="387"/>
      <c r="Q3051" s="387"/>
    </row>
    <row r="3052" spans="15:17" ht="20.100000000000001" customHeight="1">
      <c r="O3052" s="387"/>
      <c r="P3052" s="387"/>
      <c r="Q3052" s="387"/>
    </row>
    <row r="3053" spans="15:17" ht="20.100000000000001" customHeight="1">
      <c r="O3053" s="387"/>
      <c r="P3053" s="387"/>
      <c r="Q3053" s="387"/>
    </row>
    <row r="3054" spans="15:17" ht="20.100000000000001" customHeight="1">
      <c r="O3054" s="387"/>
      <c r="P3054" s="387"/>
      <c r="Q3054" s="387"/>
    </row>
    <row r="3055" spans="15:17" ht="20.100000000000001" customHeight="1">
      <c r="O3055" s="387"/>
      <c r="P3055" s="387"/>
      <c r="Q3055" s="387"/>
    </row>
    <row r="3056" spans="15:17" ht="20.100000000000001" customHeight="1">
      <c r="O3056" s="387"/>
      <c r="P3056" s="387"/>
      <c r="Q3056" s="387"/>
    </row>
    <row r="3057" spans="15:17" ht="20.100000000000001" customHeight="1">
      <c r="O3057" s="387"/>
      <c r="P3057" s="387"/>
      <c r="Q3057" s="387"/>
    </row>
    <row r="3058" spans="15:17" ht="20.100000000000001" customHeight="1">
      <c r="O3058" s="387"/>
      <c r="P3058" s="387"/>
      <c r="Q3058" s="387"/>
    </row>
    <row r="3059" spans="15:17" ht="20.100000000000001" customHeight="1">
      <c r="O3059" s="387"/>
      <c r="P3059" s="387"/>
      <c r="Q3059" s="387"/>
    </row>
    <row r="3060" spans="15:17" ht="20.100000000000001" customHeight="1">
      <c r="O3060" s="387"/>
      <c r="P3060" s="387"/>
      <c r="Q3060" s="387"/>
    </row>
    <row r="3061" spans="15:17" ht="20.100000000000001" customHeight="1">
      <c r="O3061" s="387"/>
      <c r="P3061" s="387"/>
      <c r="Q3061" s="387"/>
    </row>
    <row r="3062" spans="15:17" ht="20.100000000000001" customHeight="1">
      <c r="O3062" s="387"/>
      <c r="P3062" s="387"/>
      <c r="Q3062" s="387"/>
    </row>
    <row r="3063" spans="15:17" ht="20.100000000000001" customHeight="1">
      <c r="O3063" s="387"/>
      <c r="P3063" s="387"/>
      <c r="Q3063" s="387"/>
    </row>
    <row r="3064" spans="15:17" ht="20.100000000000001" customHeight="1">
      <c r="O3064" s="387"/>
      <c r="P3064" s="387"/>
      <c r="Q3064" s="387"/>
    </row>
    <row r="3065" spans="15:17" ht="20.100000000000001" customHeight="1">
      <c r="O3065" s="387"/>
      <c r="P3065" s="387"/>
      <c r="Q3065" s="387"/>
    </row>
    <row r="3066" spans="15:17" ht="20.100000000000001" customHeight="1">
      <c r="O3066" s="387"/>
      <c r="P3066" s="387"/>
      <c r="Q3066" s="387"/>
    </row>
    <row r="3067" spans="15:17" ht="20.100000000000001" customHeight="1">
      <c r="O3067" s="387"/>
      <c r="P3067" s="387"/>
      <c r="Q3067" s="387"/>
    </row>
    <row r="3068" spans="15:17" ht="20.100000000000001" customHeight="1">
      <c r="O3068" s="387"/>
      <c r="P3068" s="387"/>
      <c r="Q3068" s="387"/>
    </row>
    <row r="3069" spans="15:17" ht="20.100000000000001" customHeight="1">
      <c r="O3069" s="387"/>
      <c r="P3069" s="387"/>
      <c r="Q3069" s="387"/>
    </row>
    <row r="3070" spans="15:17" ht="20.100000000000001" customHeight="1">
      <c r="O3070" s="387"/>
      <c r="P3070" s="387"/>
      <c r="Q3070" s="387"/>
    </row>
    <row r="3071" spans="15:17" ht="20.100000000000001" customHeight="1">
      <c r="O3071" s="387"/>
      <c r="P3071" s="387"/>
      <c r="Q3071" s="387"/>
    </row>
    <row r="3072" spans="15:17" ht="20.100000000000001" customHeight="1">
      <c r="O3072" s="387"/>
      <c r="P3072" s="387"/>
      <c r="Q3072" s="387"/>
    </row>
    <row r="3073" spans="15:17" ht="20.100000000000001" customHeight="1">
      <c r="O3073" s="387"/>
      <c r="P3073" s="387"/>
      <c r="Q3073" s="387"/>
    </row>
    <row r="3074" spans="15:17" ht="20.100000000000001" customHeight="1">
      <c r="O3074" s="387"/>
      <c r="P3074" s="387"/>
      <c r="Q3074" s="387"/>
    </row>
    <row r="3075" spans="15:17" ht="20.100000000000001" customHeight="1">
      <c r="O3075" s="387"/>
      <c r="P3075" s="387"/>
      <c r="Q3075" s="387"/>
    </row>
    <row r="3076" spans="15:17" ht="20.100000000000001" customHeight="1">
      <c r="O3076" s="387"/>
      <c r="P3076" s="387"/>
      <c r="Q3076" s="387"/>
    </row>
    <row r="3077" spans="15:17" ht="20.100000000000001" customHeight="1">
      <c r="O3077" s="387"/>
      <c r="P3077" s="387"/>
      <c r="Q3077" s="387"/>
    </row>
    <row r="3078" spans="15:17" ht="20.100000000000001" customHeight="1">
      <c r="O3078" s="387"/>
      <c r="P3078" s="387"/>
      <c r="Q3078" s="387"/>
    </row>
    <row r="3079" spans="15:17" ht="20.100000000000001" customHeight="1">
      <c r="O3079" s="387"/>
      <c r="P3079" s="387"/>
      <c r="Q3079" s="387"/>
    </row>
    <row r="3080" spans="15:17" ht="20.100000000000001" customHeight="1">
      <c r="O3080" s="387"/>
      <c r="P3080" s="387"/>
      <c r="Q3080" s="387"/>
    </row>
    <row r="3081" spans="15:17" ht="20.100000000000001" customHeight="1">
      <c r="O3081" s="387"/>
      <c r="P3081" s="387"/>
      <c r="Q3081" s="387"/>
    </row>
    <row r="3082" spans="15:17" ht="20.100000000000001" customHeight="1">
      <c r="O3082" s="387"/>
      <c r="P3082" s="387"/>
      <c r="Q3082" s="387"/>
    </row>
    <row r="3083" spans="15:17" ht="20.100000000000001" customHeight="1">
      <c r="O3083" s="387"/>
      <c r="P3083" s="387"/>
      <c r="Q3083" s="387"/>
    </row>
    <row r="3084" spans="15:17" ht="20.100000000000001" customHeight="1">
      <c r="O3084" s="387"/>
      <c r="P3084" s="387"/>
      <c r="Q3084" s="387"/>
    </row>
    <row r="3085" spans="15:17" ht="20.100000000000001" customHeight="1">
      <c r="O3085" s="387"/>
      <c r="P3085" s="387"/>
      <c r="Q3085" s="387"/>
    </row>
    <row r="3086" spans="15:17" ht="20.100000000000001" customHeight="1">
      <c r="O3086" s="387"/>
      <c r="P3086" s="387"/>
      <c r="Q3086" s="387"/>
    </row>
    <row r="3087" spans="15:17" ht="20.100000000000001" customHeight="1">
      <c r="O3087" s="387"/>
      <c r="P3087" s="387"/>
      <c r="Q3087" s="387"/>
    </row>
    <row r="3088" spans="15:17" ht="20.100000000000001" customHeight="1">
      <c r="O3088" s="387"/>
      <c r="P3088" s="387"/>
      <c r="Q3088" s="387"/>
    </row>
    <row r="3089" spans="15:17" ht="20.100000000000001" customHeight="1">
      <c r="O3089" s="387"/>
      <c r="P3089" s="387"/>
      <c r="Q3089" s="387"/>
    </row>
    <row r="3090" spans="15:17" ht="20.100000000000001" customHeight="1">
      <c r="O3090" s="387"/>
      <c r="P3090" s="387"/>
      <c r="Q3090" s="387"/>
    </row>
    <row r="3091" spans="15:17" ht="20.100000000000001" customHeight="1">
      <c r="O3091" s="387"/>
      <c r="P3091" s="387"/>
      <c r="Q3091" s="387"/>
    </row>
    <row r="3092" spans="15:17" ht="20.100000000000001" customHeight="1">
      <c r="O3092" s="387"/>
      <c r="P3092" s="387"/>
      <c r="Q3092" s="387"/>
    </row>
    <row r="3093" spans="15:17" ht="20.100000000000001" customHeight="1">
      <c r="O3093" s="387"/>
      <c r="P3093" s="387"/>
      <c r="Q3093" s="387"/>
    </row>
    <row r="3094" spans="15:17" ht="20.100000000000001" customHeight="1">
      <c r="O3094" s="387"/>
      <c r="P3094" s="387"/>
      <c r="Q3094" s="387"/>
    </row>
    <row r="3095" spans="15:17" ht="20.100000000000001" customHeight="1">
      <c r="O3095" s="387"/>
      <c r="P3095" s="387"/>
      <c r="Q3095" s="387"/>
    </row>
    <row r="3096" spans="15:17" ht="20.100000000000001" customHeight="1">
      <c r="O3096" s="387"/>
      <c r="P3096" s="387"/>
      <c r="Q3096" s="387"/>
    </row>
    <row r="3097" spans="15:17" ht="20.100000000000001" customHeight="1">
      <c r="O3097" s="387"/>
      <c r="P3097" s="387"/>
      <c r="Q3097" s="387"/>
    </row>
    <row r="3098" spans="15:17" ht="20.100000000000001" customHeight="1">
      <c r="O3098" s="387"/>
      <c r="P3098" s="387"/>
      <c r="Q3098" s="387"/>
    </row>
    <row r="3099" spans="15:17" ht="20.100000000000001" customHeight="1">
      <c r="O3099" s="387"/>
      <c r="P3099" s="387"/>
      <c r="Q3099" s="387"/>
    </row>
    <row r="3100" spans="15:17" ht="20.100000000000001" customHeight="1">
      <c r="O3100" s="387"/>
      <c r="P3100" s="387"/>
      <c r="Q3100" s="387"/>
    </row>
    <row r="3101" spans="15:17" ht="20.100000000000001" customHeight="1">
      <c r="O3101" s="387"/>
      <c r="P3101" s="387"/>
      <c r="Q3101" s="387"/>
    </row>
    <row r="3102" spans="15:17" ht="20.100000000000001" customHeight="1">
      <c r="O3102" s="387"/>
      <c r="P3102" s="387"/>
      <c r="Q3102" s="387"/>
    </row>
    <row r="3103" spans="15:17" ht="20.100000000000001" customHeight="1">
      <c r="O3103" s="387"/>
      <c r="P3103" s="387"/>
      <c r="Q3103" s="387"/>
    </row>
    <row r="3104" spans="15:17" ht="20.100000000000001" customHeight="1">
      <c r="O3104" s="387"/>
      <c r="P3104" s="387"/>
      <c r="Q3104" s="387"/>
    </row>
    <row r="3105" spans="15:17" ht="20.100000000000001" customHeight="1">
      <c r="O3105" s="387"/>
      <c r="P3105" s="387"/>
      <c r="Q3105" s="387"/>
    </row>
    <row r="3106" spans="15:17" ht="20.100000000000001" customHeight="1">
      <c r="O3106" s="387"/>
      <c r="P3106" s="387"/>
      <c r="Q3106" s="387"/>
    </row>
    <row r="3107" spans="15:17" ht="20.100000000000001" customHeight="1">
      <c r="O3107" s="387"/>
      <c r="P3107" s="387"/>
      <c r="Q3107" s="387"/>
    </row>
    <row r="3108" spans="15:17" ht="20.100000000000001" customHeight="1">
      <c r="O3108" s="387"/>
      <c r="P3108" s="387"/>
      <c r="Q3108" s="387"/>
    </row>
    <row r="3109" spans="15:17" ht="20.100000000000001" customHeight="1">
      <c r="O3109" s="387"/>
      <c r="P3109" s="387"/>
      <c r="Q3109" s="387"/>
    </row>
    <row r="3110" spans="15:17" ht="20.100000000000001" customHeight="1">
      <c r="O3110" s="387"/>
      <c r="P3110" s="387"/>
      <c r="Q3110" s="387"/>
    </row>
    <row r="3111" spans="15:17" ht="20.100000000000001" customHeight="1">
      <c r="O3111" s="387"/>
      <c r="P3111" s="387"/>
      <c r="Q3111" s="387"/>
    </row>
    <row r="3112" spans="15:17" ht="20.100000000000001" customHeight="1">
      <c r="O3112" s="387"/>
      <c r="P3112" s="387"/>
      <c r="Q3112" s="387"/>
    </row>
    <row r="3113" spans="15:17" ht="20.100000000000001" customHeight="1">
      <c r="O3113" s="387"/>
      <c r="P3113" s="387"/>
      <c r="Q3113" s="387"/>
    </row>
    <row r="3114" spans="15:17" ht="20.100000000000001" customHeight="1">
      <c r="O3114" s="387"/>
      <c r="P3114" s="387"/>
      <c r="Q3114" s="387"/>
    </row>
    <row r="3115" spans="15:17" ht="20.100000000000001" customHeight="1">
      <c r="O3115" s="387"/>
      <c r="P3115" s="387"/>
      <c r="Q3115" s="387"/>
    </row>
    <row r="3116" spans="15:17" ht="20.100000000000001" customHeight="1">
      <c r="O3116" s="387"/>
      <c r="P3116" s="387"/>
      <c r="Q3116" s="387"/>
    </row>
    <row r="3117" spans="15:17" ht="20.100000000000001" customHeight="1">
      <c r="O3117" s="387"/>
      <c r="P3117" s="387"/>
      <c r="Q3117" s="387"/>
    </row>
    <row r="3118" spans="15:17" ht="20.100000000000001" customHeight="1">
      <c r="O3118" s="387"/>
      <c r="P3118" s="387"/>
      <c r="Q3118" s="387"/>
    </row>
    <row r="3119" spans="15:17" ht="20.100000000000001" customHeight="1">
      <c r="O3119" s="387"/>
      <c r="P3119" s="387"/>
      <c r="Q3119" s="387"/>
    </row>
    <row r="3120" spans="15:17" ht="20.100000000000001" customHeight="1">
      <c r="O3120" s="387"/>
      <c r="P3120" s="387"/>
      <c r="Q3120" s="387"/>
    </row>
    <row r="3121" spans="15:17" ht="20.100000000000001" customHeight="1">
      <c r="O3121" s="387"/>
      <c r="P3121" s="387"/>
      <c r="Q3121" s="387"/>
    </row>
    <row r="3122" spans="15:17" ht="20.100000000000001" customHeight="1">
      <c r="O3122" s="387"/>
      <c r="P3122" s="387"/>
      <c r="Q3122" s="387"/>
    </row>
    <row r="3123" spans="15:17" ht="20.100000000000001" customHeight="1">
      <c r="O3123" s="387"/>
      <c r="P3123" s="387"/>
      <c r="Q3123" s="387"/>
    </row>
    <row r="3124" spans="15:17" ht="20.100000000000001" customHeight="1">
      <c r="O3124" s="387"/>
      <c r="P3124" s="387"/>
      <c r="Q3124" s="387"/>
    </row>
    <row r="3125" spans="15:17" ht="20.100000000000001" customHeight="1">
      <c r="O3125" s="387"/>
      <c r="P3125" s="387"/>
      <c r="Q3125" s="387"/>
    </row>
    <row r="3126" spans="15:17" ht="20.100000000000001" customHeight="1">
      <c r="O3126" s="387"/>
      <c r="P3126" s="387"/>
      <c r="Q3126" s="387"/>
    </row>
    <row r="3127" spans="15:17" ht="20.100000000000001" customHeight="1">
      <c r="O3127" s="387"/>
      <c r="P3127" s="387"/>
      <c r="Q3127" s="387"/>
    </row>
    <row r="3128" spans="15:17" ht="20.100000000000001" customHeight="1">
      <c r="O3128" s="387"/>
      <c r="P3128" s="387"/>
      <c r="Q3128" s="387"/>
    </row>
    <row r="3129" spans="15:17" ht="20.100000000000001" customHeight="1">
      <c r="O3129" s="387"/>
      <c r="P3129" s="387"/>
      <c r="Q3129" s="387"/>
    </row>
    <row r="3130" spans="15:17" ht="20.100000000000001" customHeight="1">
      <c r="O3130" s="387"/>
      <c r="P3130" s="387"/>
      <c r="Q3130" s="387"/>
    </row>
    <row r="3131" spans="15:17" ht="20.100000000000001" customHeight="1">
      <c r="O3131" s="387"/>
      <c r="P3131" s="387"/>
      <c r="Q3131" s="387"/>
    </row>
    <row r="3132" spans="15:17" ht="20.100000000000001" customHeight="1">
      <c r="O3132" s="387"/>
      <c r="P3132" s="387"/>
      <c r="Q3132" s="387"/>
    </row>
    <row r="3133" spans="15:17" ht="20.100000000000001" customHeight="1">
      <c r="O3133" s="387"/>
      <c r="P3133" s="387"/>
      <c r="Q3133" s="387"/>
    </row>
    <row r="3134" spans="15:17" ht="20.100000000000001" customHeight="1">
      <c r="O3134" s="387"/>
      <c r="P3134" s="387"/>
      <c r="Q3134" s="387"/>
    </row>
    <row r="3135" spans="15:17" ht="20.100000000000001" customHeight="1">
      <c r="O3135" s="387"/>
      <c r="P3135" s="387"/>
      <c r="Q3135" s="387"/>
    </row>
    <row r="3136" spans="15:17" ht="20.100000000000001" customHeight="1">
      <c r="O3136" s="387"/>
      <c r="P3136" s="387"/>
      <c r="Q3136" s="387"/>
    </row>
    <row r="3137" spans="15:17" ht="20.100000000000001" customHeight="1">
      <c r="O3137" s="387"/>
      <c r="P3137" s="387"/>
      <c r="Q3137" s="387"/>
    </row>
    <row r="3138" spans="15:17" ht="20.100000000000001" customHeight="1">
      <c r="O3138" s="387"/>
      <c r="P3138" s="387"/>
      <c r="Q3138" s="387"/>
    </row>
    <row r="3139" spans="15:17" ht="20.100000000000001" customHeight="1">
      <c r="O3139" s="387"/>
      <c r="P3139" s="387"/>
      <c r="Q3139" s="387"/>
    </row>
    <row r="3140" spans="15:17" ht="20.100000000000001" customHeight="1">
      <c r="O3140" s="387"/>
      <c r="P3140" s="387"/>
      <c r="Q3140" s="387"/>
    </row>
    <row r="3141" spans="15:17" ht="20.100000000000001" customHeight="1">
      <c r="O3141" s="387"/>
      <c r="P3141" s="387"/>
      <c r="Q3141" s="387"/>
    </row>
    <row r="3142" spans="15:17" ht="20.100000000000001" customHeight="1">
      <c r="O3142" s="387"/>
      <c r="P3142" s="387"/>
      <c r="Q3142" s="387"/>
    </row>
    <row r="3143" spans="15:17" ht="20.100000000000001" customHeight="1">
      <c r="O3143" s="387"/>
      <c r="P3143" s="387"/>
      <c r="Q3143" s="387"/>
    </row>
    <row r="3144" spans="15:17" ht="20.100000000000001" customHeight="1">
      <c r="O3144" s="387"/>
      <c r="P3144" s="387"/>
      <c r="Q3144" s="387"/>
    </row>
    <row r="3145" spans="15:17" ht="20.100000000000001" customHeight="1">
      <c r="O3145" s="387"/>
      <c r="P3145" s="387"/>
      <c r="Q3145" s="387"/>
    </row>
    <row r="3146" spans="15:17" ht="20.100000000000001" customHeight="1">
      <c r="O3146" s="387"/>
      <c r="P3146" s="387"/>
      <c r="Q3146" s="387"/>
    </row>
    <row r="3147" spans="15:17" ht="20.100000000000001" customHeight="1">
      <c r="O3147" s="387"/>
      <c r="P3147" s="387"/>
      <c r="Q3147" s="387"/>
    </row>
    <row r="3148" spans="15:17" ht="20.100000000000001" customHeight="1">
      <c r="O3148" s="387"/>
      <c r="P3148" s="387"/>
      <c r="Q3148" s="387"/>
    </row>
    <row r="3149" spans="15:17" ht="20.100000000000001" customHeight="1">
      <c r="O3149" s="387"/>
      <c r="P3149" s="387"/>
      <c r="Q3149" s="387"/>
    </row>
    <row r="3150" spans="15:17" ht="20.100000000000001" customHeight="1">
      <c r="O3150" s="387"/>
      <c r="P3150" s="387"/>
      <c r="Q3150" s="387"/>
    </row>
    <row r="3151" spans="15:17" ht="20.100000000000001" customHeight="1">
      <c r="O3151" s="387"/>
      <c r="P3151" s="387"/>
      <c r="Q3151" s="387"/>
    </row>
    <row r="3152" spans="15:17" ht="20.100000000000001" customHeight="1">
      <c r="O3152" s="387"/>
      <c r="P3152" s="387"/>
      <c r="Q3152" s="387"/>
    </row>
    <row r="3153" spans="15:17" ht="20.100000000000001" customHeight="1">
      <c r="O3153" s="387"/>
      <c r="P3153" s="387"/>
      <c r="Q3153" s="387"/>
    </row>
    <row r="3154" spans="15:17" ht="20.100000000000001" customHeight="1">
      <c r="O3154" s="387"/>
      <c r="P3154" s="387"/>
      <c r="Q3154" s="387"/>
    </row>
    <row r="3155" spans="15:17" ht="20.100000000000001" customHeight="1">
      <c r="O3155" s="387"/>
      <c r="P3155" s="387"/>
      <c r="Q3155" s="387"/>
    </row>
    <row r="3156" spans="15:17" ht="20.100000000000001" customHeight="1">
      <c r="O3156" s="387"/>
      <c r="P3156" s="387"/>
      <c r="Q3156" s="387"/>
    </row>
    <row r="3157" spans="15:17" ht="20.100000000000001" customHeight="1">
      <c r="O3157" s="387"/>
      <c r="P3157" s="387"/>
      <c r="Q3157" s="387"/>
    </row>
    <row r="3158" spans="15:17" ht="20.100000000000001" customHeight="1">
      <c r="O3158" s="387"/>
      <c r="P3158" s="387"/>
      <c r="Q3158" s="387"/>
    </row>
    <row r="3159" spans="15:17" ht="20.100000000000001" customHeight="1">
      <c r="O3159" s="387"/>
      <c r="P3159" s="387"/>
      <c r="Q3159" s="387"/>
    </row>
    <row r="3160" spans="15:17" ht="20.100000000000001" customHeight="1">
      <c r="O3160" s="387"/>
      <c r="P3160" s="387"/>
      <c r="Q3160" s="387"/>
    </row>
    <row r="3161" spans="15:17" ht="20.100000000000001" customHeight="1">
      <c r="O3161" s="387"/>
      <c r="P3161" s="387"/>
      <c r="Q3161" s="387"/>
    </row>
    <row r="3162" spans="15:17" ht="20.100000000000001" customHeight="1">
      <c r="O3162" s="387"/>
      <c r="P3162" s="387"/>
      <c r="Q3162" s="387"/>
    </row>
    <row r="3163" spans="15:17" ht="20.100000000000001" customHeight="1">
      <c r="O3163" s="387"/>
      <c r="P3163" s="387"/>
      <c r="Q3163" s="387"/>
    </row>
    <row r="3164" spans="15:17" ht="20.100000000000001" customHeight="1">
      <c r="O3164" s="387"/>
      <c r="P3164" s="387"/>
      <c r="Q3164" s="387"/>
    </row>
    <row r="3165" spans="15:17" ht="20.100000000000001" customHeight="1">
      <c r="O3165" s="387"/>
      <c r="P3165" s="387"/>
      <c r="Q3165" s="387"/>
    </row>
    <row r="3166" spans="15:17" ht="20.100000000000001" customHeight="1">
      <c r="O3166" s="387"/>
      <c r="P3166" s="387"/>
      <c r="Q3166" s="387"/>
    </row>
    <row r="3167" spans="15:17" ht="20.100000000000001" customHeight="1">
      <c r="O3167" s="387"/>
      <c r="P3167" s="387"/>
      <c r="Q3167" s="387"/>
    </row>
    <row r="3168" spans="15:17" ht="20.100000000000001" customHeight="1">
      <c r="O3168" s="387"/>
      <c r="P3168" s="387"/>
      <c r="Q3168" s="387"/>
    </row>
    <row r="3169" spans="15:17" ht="20.100000000000001" customHeight="1">
      <c r="O3169" s="387"/>
      <c r="P3169" s="387"/>
      <c r="Q3169" s="387"/>
    </row>
    <row r="3170" spans="15:17" ht="20.100000000000001" customHeight="1">
      <c r="O3170" s="387"/>
      <c r="P3170" s="387"/>
      <c r="Q3170" s="387"/>
    </row>
    <row r="3171" spans="15:17" ht="20.100000000000001" customHeight="1">
      <c r="O3171" s="387"/>
      <c r="P3171" s="387"/>
      <c r="Q3171" s="387"/>
    </row>
    <row r="3172" spans="15:17" ht="20.100000000000001" customHeight="1">
      <c r="O3172" s="387"/>
      <c r="P3172" s="387"/>
      <c r="Q3172" s="387"/>
    </row>
    <row r="3173" spans="15:17" ht="20.100000000000001" customHeight="1">
      <c r="O3173" s="387"/>
      <c r="P3173" s="387"/>
      <c r="Q3173" s="387"/>
    </row>
    <row r="3174" spans="15:17" ht="20.100000000000001" customHeight="1">
      <c r="O3174" s="387"/>
      <c r="P3174" s="387"/>
      <c r="Q3174" s="387"/>
    </row>
    <row r="3175" spans="15:17" ht="20.100000000000001" customHeight="1">
      <c r="O3175" s="387"/>
      <c r="P3175" s="387"/>
      <c r="Q3175" s="387"/>
    </row>
    <row r="3176" spans="15:17" ht="20.100000000000001" customHeight="1">
      <c r="O3176" s="387"/>
      <c r="P3176" s="387"/>
      <c r="Q3176" s="387"/>
    </row>
    <row r="3177" spans="15:17" ht="20.100000000000001" customHeight="1">
      <c r="O3177" s="387"/>
      <c r="P3177" s="387"/>
      <c r="Q3177" s="387"/>
    </row>
    <row r="3178" spans="15:17" ht="20.100000000000001" customHeight="1">
      <c r="O3178" s="387"/>
      <c r="P3178" s="387"/>
      <c r="Q3178" s="387"/>
    </row>
    <row r="3179" spans="15:17" ht="20.100000000000001" customHeight="1">
      <c r="O3179" s="387"/>
      <c r="P3179" s="387"/>
      <c r="Q3179" s="387"/>
    </row>
    <row r="3180" spans="15:17" ht="20.100000000000001" customHeight="1">
      <c r="O3180" s="387"/>
      <c r="P3180" s="387"/>
      <c r="Q3180" s="387"/>
    </row>
    <row r="3181" spans="15:17" ht="20.100000000000001" customHeight="1">
      <c r="O3181" s="387"/>
      <c r="P3181" s="387"/>
      <c r="Q3181" s="387"/>
    </row>
    <row r="3182" spans="15:17" ht="20.100000000000001" customHeight="1">
      <c r="O3182" s="387"/>
      <c r="P3182" s="387"/>
      <c r="Q3182" s="387"/>
    </row>
    <row r="3183" spans="15:17" ht="20.100000000000001" customHeight="1">
      <c r="O3183" s="387"/>
      <c r="P3183" s="387"/>
      <c r="Q3183" s="387"/>
    </row>
    <row r="3184" spans="15:17" ht="20.100000000000001" customHeight="1">
      <c r="O3184" s="387"/>
      <c r="P3184" s="387"/>
      <c r="Q3184" s="387"/>
    </row>
    <row r="3185" spans="15:17" ht="20.100000000000001" customHeight="1">
      <c r="O3185" s="387"/>
      <c r="P3185" s="387"/>
      <c r="Q3185" s="387"/>
    </row>
    <row r="3186" spans="15:17" ht="20.100000000000001" customHeight="1">
      <c r="O3186" s="387"/>
      <c r="P3186" s="387"/>
      <c r="Q3186" s="387"/>
    </row>
    <row r="3187" spans="15:17" ht="20.100000000000001" customHeight="1">
      <c r="O3187" s="387"/>
      <c r="P3187" s="387"/>
      <c r="Q3187" s="387"/>
    </row>
    <row r="3188" spans="15:17" ht="20.100000000000001" customHeight="1">
      <c r="O3188" s="387"/>
      <c r="P3188" s="387"/>
      <c r="Q3188" s="387"/>
    </row>
    <row r="3189" spans="15:17" ht="20.100000000000001" customHeight="1">
      <c r="O3189" s="387"/>
      <c r="P3189" s="387"/>
      <c r="Q3189" s="387"/>
    </row>
    <row r="3190" spans="15:17" ht="20.100000000000001" customHeight="1">
      <c r="O3190" s="387"/>
      <c r="P3190" s="387"/>
      <c r="Q3190" s="387"/>
    </row>
    <row r="3191" spans="15:17" ht="20.100000000000001" customHeight="1">
      <c r="O3191" s="387"/>
      <c r="P3191" s="387"/>
      <c r="Q3191" s="387"/>
    </row>
    <row r="3192" spans="15:17" ht="20.100000000000001" customHeight="1">
      <c r="O3192" s="387"/>
      <c r="P3192" s="387"/>
      <c r="Q3192" s="387"/>
    </row>
    <row r="3193" spans="15:17" ht="20.100000000000001" customHeight="1">
      <c r="O3193" s="387"/>
      <c r="P3193" s="387"/>
      <c r="Q3193" s="387"/>
    </row>
    <row r="3194" spans="15:17" ht="20.100000000000001" customHeight="1">
      <c r="O3194" s="387"/>
      <c r="P3194" s="387"/>
      <c r="Q3194" s="387"/>
    </row>
    <row r="3195" spans="15:17" ht="20.100000000000001" customHeight="1">
      <c r="O3195" s="387"/>
      <c r="P3195" s="387"/>
      <c r="Q3195" s="387"/>
    </row>
    <row r="3196" spans="15:17" ht="20.100000000000001" customHeight="1">
      <c r="O3196" s="387"/>
      <c r="P3196" s="387"/>
      <c r="Q3196" s="387"/>
    </row>
    <row r="3197" spans="15:17" ht="20.100000000000001" customHeight="1">
      <c r="O3197" s="387"/>
      <c r="P3197" s="387"/>
      <c r="Q3197" s="387"/>
    </row>
    <row r="3198" spans="15:17" ht="20.100000000000001" customHeight="1">
      <c r="O3198" s="387"/>
      <c r="P3198" s="387"/>
      <c r="Q3198" s="387"/>
    </row>
    <row r="3199" spans="15:17" ht="20.100000000000001" customHeight="1">
      <c r="O3199" s="387"/>
      <c r="P3199" s="387"/>
      <c r="Q3199" s="387"/>
    </row>
    <row r="3200" spans="15:17" ht="20.100000000000001" customHeight="1">
      <c r="O3200" s="387"/>
      <c r="P3200" s="387"/>
      <c r="Q3200" s="387"/>
    </row>
    <row r="3201" spans="15:17" ht="20.100000000000001" customHeight="1">
      <c r="O3201" s="387"/>
      <c r="P3201" s="387"/>
      <c r="Q3201" s="387"/>
    </row>
    <row r="3202" spans="15:17" ht="20.100000000000001" customHeight="1">
      <c r="O3202" s="387"/>
      <c r="P3202" s="387"/>
      <c r="Q3202" s="387"/>
    </row>
    <row r="3203" spans="15:17" ht="20.100000000000001" customHeight="1">
      <c r="O3203" s="387"/>
      <c r="P3203" s="387"/>
      <c r="Q3203" s="387"/>
    </row>
    <row r="3204" spans="15:17" ht="20.100000000000001" customHeight="1">
      <c r="O3204" s="387"/>
      <c r="P3204" s="387"/>
      <c r="Q3204" s="387"/>
    </row>
    <row r="3205" spans="15:17" ht="20.100000000000001" customHeight="1">
      <c r="O3205" s="387"/>
      <c r="P3205" s="387"/>
      <c r="Q3205" s="387"/>
    </row>
    <row r="3206" spans="15:17" ht="20.100000000000001" customHeight="1">
      <c r="O3206" s="387"/>
      <c r="P3206" s="387"/>
      <c r="Q3206" s="387"/>
    </row>
    <row r="3207" spans="15:17" ht="20.100000000000001" customHeight="1">
      <c r="O3207" s="387"/>
      <c r="P3207" s="387"/>
      <c r="Q3207" s="387"/>
    </row>
    <row r="3208" spans="15:17" ht="20.100000000000001" customHeight="1">
      <c r="O3208" s="387"/>
      <c r="P3208" s="387"/>
      <c r="Q3208" s="387"/>
    </row>
    <row r="3209" spans="15:17" ht="20.100000000000001" customHeight="1">
      <c r="O3209" s="387"/>
      <c r="P3209" s="387"/>
      <c r="Q3209" s="387"/>
    </row>
    <row r="3210" spans="15:17" ht="20.100000000000001" customHeight="1">
      <c r="O3210" s="387"/>
      <c r="P3210" s="387"/>
      <c r="Q3210" s="387"/>
    </row>
    <row r="3211" spans="15:17" ht="20.100000000000001" customHeight="1">
      <c r="O3211" s="387"/>
      <c r="P3211" s="387"/>
      <c r="Q3211" s="387"/>
    </row>
    <row r="3212" spans="15:17" ht="20.100000000000001" customHeight="1">
      <c r="O3212" s="387"/>
      <c r="P3212" s="387"/>
      <c r="Q3212" s="387"/>
    </row>
    <row r="3213" spans="15:17" ht="20.100000000000001" customHeight="1">
      <c r="O3213" s="387"/>
      <c r="P3213" s="387"/>
      <c r="Q3213" s="387"/>
    </row>
    <row r="3214" spans="15:17" ht="20.100000000000001" customHeight="1">
      <c r="O3214" s="387"/>
      <c r="P3214" s="387"/>
      <c r="Q3214" s="387"/>
    </row>
    <row r="3215" spans="15:17" ht="20.100000000000001" customHeight="1">
      <c r="O3215" s="387"/>
      <c r="P3215" s="387"/>
      <c r="Q3215" s="387"/>
    </row>
    <row r="3216" spans="15:17" ht="20.100000000000001" customHeight="1">
      <c r="O3216" s="387"/>
      <c r="P3216" s="387"/>
      <c r="Q3216" s="387"/>
    </row>
    <row r="3217" spans="15:17" ht="20.100000000000001" customHeight="1">
      <c r="O3217" s="387"/>
      <c r="P3217" s="387"/>
      <c r="Q3217" s="387"/>
    </row>
    <row r="3218" spans="15:17" ht="20.100000000000001" customHeight="1">
      <c r="O3218" s="387"/>
      <c r="P3218" s="387"/>
      <c r="Q3218" s="387"/>
    </row>
    <row r="3219" spans="15:17" ht="20.100000000000001" customHeight="1">
      <c r="O3219" s="387"/>
      <c r="P3219" s="387"/>
      <c r="Q3219" s="387"/>
    </row>
    <row r="3220" spans="15:17" ht="20.100000000000001" customHeight="1">
      <c r="O3220" s="387"/>
      <c r="P3220" s="387"/>
      <c r="Q3220" s="387"/>
    </row>
    <row r="3221" spans="15:17" ht="20.100000000000001" customHeight="1">
      <c r="O3221" s="387"/>
      <c r="P3221" s="387"/>
      <c r="Q3221" s="387"/>
    </row>
    <row r="3222" spans="15:17" ht="20.100000000000001" customHeight="1">
      <c r="O3222" s="387"/>
      <c r="P3222" s="387"/>
      <c r="Q3222" s="387"/>
    </row>
    <row r="3223" spans="15:17" ht="20.100000000000001" customHeight="1">
      <c r="O3223" s="387"/>
      <c r="P3223" s="387"/>
      <c r="Q3223" s="387"/>
    </row>
    <row r="3224" spans="15:17" ht="20.100000000000001" customHeight="1">
      <c r="O3224" s="387"/>
      <c r="P3224" s="387"/>
      <c r="Q3224" s="387"/>
    </row>
    <row r="3225" spans="15:17" ht="20.100000000000001" customHeight="1">
      <c r="O3225" s="387"/>
      <c r="P3225" s="387"/>
      <c r="Q3225" s="387"/>
    </row>
    <row r="3226" spans="15:17" ht="20.100000000000001" customHeight="1">
      <c r="O3226" s="387"/>
      <c r="P3226" s="387"/>
      <c r="Q3226" s="387"/>
    </row>
    <row r="3227" spans="15:17" ht="20.100000000000001" customHeight="1">
      <c r="O3227" s="387"/>
      <c r="P3227" s="387"/>
      <c r="Q3227" s="387"/>
    </row>
    <row r="3228" spans="15:17" ht="20.100000000000001" customHeight="1">
      <c r="O3228" s="387"/>
      <c r="P3228" s="387"/>
      <c r="Q3228" s="387"/>
    </row>
    <row r="3229" spans="15:17" ht="20.100000000000001" customHeight="1">
      <c r="O3229" s="387"/>
      <c r="P3229" s="387"/>
      <c r="Q3229" s="387"/>
    </row>
    <row r="3230" spans="15:17" ht="20.100000000000001" customHeight="1">
      <c r="O3230" s="387"/>
      <c r="P3230" s="387"/>
      <c r="Q3230" s="387"/>
    </row>
    <row r="3231" spans="15:17" ht="20.100000000000001" customHeight="1">
      <c r="O3231" s="387"/>
      <c r="P3231" s="387"/>
      <c r="Q3231" s="387"/>
    </row>
    <row r="3232" spans="15:17" ht="20.100000000000001" customHeight="1">
      <c r="O3232" s="387"/>
      <c r="P3232" s="387"/>
      <c r="Q3232" s="387"/>
    </row>
    <row r="3233" spans="15:17" ht="20.100000000000001" customHeight="1">
      <c r="O3233" s="387"/>
      <c r="P3233" s="387"/>
      <c r="Q3233" s="387"/>
    </row>
    <row r="3234" spans="15:17" ht="20.100000000000001" customHeight="1">
      <c r="O3234" s="387"/>
      <c r="P3234" s="387"/>
      <c r="Q3234" s="387"/>
    </row>
    <row r="3235" spans="15:17" ht="20.100000000000001" customHeight="1">
      <c r="O3235" s="387"/>
      <c r="P3235" s="387"/>
      <c r="Q3235" s="387"/>
    </row>
    <row r="3236" spans="15:17" ht="20.100000000000001" customHeight="1">
      <c r="O3236" s="387"/>
      <c r="P3236" s="387"/>
      <c r="Q3236" s="387"/>
    </row>
    <row r="3237" spans="15:17" ht="20.100000000000001" customHeight="1">
      <c r="O3237" s="387"/>
      <c r="P3237" s="387"/>
      <c r="Q3237" s="387"/>
    </row>
    <row r="3238" spans="15:17" ht="20.100000000000001" customHeight="1">
      <c r="O3238" s="387"/>
      <c r="P3238" s="387"/>
      <c r="Q3238" s="387"/>
    </row>
    <row r="3239" spans="15:17" ht="20.100000000000001" customHeight="1">
      <c r="O3239" s="387"/>
      <c r="P3239" s="387"/>
      <c r="Q3239" s="387"/>
    </row>
    <row r="3240" spans="15:17" ht="20.100000000000001" customHeight="1">
      <c r="O3240" s="387"/>
      <c r="P3240" s="387"/>
      <c r="Q3240" s="387"/>
    </row>
    <row r="3241" spans="15:17" ht="20.100000000000001" customHeight="1">
      <c r="O3241" s="387"/>
      <c r="P3241" s="387"/>
      <c r="Q3241" s="387"/>
    </row>
    <row r="3242" spans="15:17" ht="20.100000000000001" customHeight="1">
      <c r="O3242" s="387"/>
      <c r="P3242" s="387"/>
      <c r="Q3242" s="387"/>
    </row>
    <row r="3243" spans="15:17" ht="20.100000000000001" customHeight="1">
      <c r="O3243" s="387"/>
      <c r="P3243" s="387"/>
      <c r="Q3243" s="387"/>
    </row>
    <row r="3244" spans="15:17" ht="20.100000000000001" customHeight="1">
      <c r="O3244" s="387"/>
      <c r="P3244" s="387"/>
      <c r="Q3244" s="387"/>
    </row>
    <row r="3245" spans="15:17" ht="20.100000000000001" customHeight="1">
      <c r="O3245" s="387"/>
      <c r="P3245" s="387"/>
      <c r="Q3245" s="387"/>
    </row>
    <row r="3246" spans="15:17" ht="20.100000000000001" customHeight="1">
      <c r="O3246" s="387"/>
      <c r="P3246" s="387"/>
      <c r="Q3246" s="387"/>
    </row>
    <row r="3247" spans="15:17" ht="20.100000000000001" customHeight="1">
      <c r="O3247" s="387"/>
      <c r="P3247" s="387"/>
      <c r="Q3247" s="387"/>
    </row>
    <row r="3248" spans="15:17" ht="20.100000000000001" customHeight="1">
      <c r="O3248" s="387"/>
      <c r="P3248" s="387"/>
      <c r="Q3248" s="387"/>
    </row>
    <row r="3249" spans="15:17" ht="20.100000000000001" customHeight="1">
      <c r="O3249" s="387"/>
      <c r="P3249" s="387"/>
      <c r="Q3249" s="387"/>
    </row>
    <row r="3250" spans="15:17" ht="20.100000000000001" customHeight="1">
      <c r="O3250" s="387"/>
      <c r="P3250" s="387"/>
      <c r="Q3250" s="387"/>
    </row>
    <row r="3251" spans="15:17" ht="20.100000000000001" customHeight="1">
      <c r="O3251" s="387"/>
      <c r="P3251" s="387"/>
      <c r="Q3251" s="387"/>
    </row>
    <row r="3252" spans="15:17" ht="20.100000000000001" customHeight="1">
      <c r="O3252" s="387"/>
      <c r="P3252" s="387"/>
      <c r="Q3252" s="387"/>
    </row>
    <row r="3253" spans="15:17" ht="20.100000000000001" customHeight="1">
      <c r="O3253" s="387"/>
      <c r="P3253" s="387"/>
      <c r="Q3253" s="387"/>
    </row>
    <row r="3254" spans="15:17" ht="20.100000000000001" customHeight="1">
      <c r="O3254" s="387"/>
      <c r="P3254" s="387"/>
      <c r="Q3254" s="387"/>
    </row>
    <row r="3255" spans="15:17" ht="20.100000000000001" customHeight="1">
      <c r="O3255" s="387"/>
      <c r="P3255" s="387"/>
      <c r="Q3255" s="387"/>
    </row>
    <row r="3256" spans="15:17" ht="20.100000000000001" customHeight="1">
      <c r="O3256" s="387"/>
      <c r="P3256" s="387"/>
      <c r="Q3256" s="387"/>
    </row>
    <row r="3257" spans="15:17" ht="20.100000000000001" customHeight="1">
      <c r="O3257" s="387"/>
      <c r="P3257" s="387"/>
      <c r="Q3257" s="387"/>
    </row>
    <row r="3258" spans="15:17" ht="20.100000000000001" customHeight="1">
      <c r="O3258" s="387"/>
      <c r="P3258" s="387"/>
      <c r="Q3258" s="387"/>
    </row>
    <row r="3259" spans="15:17" ht="20.100000000000001" customHeight="1">
      <c r="O3259" s="387"/>
      <c r="P3259" s="387"/>
      <c r="Q3259" s="387"/>
    </row>
    <row r="3260" spans="15:17" ht="20.100000000000001" customHeight="1">
      <c r="O3260" s="387"/>
      <c r="P3260" s="387"/>
      <c r="Q3260" s="387"/>
    </row>
    <row r="3261" spans="15:17" ht="20.100000000000001" customHeight="1">
      <c r="O3261" s="387"/>
      <c r="P3261" s="387"/>
      <c r="Q3261" s="387"/>
    </row>
    <row r="3262" spans="15:17" ht="20.100000000000001" customHeight="1">
      <c r="O3262" s="387"/>
      <c r="P3262" s="387"/>
      <c r="Q3262" s="387"/>
    </row>
    <row r="3263" spans="15:17" ht="20.100000000000001" customHeight="1">
      <c r="O3263" s="387"/>
      <c r="P3263" s="387"/>
      <c r="Q3263" s="387"/>
    </row>
    <row r="3264" spans="15:17" ht="20.100000000000001" customHeight="1">
      <c r="O3264" s="387"/>
      <c r="P3264" s="387"/>
      <c r="Q3264" s="387"/>
    </row>
    <row r="3265" spans="15:17" ht="20.100000000000001" customHeight="1">
      <c r="O3265" s="387"/>
      <c r="P3265" s="387"/>
      <c r="Q3265" s="387"/>
    </row>
    <row r="3266" spans="15:17" ht="20.100000000000001" customHeight="1">
      <c r="O3266" s="387"/>
      <c r="P3266" s="387"/>
      <c r="Q3266" s="387"/>
    </row>
    <row r="3267" spans="15:17" ht="20.100000000000001" customHeight="1">
      <c r="O3267" s="387"/>
      <c r="P3267" s="387"/>
      <c r="Q3267" s="387"/>
    </row>
    <row r="3268" spans="15:17" ht="20.100000000000001" customHeight="1">
      <c r="O3268" s="387"/>
      <c r="P3268" s="387"/>
      <c r="Q3268" s="387"/>
    </row>
    <row r="3269" spans="15:17" ht="20.100000000000001" customHeight="1">
      <c r="O3269" s="387"/>
      <c r="P3269" s="387"/>
      <c r="Q3269" s="387"/>
    </row>
    <row r="3270" spans="15:17" ht="20.100000000000001" customHeight="1">
      <c r="O3270" s="387"/>
      <c r="P3270" s="387"/>
      <c r="Q3270" s="387"/>
    </row>
    <row r="3271" spans="15:17" ht="20.100000000000001" customHeight="1">
      <c r="O3271" s="387"/>
      <c r="P3271" s="387"/>
      <c r="Q3271" s="387"/>
    </row>
    <row r="3272" spans="15:17" ht="20.100000000000001" customHeight="1">
      <c r="O3272" s="387"/>
      <c r="P3272" s="387"/>
      <c r="Q3272" s="387"/>
    </row>
    <row r="3273" spans="15:17" ht="20.100000000000001" customHeight="1">
      <c r="O3273" s="387"/>
      <c r="P3273" s="387"/>
      <c r="Q3273" s="387"/>
    </row>
    <row r="3274" spans="15:17" ht="20.100000000000001" customHeight="1">
      <c r="O3274" s="387"/>
      <c r="P3274" s="387"/>
      <c r="Q3274" s="387"/>
    </row>
    <row r="3275" spans="15:17" ht="20.100000000000001" customHeight="1">
      <c r="O3275" s="387"/>
      <c r="P3275" s="387"/>
      <c r="Q3275" s="387"/>
    </row>
    <row r="3276" spans="15:17" ht="20.100000000000001" customHeight="1">
      <c r="O3276" s="387"/>
      <c r="P3276" s="387"/>
      <c r="Q3276" s="387"/>
    </row>
    <row r="3277" spans="15:17" ht="20.100000000000001" customHeight="1">
      <c r="O3277" s="387"/>
      <c r="P3277" s="387"/>
      <c r="Q3277" s="387"/>
    </row>
    <row r="3278" spans="15:17" ht="20.100000000000001" customHeight="1">
      <c r="O3278" s="387"/>
      <c r="P3278" s="387"/>
      <c r="Q3278" s="387"/>
    </row>
    <row r="3279" spans="15:17" ht="20.100000000000001" customHeight="1">
      <c r="O3279" s="387"/>
      <c r="P3279" s="387"/>
      <c r="Q3279" s="387"/>
    </row>
    <row r="3280" spans="15:17" ht="20.100000000000001" customHeight="1">
      <c r="O3280" s="387"/>
      <c r="P3280" s="387"/>
      <c r="Q3280" s="387"/>
    </row>
    <row r="3281" spans="15:17" ht="20.100000000000001" customHeight="1">
      <c r="O3281" s="387"/>
      <c r="P3281" s="387"/>
      <c r="Q3281" s="387"/>
    </row>
    <row r="3282" spans="15:17" ht="20.100000000000001" customHeight="1">
      <c r="O3282" s="387"/>
      <c r="P3282" s="387"/>
      <c r="Q3282" s="387"/>
    </row>
    <row r="3283" spans="15:17" ht="20.100000000000001" customHeight="1">
      <c r="O3283" s="387"/>
      <c r="P3283" s="387"/>
      <c r="Q3283" s="387"/>
    </row>
    <row r="3284" spans="15:17" ht="20.100000000000001" customHeight="1">
      <c r="O3284" s="387"/>
      <c r="P3284" s="387"/>
      <c r="Q3284" s="387"/>
    </row>
    <row r="3285" spans="15:17" ht="20.100000000000001" customHeight="1">
      <c r="O3285" s="387"/>
      <c r="P3285" s="387"/>
      <c r="Q3285" s="387"/>
    </row>
    <row r="3286" spans="15:17" ht="20.100000000000001" customHeight="1">
      <c r="O3286" s="387"/>
      <c r="P3286" s="387"/>
      <c r="Q3286" s="387"/>
    </row>
    <row r="3287" spans="15:17" ht="20.100000000000001" customHeight="1">
      <c r="O3287" s="387"/>
      <c r="P3287" s="387"/>
      <c r="Q3287" s="387"/>
    </row>
    <row r="3288" spans="15:17" ht="20.100000000000001" customHeight="1">
      <c r="O3288" s="387"/>
      <c r="P3288" s="387"/>
      <c r="Q3288" s="387"/>
    </row>
    <row r="3289" spans="15:17" ht="20.100000000000001" customHeight="1">
      <c r="O3289" s="387"/>
      <c r="P3289" s="387"/>
      <c r="Q3289" s="387"/>
    </row>
    <row r="3290" spans="15:17" ht="20.100000000000001" customHeight="1">
      <c r="O3290" s="387"/>
      <c r="P3290" s="387"/>
      <c r="Q3290" s="387"/>
    </row>
    <row r="3291" spans="15:17" ht="20.100000000000001" customHeight="1">
      <c r="O3291" s="387"/>
      <c r="P3291" s="387"/>
      <c r="Q3291" s="387"/>
    </row>
    <row r="3292" spans="15:17" ht="20.100000000000001" customHeight="1">
      <c r="O3292" s="387"/>
      <c r="P3292" s="387"/>
      <c r="Q3292" s="387"/>
    </row>
    <row r="3293" spans="15:17" ht="20.100000000000001" customHeight="1">
      <c r="O3293" s="387"/>
      <c r="P3293" s="387"/>
      <c r="Q3293" s="387"/>
    </row>
    <row r="3294" spans="15:17" ht="20.100000000000001" customHeight="1">
      <c r="O3294" s="387"/>
      <c r="P3294" s="387"/>
      <c r="Q3294" s="387"/>
    </row>
    <row r="3295" spans="15:17" ht="20.100000000000001" customHeight="1">
      <c r="O3295" s="387"/>
      <c r="P3295" s="387"/>
      <c r="Q3295" s="387"/>
    </row>
    <row r="3296" spans="15:17" ht="20.100000000000001" customHeight="1">
      <c r="O3296" s="387"/>
      <c r="P3296" s="387"/>
      <c r="Q3296" s="387"/>
    </row>
    <row r="3297" spans="15:17" ht="20.100000000000001" customHeight="1">
      <c r="O3297" s="387"/>
      <c r="P3297" s="387"/>
      <c r="Q3297" s="387"/>
    </row>
    <row r="3298" spans="15:17" ht="20.100000000000001" customHeight="1">
      <c r="O3298" s="387"/>
      <c r="P3298" s="387"/>
      <c r="Q3298" s="387"/>
    </row>
    <row r="3299" spans="15:17" ht="20.100000000000001" customHeight="1">
      <c r="O3299" s="387"/>
      <c r="P3299" s="387"/>
      <c r="Q3299" s="387"/>
    </row>
    <row r="3300" spans="15:17" ht="20.100000000000001" customHeight="1">
      <c r="O3300" s="387"/>
      <c r="P3300" s="387"/>
      <c r="Q3300" s="387"/>
    </row>
    <row r="3301" spans="15:17" ht="20.100000000000001" customHeight="1">
      <c r="O3301" s="387"/>
      <c r="P3301" s="387"/>
      <c r="Q3301" s="387"/>
    </row>
    <row r="3302" spans="15:17" ht="20.100000000000001" customHeight="1">
      <c r="O3302" s="387"/>
      <c r="P3302" s="387"/>
      <c r="Q3302" s="387"/>
    </row>
    <row r="3303" spans="15:17" ht="20.100000000000001" customHeight="1">
      <c r="O3303" s="387"/>
      <c r="P3303" s="387"/>
      <c r="Q3303" s="387"/>
    </row>
    <row r="3304" spans="15:17" ht="20.100000000000001" customHeight="1">
      <c r="O3304" s="387"/>
      <c r="P3304" s="387"/>
      <c r="Q3304" s="387"/>
    </row>
    <row r="3305" spans="15:17" ht="20.100000000000001" customHeight="1">
      <c r="O3305" s="387"/>
      <c r="P3305" s="387"/>
      <c r="Q3305" s="387"/>
    </row>
    <row r="3306" spans="15:17" ht="20.100000000000001" customHeight="1">
      <c r="O3306" s="387"/>
      <c r="P3306" s="387"/>
      <c r="Q3306" s="387"/>
    </row>
    <row r="3307" spans="15:17" ht="20.100000000000001" customHeight="1">
      <c r="O3307" s="387"/>
      <c r="P3307" s="387"/>
      <c r="Q3307" s="387"/>
    </row>
    <row r="3308" spans="15:17" ht="20.100000000000001" customHeight="1">
      <c r="O3308" s="387"/>
      <c r="P3308" s="387"/>
      <c r="Q3308" s="387"/>
    </row>
    <row r="3309" spans="15:17" ht="20.100000000000001" customHeight="1">
      <c r="O3309" s="387"/>
      <c r="P3309" s="387"/>
      <c r="Q3309" s="387"/>
    </row>
    <row r="3310" spans="15:17" ht="20.100000000000001" customHeight="1">
      <c r="O3310" s="387"/>
      <c r="P3310" s="387"/>
      <c r="Q3310" s="387"/>
    </row>
    <row r="3311" spans="15:17" ht="20.100000000000001" customHeight="1">
      <c r="O3311" s="387"/>
      <c r="P3311" s="387"/>
      <c r="Q3311" s="387"/>
    </row>
    <row r="3312" spans="15:17" ht="20.100000000000001" customHeight="1">
      <c r="O3312" s="387"/>
      <c r="P3312" s="387"/>
      <c r="Q3312" s="387"/>
    </row>
    <row r="3313" spans="15:17" ht="20.100000000000001" customHeight="1">
      <c r="O3313" s="387"/>
      <c r="P3313" s="387"/>
      <c r="Q3313" s="387"/>
    </row>
    <row r="3314" spans="15:17" ht="20.100000000000001" customHeight="1">
      <c r="O3314" s="387"/>
      <c r="P3314" s="387"/>
      <c r="Q3314" s="387"/>
    </row>
    <row r="3315" spans="15:17" ht="20.100000000000001" customHeight="1">
      <c r="O3315" s="387"/>
      <c r="P3315" s="387"/>
      <c r="Q3315" s="387"/>
    </row>
    <row r="3316" spans="15:17" ht="20.100000000000001" customHeight="1">
      <c r="O3316" s="387"/>
      <c r="P3316" s="387"/>
      <c r="Q3316" s="387"/>
    </row>
    <row r="3317" spans="15:17" ht="20.100000000000001" customHeight="1">
      <c r="O3317" s="387"/>
      <c r="P3317" s="387"/>
      <c r="Q3317" s="387"/>
    </row>
    <row r="3318" spans="15:17" ht="20.100000000000001" customHeight="1">
      <c r="O3318" s="387"/>
      <c r="P3318" s="387"/>
      <c r="Q3318" s="387"/>
    </row>
    <row r="3319" spans="15:17" ht="20.100000000000001" customHeight="1">
      <c r="O3319" s="387"/>
      <c r="P3319" s="387"/>
      <c r="Q3319" s="387"/>
    </row>
    <row r="3320" spans="15:17" ht="20.100000000000001" customHeight="1">
      <c r="O3320" s="387"/>
      <c r="P3320" s="387"/>
      <c r="Q3320" s="387"/>
    </row>
    <row r="3321" spans="15:17" ht="20.100000000000001" customHeight="1">
      <c r="O3321" s="387"/>
      <c r="P3321" s="387"/>
      <c r="Q3321" s="387"/>
    </row>
    <row r="3322" spans="15:17" ht="20.100000000000001" customHeight="1">
      <c r="O3322" s="387"/>
      <c r="P3322" s="387"/>
      <c r="Q3322" s="387"/>
    </row>
    <row r="3323" spans="15:17" ht="20.100000000000001" customHeight="1">
      <c r="O3323" s="387"/>
      <c r="P3323" s="387"/>
      <c r="Q3323" s="387"/>
    </row>
    <row r="3324" spans="15:17" ht="20.100000000000001" customHeight="1">
      <c r="O3324" s="387"/>
      <c r="P3324" s="387"/>
      <c r="Q3324" s="387"/>
    </row>
    <row r="3325" spans="15:17" ht="20.100000000000001" customHeight="1">
      <c r="O3325" s="387"/>
      <c r="P3325" s="387"/>
      <c r="Q3325" s="387"/>
    </row>
    <row r="3326" spans="15:17" ht="20.100000000000001" customHeight="1">
      <c r="O3326" s="387"/>
      <c r="P3326" s="387"/>
      <c r="Q3326" s="387"/>
    </row>
    <row r="3327" spans="15:17" ht="20.100000000000001" customHeight="1">
      <c r="O3327" s="387"/>
      <c r="P3327" s="387"/>
      <c r="Q3327" s="387"/>
    </row>
    <row r="3328" spans="15:17" ht="20.100000000000001" customHeight="1">
      <c r="O3328" s="387"/>
      <c r="P3328" s="387"/>
      <c r="Q3328" s="387"/>
    </row>
    <row r="3329" spans="15:17" ht="20.100000000000001" customHeight="1">
      <c r="O3329" s="387"/>
      <c r="P3329" s="387"/>
      <c r="Q3329" s="387"/>
    </row>
    <row r="3330" spans="15:17" ht="20.100000000000001" customHeight="1">
      <c r="O3330" s="387"/>
      <c r="P3330" s="387"/>
      <c r="Q3330" s="387"/>
    </row>
    <row r="3331" spans="15:17" ht="20.100000000000001" customHeight="1">
      <c r="O3331" s="387"/>
      <c r="P3331" s="387"/>
      <c r="Q3331" s="387"/>
    </row>
    <row r="3332" spans="15:17" ht="20.100000000000001" customHeight="1">
      <c r="O3332" s="387"/>
      <c r="P3332" s="387"/>
      <c r="Q3332" s="387"/>
    </row>
    <row r="3333" spans="15:17" ht="20.100000000000001" customHeight="1">
      <c r="O3333" s="387"/>
      <c r="P3333" s="387"/>
      <c r="Q3333" s="387"/>
    </row>
    <row r="3334" spans="15:17" ht="20.100000000000001" customHeight="1">
      <c r="O3334" s="387"/>
      <c r="P3334" s="387"/>
      <c r="Q3334" s="387"/>
    </row>
    <row r="3335" spans="15:17" ht="20.100000000000001" customHeight="1">
      <c r="O3335" s="387"/>
      <c r="P3335" s="387"/>
      <c r="Q3335" s="387"/>
    </row>
    <row r="3336" spans="15:17" ht="20.100000000000001" customHeight="1">
      <c r="O3336" s="387"/>
      <c r="P3336" s="387"/>
      <c r="Q3336" s="387"/>
    </row>
    <row r="3337" spans="15:17" ht="20.100000000000001" customHeight="1">
      <c r="O3337" s="387"/>
      <c r="P3337" s="387"/>
      <c r="Q3337" s="387"/>
    </row>
    <row r="3338" spans="15:17" ht="20.100000000000001" customHeight="1">
      <c r="O3338" s="387"/>
      <c r="P3338" s="387"/>
      <c r="Q3338" s="387"/>
    </row>
    <row r="3339" spans="15:17" ht="20.100000000000001" customHeight="1">
      <c r="O3339" s="387"/>
      <c r="P3339" s="387"/>
      <c r="Q3339" s="387"/>
    </row>
    <row r="3340" spans="15:17" ht="20.100000000000001" customHeight="1">
      <c r="O3340" s="387"/>
      <c r="P3340" s="387"/>
      <c r="Q3340" s="387"/>
    </row>
    <row r="3341" spans="15:17" ht="20.100000000000001" customHeight="1">
      <c r="O3341" s="387"/>
      <c r="P3341" s="387"/>
      <c r="Q3341" s="387"/>
    </row>
    <row r="3342" spans="15:17" ht="20.100000000000001" customHeight="1">
      <c r="O3342" s="387"/>
      <c r="P3342" s="387"/>
      <c r="Q3342" s="387"/>
    </row>
    <row r="3343" spans="15:17" ht="20.100000000000001" customHeight="1">
      <c r="O3343" s="387"/>
      <c r="P3343" s="387"/>
      <c r="Q3343" s="387"/>
    </row>
    <row r="3344" spans="15:17" ht="20.100000000000001" customHeight="1">
      <c r="O3344" s="387"/>
      <c r="P3344" s="387"/>
      <c r="Q3344" s="387"/>
    </row>
    <row r="3345" spans="15:17" ht="20.100000000000001" customHeight="1">
      <c r="O3345" s="387"/>
      <c r="P3345" s="387"/>
      <c r="Q3345" s="387"/>
    </row>
    <row r="3346" spans="15:17" ht="20.100000000000001" customHeight="1">
      <c r="O3346" s="387"/>
      <c r="P3346" s="387"/>
      <c r="Q3346" s="387"/>
    </row>
    <row r="3347" spans="15:17" ht="20.100000000000001" customHeight="1">
      <c r="O3347" s="387"/>
      <c r="P3347" s="387"/>
      <c r="Q3347" s="387"/>
    </row>
    <row r="3348" spans="15:17" ht="20.100000000000001" customHeight="1">
      <c r="O3348" s="387"/>
      <c r="P3348" s="387"/>
      <c r="Q3348" s="387"/>
    </row>
    <row r="3349" spans="15:17" ht="20.100000000000001" customHeight="1">
      <c r="O3349" s="387"/>
      <c r="P3349" s="387"/>
      <c r="Q3349" s="387"/>
    </row>
    <row r="3350" spans="15:17" ht="20.100000000000001" customHeight="1">
      <c r="O3350" s="387"/>
      <c r="P3350" s="387"/>
      <c r="Q3350" s="387"/>
    </row>
    <row r="3351" spans="15:17" ht="20.100000000000001" customHeight="1">
      <c r="O3351" s="387"/>
      <c r="P3351" s="387"/>
      <c r="Q3351" s="387"/>
    </row>
    <row r="3352" spans="15:17" ht="20.100000000000001" customHeight="1">
      <c r="O3352" s="387"/>
      <c r="P3352" s="387"/>
      <c r="Q3352" s="387"/>
    </row>
    <row r="3353" spans="15:17" ht="20.100000000000001" customHeight="1">
      <c r="O3353" s="387"/>
      <c r="P3353" s="387"/>
      <c r="Q3353" s="387"/>
    </row>
    <row r="3354" spans="15:17" ht="20.100000000000001" customHeight="1">
      <c r="O3354" s="387"/>
      <c r="P3354" s="387"/>
      <c r="Q3354" s="387"/>
    </row>
    <row r="3355" spans="15:17" ht="20.100000000000001" customHeight="1">
      <c r="O3355" s="387"/>
      <c r="P3355" s="387"/>
      <c r="Q3355" s="387"/>
    </row>
    <row r="3356" spans="15:17" ht="20.100000000000001" customHeight="1">
      <c r="O3356" s="387"/>
      <c r="P3356" s="387"/>
      <c r="Q3356" s="387"/>
    </row>
    <row r="3357" spans="15:17" ht="20.100000000000001" customHeight="1">
      <c r="O3357" s="387"/>
      <c r="P3357" s="387"/>
      <c r="Q3357" s="387"/>
    </row>
    <row r="3358" spans="15:17" ht="20.100000000000001" customHeight="1">
      <c r="O3358" s="387"/>
      <c r="P3358" s="387"/>
      <c r="Q3358" s="387"/>
    </row>
    <row r="3359" spans="15:17" ht="20.100000000000001" customHeight="1">
      <c r="O3359" s="387"/>
      <c r="P3359" s="387"/>
      <c r="Q3359" s="387"/>
    </row>
    <row r="3360" spans="15:17" ht="20.100000000000001" customHeight="1">
      <c r="O3360" s="387"/>
      <c r="P3360" s="387"/>
      <c r="Q3360" s="387"/>
    </row>
    <row r="3361" spans="15:17" ht="20.100000000000001" customHeight="1">
      <c r="O3361" s="387"/>
      <c r="P3361" s="387"/>
      <c r="Q3361" s="387"/>
    </row>
    <row r="3362" spans="15:17" ht="20.100000000000001" customHeight="1">
      <c r="O3362" s="387"/>
      <c r="P3362" s="387"/>
      <c r="Q3362" s="387"/>
    </row>
    <row r="3363" spans="15:17" ht="20.100000000000001" customHeight="1">
      <c r="O3363" s="387"/>
      <c r="P3363" s="387"/>
      <c r="Q3363" s="387"/>
    </row>
    <row r="3364" spans="15:17" ht="20.100000000000001" customHeight="1">
      <c r="O3364" s="387"/>
      <c r="P3364" s="387"/>
      <c r="Q3364" s="387"/>
    </row>
    <row r="3365" spans="15:17" ht="20.100000000000001" customHeight="1">
      <c r="O3365" s="387"/>
      <c r="P3365" s="387"/>
      <c r="Q3365" s="387"/>
    </row>
    <row r="3366" spans="15:17" ht="20.100000000000001" customHeight="1">
      <c r="O3366" s="387"/>
      <c r="P3366" s="387"/>
      <c r="Q3366" s="387"/>
    </row>
    <row r="3367" spans="15:17" ht="20.100000000000001" customHeight="1">
      <c r="O3367" s="387"/>
      <c r="P3367" s="387"/>
      <c r="Q3367" s="387"/>
    </row>
    <row r="3368" spans="15:17" ht="20.100000000000001" customHeight="1">
      <c r="O3368" s="387"/>
      <c r="P3368" s="387"/>
      <c r="Q3368" s="387"/>
    </row>
    <row r="3369" spans="15:17" ht="20.100000000000001" customHeight="1">
      <c r="O3369" s="387"/>
      <c r="P3369" s="387"/>
      <c r="Q3369" s="387"/>
    </row>
    <row r="3370" spans="15:17" ht="20.100000000000001" customHeight="1">
      <c r="O3370" s="387"/>
      <c r="P3370" s="387"/>
      <c r="Q3370" s="387"/>
    </row>
    <row r="3371" spans="15:17" ht="20.100000000000001" customHeight="1">
      <c r="O3371" s="387"/>
      <c r="P3371" s="387"/>
      <c r="Q3371" s="387"/>
    </row>
    <row r="3372" spans="15:17" ht="20.100000000000001" customHeight="1">
      <c r="O3372" s="387"/>
      <c r="P3372" s="387"/>
      <c r="Q3372" s="387"/>
    </row>
    <row r="3373" spans="15:17" ht="20.100000000000001" customHeight="1">
      <c r="O3373" s="387"/>
      <c r="P3373" s="387"/>
      <c r="Q3373" s="387"/>
    </row>
    <row r="3374" spans="15:17" ht="20.100000000000001" customHeight="1">
      <c r="O3374" s="387"/>
      <c r="P3374" s="387"/>
      <c r="Q3374" s="387"/>
    </row>
    <row r="3375" spans="15:17" ht="20.100000000000001" customHeight="1">
      <c r="O3375" s="387"/>
      <c r="P3375" s="387"/>
      <c r="Q3375" s="387"/>
    </row>
    <row r="3376" spans="15:17" ht="20.100000000000001" customHeight="1">
      <c r="O3376" s="387"/>
      <c r="P3376" s="387"/>
      <c r="Q3376" s="387"/>
    </row>
    <row r="3377" spans="15:17" ht="20.100000000000001" customHeight="1">
      <c r="O3377" s="387"/>
      <c r="P3377" s="387"/>
      <c r="Q3377" s="387"/>
    </row>
    <row r="3378" spans="15:17" ht="20.100000000000001" customHeight="1">
      <c r="O3378" s="387"/>
      <c r="P3378" s="387"/>
      <c r="Q3378" s="387"/>
    </row>
    <row r="3379" spans="15:17" ht="20.100000000000001" customHeight="1">
      <c r="O3379" s="387"/>
      <c r="P3379" s="387"/>
      <c r="Q3379" s="387"/>
    </row>
    <row r="3380" spans="15:17" ht="20.100000000000001" customHeight="1">
      <c r="O3380" s="387"/>
      <c r="P3380" s="387"/>
      <c r="Q3380" s="387"/>
    </row>
    <row r="3381" spans="15:17" ht="20.100000000000001" customHeight="1">
      <c r="O3381" s="387"/>
      <c r="P3381" s="387"/>
      <c r="Q3381" s="387"/>
    </row>
    <row r="3382" spans="15:17" ht="20.100000000000001" customHeight="1">
      <c r="O3382" s="387"/>
      <c r="P3382" s="387"/>
      <c r="Q3382" s="387"/>
    </row>
    <row r="3383" spans="15:17" ht="20.100000000000001" customHeight="1">
      <c r="O3383" s="387"/>
      <c r="P3383" s="387"/>
      <c r="Q3383" s="387"/>
    </row>
    <row r="3384" spans="15:17" ht="20.100000000000001" customHeight="1">
      <c r="O3384" s="387"/>
      <c r="P3384" s="387"/>
      <c r="Q3384" s="387"/>
    </row>
    <row r="3385" spans="15:17" ht="20.100000000000001" customHeight="1">
      <c r="O3385" s="387"/>
      <c r="P3385" s="387"/>
      <c r="Q3385" s="387"/>
    </row>
    <row r="3386" spans="15:17" ht="20.100000000000001" customHeight="1">
      <c r="O3386" s="387"/>
      <c r="P3386" s="387"/>
      <c r="Q3386" s="387"/>
    </row>
    <row r="3387" spans="15:17" ht="20.100000000000001" customHeight="1">
      <c r="O3387" s="387"/>
      <c r="P3387" s="387"/>
      <c r="Q3387" s="387"/>
    </row>
    <row r="3388" spans="15:17" ht="20.100000000000001" customHeight="1">
      <c r="O3388" s="387"/>
      <c r="P3388" s="387"/>
      <c r="Q3388" s="387"/>
    </row>
    <row r="3389" spans="15:17" ht="20.100000000000001" customHeight="1">
      <c r="O3389" s="387"/>
      <c r="P3389" s="387"/>
      <c r="Q3389" s="387"/>
    </row>
    <row r="3390" spans="15:17" ht="20.100000000000001" customHeight="1">
      <c r="O3390" s="387"/>
      <c r="P3390" s="387"/>
      <c r="Q3390" s="387"/>
    </row>
    <row r="3391" spans="15:17" ht="20.100000000000001" customHeight="1">
      <c r="O3391" s="387"/>
      <c r="P3391" s="387"/>
      <c r="Q3391" s="387"/>
    </row>
    <row r="3392" spans="15:17" ht="20.100000000000001" customHeight="1">
      <c r="O3392" s="387"/>
      <c r="P3392" s="387"/>
      <c r="Q3392" s="387"/>
    </row>
    <row r="3393" spans="15:17" ht="20.100000000000001" customHeight="1">
      <c r="O3393" s="387"/>
      <c r="P3393" s="387"/>
      <c r="Q3393" s="387"/>
    </row>
    <row r="3394" spans="15:17" ht="20.100000000000001" customHeight="1">
      <c r="O3394" s="387"/>
      <c r="P3394" s="387"/>
      <c r="Q3394" s="387"/>
    </row>
    <row r="3395" spans="15:17" ht="20.100000000000001" customHeight="1">
      <c r="O3395" s="387"/>
      <c r="P3395" s="387"/>
      <c r="Q3395" s="387"/>
    </row>
    <row r="3396" spans="15:17" ht="20.100000000000001" customHeight="1">
      <c r="O3396" s="387"/>
      <c r="P3396" s="387"/>
      <c r="Q3396" s="387"/>
    </row>
    <row r="3397" spans="15:17" ht="20.100000000000001" customHeight="1">
      <c r="O3397" s="387"/>
      <c r="P3397" s="387"/>
      <c r="Q3397" s="387"/>
    </row>
    <row r="3398" spans="15:17" ht="20.100000000000001" customHeight="1">
      <c r="O3398" s="387"/>
      <c r="P3398" s="387"/>
      <c r="Q3398" s="387"/>
    </row>
    <row r="3399" spans="15:17" ht="20.100000000000001" customHeight="1">
      <c r="O3399" s="387"/>
      <c r="P3399" s="387"/>
      <c r="Q3399" s="387"/>
    </row>
    <row r="3400" spans="15:17" ht="20.100000000000001" customHeight="1">
      <c r="O3400" s="387"/>
      <c r="P3400" s="387"/>
      <c r="Q3400" s="387"/>
    </row>
    <row r="3401" spans="15:17" ht="20.100000000000001" customHeight="1">
      <c r="O3401" s="387"/>
      <c r="P3401" s="387"/>
      <c r="Q3401" s="387"/>
    </row>
    <row r="3402" spans="15:17" ht="20.100000000000001" customHeight="1">
      <c r="O3402" s="387"/>
      <c r="P3402" s="387"/>
      <c r="Q3402" s="387"/>
    </row>
    <row r="3403" spans="15:17" ht="20.100000000000001" customHeight="1">
      <c r="O3403" s="387"/>
      <c r="P3403" s="387"/>
      <c r="Q3403" s="387"/>
    </row>
    <row r="3404" spans="15:17" ht="20.100000000000001" customHeight="1">
      <c r="O3404" s="387"/>
      <c r="P3404" s="387"/>
      <c r="Q3404" s="387"/>
    </row>
    <row r="3405" spans="15:17" ht="20.100000000000001" customHeight="1">
      <c r="O3405" s="387"/>
      <c r="P3405" s="387"/>
      <c r="Q3405" s="387"/>
    </row>
    <row r="3406" spans="15:17" ht="20.100000000000001" customHeight="1">
      <c r="O3406" s="387"/>
      <c r="P3406" s="387"/>
      <c r="Q3406" s="387"/>
    </row>
    <row r="3407" spans="15:17" ht="20.100000000000001" customHeight="1">
      <c r="O3407" s="387"/>
      <c r="P3407" s="387"/>
      <c r="Q3407" s="387"/>
    </row>
    <row r="3408" spans="15:17" ht="20.100000000000001" customHeight="1">
      <c r="O3408" s="387"/>
      <c r="P3408" s="387"/>
      <c r="Q3408" s="387"/>
    </row>
    <row r="3409" spans="15:17" ht="20.100000000000001" customHeight="1">
      <c r="O3409" s="387"/>
      <c r="P3409" s="387"/>
      <c r="Q3409" s="387"/>
    </row>
    <row r="3410" spans="15:17" ht="20.100000000000001" customHeight="1">
      <c r="O3410" s="387"/>
      <c r="P3410" s="387"/>
      <c r="Q3410" s="387"/>
    </row>
    <row r="3411" spans="15:17" ht="20.100000000000001" customHeight="1">
      <c r="O3411" s="387"/>
      <c r="P3411" s="387"/>
      <c r="Q3411" s="387"/>
    </row>
    <row r="3412" spans="15:17" ht="20.100000000000001" customHeight="1">
      <c r="O3412" s="387"/>
      <c r="P3412" s="387"/>
      <c r="Q3412" s="387"/>
    </row>
    <row r="3413" spans="15:17" ht="20.100000000000001" customHeight="1">
      <c r="O3413" s="387"/>
      <c r="P3413" s="387"/>
      <c r="Q3413" s="387"/>
    </row>
    <row r="3414" spans="15:17" ht="20.100000000000001" customHeight="1">
      <c r="O3414" s="387"/>
      <c r="P3414" s="387"/>
      <c r="Q3414" s="387"/>
    </row>
    <row r="3415" spans="15:17" ht="20.100000000000001" customHeight="1">
      <c r="O3415" s="387"/>
      <c r="P3415" s="387"/>
      <c r="Q3415" s="387"/>
    </row>
    <row r="3416" spans="15:17" ht="20.100000000000001" customHeight="1">
      <c r="O3416" s="387"/>
      <c r="P3416" s="387"/>
      <c r="Q3416" s="387"/>
    </row>
    <row r="3417" spans="15:17" ht="20.100000000000001" customHeight="1">
      <c r="O3417" s="387"/>
      <c r="P3417" s="387"/>
      <c r="Q3417" s="387"/>
    </row>
    <row r="3418" spans="15:17" ht="20.100000000000001" customHeight="1">
      <c r="O3418" s="387"/>
      <c r="P3418" s="387"/>
      <c r="Q3418" s="387"/>
    </row>
    <row r="3419" spans="15:17" ht="20.100000000000001" customHeight="1">
      <c r="O3419" s="387"/>
      <c r="P3419" s="387"/>
      <c r="Q3419" s="387"/>
    </row>
    <row r="3420" spans="15:17" ht="20.100000000000001" customHeight="1">
      <c r="O3420" s="387"/>
      <c r="P3420" s="387"/>
      <c r="Q3420" s="387"/>
    </row>
    <row r="3421" spans="15:17" ht="20.100000000000001" customHeight="1">
      <c r="O3421" s="387"/>
      <c r="P3421" s="387"/>
      <c r="Q3421" s="387"/>
    </row>
    <row r="3422" spans="15:17" ht="20.100000000000001" customHeight="1">
      <c r="O3422" s="387"/>
      <c r="P3422" s="387"/>
      <c r="Q3422" s="387"/>
    </row>
    <row r="3423" spans="15:17" ht="20.100000000000001" customHeight="1">
      <c r="O3423" s="387"/>
      <c r="P3423" s="387"/>
      <c r="Q3423" s="387"/>
    </row>
    <row r="3424" spans="15:17" ht="20.100000000000001" customHeight="1">
      <c r="O3424" s="387"/>
      <c r="P3424" s="387"/>
      <c r="Q3424" s="387"/>
    </row>
    <row r="3425" spans="15:17" ht="20.100000000000001" customHeight="1">
      <c r="O3425" s="387"/>
      <c r="P3425" s="387"/>
      <c r="Q3425" s="387"/>
    </row>
    <row r="3426" spans="15:17" ht="20.100000000000001" customHeight="1">
      <c r="O3426" s="387"/>
      <c r="P3426" s="387"/>
      <c r="Q3426" s="387"/>
    </row>
    <row r="3427" spans="15:17" ht="20.100000000000001" customHeight="1">
      <c r="O3427" s="387"/>
      <c r="P3427" s="387"/>
      <c r="Q3427" s="387"/>
    </row>
    <row r="3428" spans="15:17" ht="20.100000000000001" customHeight="1">
      <c r="O3428" s="387"/>
      <c r="P3428" s="387"/>
      <c r="Q3428" s="387"/>
    </row>
    <row r="3429" spans="15:17" ht="20.100000000000001" customHeight="1">
      <c r="O3429" s="387"/>
      <c r="P3429" s="387"/>
      <c r="Q3429" s="387"/>
    </row>
    <row r="3430" spans="15:17" ht="20.100000000000001" customHeight="1">
      <c r="O3430" s="387"/>
      <c r="P3430" s="387"/>
      <c r="Q3430" s="387"/>
    </row>
    <row r="3431" spans="15:17" ht="20.100000000000001" customHeight="1">
      <c r="O3431" s="387"/>
      <c r="P3431" s="387"/>
      <c r="Q3431" s="387"/>
    </row>
    <row r="3432" spans="15:17" ht="20.100000000000001" customHeight="1">
      <c r="O3432" s="387"/>
      <c r="P3432" s="387"/>
      <c r="Q3432" s="387"/>
    </row>
    <row r="3433" spans="15:17" ht="20.100000000000001" customHeight="1">
      <c r="O3433" s="387"/>
      <c r="P3433" s="387"/>
      <c r="Q3433" s="387"/>
    </row>
    <row r="3434" spans="15:17" ht="20.100000000000001" customHeight="1">
      <c r="O3434" s="387"/>
      <c r="P3434" s="387"/>
      <c r="Q3434" s="387"/>
    </row>
    <row r="3435" spans="15:17" ht="20.100000000000001" customHeight="1">
      <c r="O3435" s="387"/>
      <c r="P3435" s="387"/>
      <c r="Q3435" s="387"/>
    </row>
    <row r="3436" spans="15:17" ht="20.100000000000001" customHeight="1">
      <c r="O3436" s="387"/>
      <c r="P3436" s="387"/>
      <c r="Q3436" s="387"/>
    </row>
    <row r="3437" spans="15:17" ht="20.100000000000001" customHeight="1">
      <c r="O3437" s="387"/>
      <c r="P3437" s="387"/>
      <c r="Q3437" s="387"/>
    </row>
    <row r="3438" spans="15:17" ht="20.100000000000001" customHeight="1">
      <c r="O3438" s="387"/>
      <c r="P3438" s="387"/>
      <c r="Q3438" s="387"/>
    </row>
    <row r="3439" spans="15:17" ht="20.100000000000001" customHeight="1">
      <c r="O3439" s="387"/>
      <c r="P3439" s="387"/>
      <c r="Q3439" s="387"/>
    </row>
    <row r="3440" spans="15:17" ht="20.100000000000001" customHeight="1">
      <c r="O3440" s="387"/>
      <c r="P3440" s="387"/>
      <c r="Q3440" s="387"/>
    </row>
    <row r="3441" spans="15:17" ht="20.100000000000001" customHeight="1">
      <c r="O3441" s="387"/>
      <c r="P3441" s="387"/>
      <c r="Q3441" s="387"/>
    </row>
    <row r="3442" spans="15:17" ht="20.100000000000001" customHeight="1">
      <c r="O3442" s="387"/>
      <c r="P3442" s="387"/>
      <c r="Q3442" s="387"/>
    </row>
    <row r="3443" spans="15:17" ht="20.100000000000001" customHeight="1">
      <c r="O3443" s="387"/>
      <c r="P3443" s="387"/>
      <c r="Q3443" s="387"/>
    </row>
    <row r="3444" spans="15:17" ht="20.100000000000001" customHeight="1">
      <c r="O3444" s="387"/>
      <c r="P3444" s="387"/>
      <c r="Q3444" s="387"/>
    </row>
    <row r="3445" spans="15:17" ht="20.100000000000001" customHeight="1">
      <c r="O3445" s="387"/>
      <c r="P3445" s="387"/>
      <c r="Q3445" s="387"/>
    </row>
    <row r="3446" spans="15:17" ht="20.100000000000001" customHeight="1">
      <c r="O3446" s="387"/>
      <c r="P3446" s="387"/>
      <c r="Q3446" s="387"/>
    </row>
    <row r="3447" spans="15:17" ht="20.100000000000001" customHeight="1">
      <c r="O3447" s="387"/>
      <c r="P3447" s="387"/>
      <c r="Q3447" s="387"/>
    </row>
    <row r="3448" spans="15:17" ht="20.100000000000001" customHeight="1">
      <c r="O3448" s="387"/>
      <c r="P3448" s="387"/>
      <c r="Q3448" s="387"/>
    </row>
    <row r="3449" spans="15:17" ht="20.100000000000001" customHeight="1">
      <c r="O3449" s="387"/>
      <c r="P3449" s="387"/>
      <c r="Q3449" s="387"/>
    </row>
    <row r="3450" spans="15:17" ht="20.100000000000001" customHeight="1">
      <c r="O3450" s="387"/>
      <c r="P3450" s="387"/>
      <c r="Q3450" s="387"/>
    </row>
    <row r="3451" spans="15:17" ht="20.100000000000001" customHeight="1">
      <c r="O3451" s="387"/>
      <c r="P3451" s="387"/>
      <c r="Q3451" s="387"/>
    </row>
    <row r="3452" spans="15:17" ht="20.100000000000001" customHeight="1">
      <c r="O3452" s="387"/>
      <c r="P3452" s="387"/>
      <c r="Q3452" s="387"/>
    </row>
    <row r="3453" spans="15:17" ht="20.100000000000001" customHeight="1">
      <c r="O3453" s="387"/>
      <c r="P3453" s="387"/>
      <c r="Q3453" s="387"/>
    </row>
    <row r="3454" spans="15:17" ht="20.100000000000001" customHeight="1">
      <c r="O3454" s="387"/>
      <c r="P3454" s="387"/>
      <c r="Q3454" s="387"/>
    </row>
    <row r="3455" spans="15:17" ht="20.100000000000001" customHeight="1">
      <c r="O3455" s="387"/>
      <c r="P3455" s="387"/>
      <c r="Q3455" s="387"/>
    </row>
    <row r="3456" spans="15:17" ht="20.100000000000001" customHeight="1">
      <c r="O3456" s="387"/>
      <c r="P3456" s="387"/>
      <c r="Q3456" s="387"/>
    </row>
    <row r="3457" spans="15:17" ht="20.100000000000001" customHeight="1">
      <c r="O3457" s="387"/>
      <c r="P3457" s="387"/>
      <c r="Q3457" s="387"/>
    </row>
    <row r="3458" spans="15:17" ht="20.100000000000001" customHeight="1">
      <c r="O3458" s="387"/>
      <c r="P3458" s="387"/>
      <c r="Q3458" s="387"/>
    </row>
    <row r="3459" spans="15:17" ht="20.100000000000001" customHeight="1">
      <c r="O3459" s="387"/>
      <c r="P3459" s="387"/>
      <c r="Q3459" s="387"/>
    </row>
    <row r="3460" spans="15:17" ht="20.100000000000001" customHeight="1">
      <c r="O3460" s="387"/>
      <c r="P3460" s="387"/>
      <c r="Q3460" s="387"/>
    </row>
    <row r="3461" spans="15:17" ht="20.100000000000001" customHeight="1">
      <c r="O3461" s="387"/>
      <c r="P3461" s="387"/>
      <c r="Q3461" s="387"/>
    </row>
    <row r="3462" spans="15:17" ht="20.100000000000001" customHeight="1">
      <c r="O3462" s="387"/>
      <c r="P3462" s="387"/>
      <c r="Q3462" s="387"/>
    </row>
    <row r="3463" spans="15:17" ht="20.100000000000001" customHeight="1">
      <c r="O3463" s="387"/>
      <c r="P3463" s="387"/>
      <c r="Q3463" s="387"/>
    </row>
    <row r="3464" spans="15:17" ht="20.100000000000001" customHeight="1">
      <c r="O3464" s="387"/>
      <c r="P3464" s="387"/>
      <c r="Q3464" s="387"/>
    </row>
    <row r="3465" spans="15:17" ht="20.100000000000001" customHeight="1">
      <c r="O3465" s="387"/>
      <c r="P3465" s="387"/>
      <c r="Q3465" s="387"/>
    </row>
    <row r="3466" spans="15:17" ht="20.100000000000001" customHeight="1">
      <c r="O3466" s="387"/>
      <c r="P3466" s="387"/>
      <c r="Q3466" s="387"/>
    </row>
    <row r="3467" spans="15:17" ht="20.100000000000001" customHeight="1">
      <c r="O3467" s="387"/>
      <c r="P3467" s="387"/>
      <c r="Q3467" s="387"/>
    </row>
    <row r="3468" spans="15:17" ht="20.100000000000001" customHeight="1">
      <c r="O3468" s="387"/>
      <c r="P3468" s="387"/>
      <c r="Q3468" s="387"/>
    </row>
    <row r="3469" spans="15:17" ht="20.100000000000001" customHeight="1">
      <c r="O3469" s="387"/>
      <c r="P3469" s="387"/>
      <c r="Q3469" s="387"/>
    </row>
    <row r="3470" spans="15:17" ht="20.100000000000001" customHeight="1">
      <c r="O3470" s="387"/>
      <c r="P3470" s="387"/>
      <c r="Q3470" s="387"/>
    </row>
    <row r="3471" spans="15:17" ht="20.100000000000001" customHeight="1">
      <c r="O3471" s="387"/>
      <c r="P3471" s="387"/>
      <c r="Q3471" s="387"/>
    </row>
    <row r="3472" spans="15:17" ht="20.100000000000001" customHeight="1">
      <c r="O3472" s="387"/>
      <c r="P3472" s="387"/>
      <c r="Q3472" s="387"/>
    </row>
    <row r="3473" spans="15:17" ht="20.100000000000001" customHeight="1">
      <c r="O3473" s="387"/>
      <c r="P3473" s="387"/>
      <c r="Q3473" s="387"/>
    </row>
    <row r="3474" spans="15:17" ht="20.100000000000001" customHeight="1">
      <c r="O3474" s="387"/>
      <c r="P3474" s="387"/>
      <c r="Q3474" s="387"/>
    </row>
    <row r="3475" spans="15:17" ht="20.100000000000001" customHeight="1">
      <c r="O3475" s="387"/>
      <c r="P3475" s="387"/>
      <c r="Q3475" s="387"/>
    </row>
    <row r="3476" spans="15:17" ht="20.100000000000001" customHeight="1">
      <c r="O3476" s="387"/>
      <c r="P3476" s="387"/>
      <c r="Q3476" s="387"/>
    </row>
    <row r="3477" spans="15:17" ht="20.100000000000001" customHeight="1">
      <c r="O3477" s="387"/>
      <c r="P3477" s="387"/>
      <c r="Q3477" s="387"/>
    </row>
    <row r="3478" spans="15:17" ht="20.100000000000001" customHeight="1">
      <c r="O3478" s="387"/>
      <c r="P3478" s="387"/>
      <c r="Q3478" s="387"/>
    </row>
    <row r="3479" spans="15:17" ht="20.100000000000001" customHeight="1">
      <c r="O3479" s="387"/>
      <c r="P3479" s="387"/>
      <c r="Q3479" s="387"/>
    </row>
    <row r="3480" spans="15:17" ht="20.100000000000001" customHeight="1">
      <c r="O3480" s="387"/>
      <c r="P3480" s="387"/>
      <c r="Q3480" s="387"/>
    </row>
    <row r="3481" spans="15:17" ht="20.100000000000001" customHeight="1">
      <c r="O3481" s="387"/>
      <c r="P3481" s="387"/>
      <c r="Q3481" s="387"/>
    </row>
    <row r="3482" spans="15:17" ht="20.100000000000001" customHeight="1">
      <c r="O3482" s="387"/>
      <c r="P3482" s="387"/>
      <c r="Q3482" s="387"/>
    </row>
    <row r="3483" spans="15:17" ht="20.100000000000001" customHeight="1">
      <c r="O3483" s="387"/>
      <c r="P3483" s="387"/>
      <c r="Q3483" s="387"/>
    </row>
    <row r="3484" spans="15:17" ht="20.100000000000001" customHeight="1">
      <c r="O3484" s="387"/>
      <c r="P3484" s="387"/>
      <c r="Q3484" s="387"/>
    </row>
    <row r="3485" spans="15:17" ht="20.100000000000001" customHeight="1">
      <c r="O3485" s="387"/>
      <c r="P3485" s="387"/>
      <c r="Q3485" s="387"/>
    </row>
    <row r="3486" spans="15:17" ht="20.100000000000001" customHeight="1">
      <c r="O3486" s="387"/>
      <c r="P3486" s="387"/>
      <c r="Q3486" s="387"/>
    </row>
    <row r="3487" spans="15:17" ht="20.100000000000001" customHeight="1">
      <c r="O3487" s="387"/>
      <c r="P3487" s="387"/>
      <c r="Q3487" s="387"/>
    </row>
    <row r="3488" spans="15:17" ht="20.100000000000001" customHeight="1">
      <c r="O3488" s="387"/>
      <c r="P3488" s="387"/>
      <c r="Q3488" s="387"/>
    </row>
    <row r="3489" spans="15:17" ht="20.100000000000001" customHeight="1">
      <c r="O3489" s="387"/>
      <c r="P3489" s="387"/>
      <c r="Q3489" s="387"/>
    </row>
    <row r="3490" spans="15:17" ht="20.100000000000001" customHeight="1">
      <c r="O3490" s="387"/>
      <c r="P3490" s="387"/>
      <c r="Q3490" s="387"/>
    </row>
    <row r="3491" spans="15:17" ht="20.100000000000001" customHeight="1">
      <c r="O3491" s="387"/>
      <c r="P3491" s="387"/>
      <c r="Q3491" s="387"/>
    </row>
    <row r="3492" spans="15:17" ht="20.100000000000001" customHeight="1">
      <c r="O3492" s="387"/>
      <c r="P3492" s="387"/>
      <c r="Q3492" s="387"/>
    </row>
    <row r="3493" spans="15:17" ht="20.100000000000001" customHeight="1">
      <c r="O3493" s="387"/>
      <c r="P3493" s="387"/>
      <c r="Q3493" s="387"/>
    </row>
    <row r="3494" spans="15:17" ht="20.100000000000001" customHeight="1">
      <c r="O3494" s="387"/>
      <c r="P3494" s="387"/>
      <c r="Q3494" s="387"/>
    </row>
    <row r="3495" spans="15:17" ht="20.100000000000001" customHeight="1">
      <c r="O3495" s="387"/>
      <c r="P3495" s="387"/>
      <c r="Q3495" s="387"/>
    </row>
    <row r="3496" spans="15:17" ht="20.100000000000001" customHeight="1">
      <c r="O3496" s="387"/>
      <c r="P3496" s="387"/>
      <c r="Q3496" s="387"/>
    </row>
    <row r="3497" spans="15:17" ht="20.100000000000001" customHeight="1">
      <c r="O3497" s="387"/>
      <c r="P3497" s="387"/>
      <c r="Q3497" s="387"/>
    </row>
    <row r="3498" spans="15:17" ht="20.100000000000001" customHeight="1">
      <c r="O3498" s="387"/>
      <c r="P3498" s="387"/>
      <c r="Q3498" s="387"/>
    </row>
    <row r="3499" spans="15:17" ht="20.100000000000001" customHeight="1">
      <c r="O3499" s="387"/>
      <c r="P3499" s="387"/>
      <c r="Q3499" s="387"/>
    </row>
    <row r="3500" spans="15:17" ht="20.100000000000001" customHeight="1">
      <c r="O3500" s="387"/>
      <c r="P3500" s="387"/>
      <c r="Q3500" s="387"/>
    </row>
    <row r="3501" spans="15:17" ht="20.100000000000001" customHeight="1">
      <c r="O3501" s="387"/>
      <c r="P3501" s="387"/>
      <c r="Q3501" s="387"/>
    </row>
    <row r="3502" spans="15:17" ht="20.100000000000001" customHeight="1">
      <c r="O3502" s="387"/>
      <c r="P3502" s="387"/>
      <c r="Q3502" s="387"/>
    </row>
    <row r="3503" spans="15:17" ht="20.100000000000001" customHeight="1">
      <c r="O3503" s="387"/>
      <c r="P3503" s="387"/>
      <c r="Q3503" s="387"/>
    </row>
    <row r="3504" spans="15:17" ht="20.100000000000001" customHeight="1">
      <c r="O3504" s="387"/>
      <c r="P3504" s="387"/>
      <c r="Q3504" s="387"/>
    </row>
    <row r="3505" spans="15:17" ht="20.100000000000001" customHeight="1">
      <c r="O3505" s="387"/>
      <c r="P3505" s="387"/>
      <c r="Q3505" s="387"/>
    </row>
    <row r="3506" spans="15:17" ht="20.100000000000001" customHeight="1">
      <c r="O3506" s="387"/>
      <c r="P3506" s="387"/>
      <c r="Q3506" s="387"/>
    </row>
    <row r="3507" spans="15:17" ht="20.100000000000001" customHeight="1">
      <c r="O3507" s="387"/>
      <c r="P3507" s="387"/>
      <c r="Q3507" s="387"/>
    </row>
    <row r="3508" spans="15:17" ht="20.100000000000001" customHeight="1">
      <c r="O3508" s="387"/>
      <c r="P3508" s="387"/>
      <c r="Q3508" s="387"/>
    </row>
    <row r="3509" spans="15:17" ht="20.100000000000001" customHeight="1">
      <c r="O3509" s="387"/>
      <c r="P3509" s="387"/>
      <c r="Q3509" s="387"/>
    </row>
    <row r="3510" spans="15:17" ht="20.100000000000001" customHeight="1">
      <c r="O3510" s="387"/>
      <c r="P3510" s="387"/>
      <c r="Q3510" s="387"/>
    </row>
    <row r="3511" spans="15:17" ht="20.100000000000001" customHeight="1">
      <c r="O3511" s="387"/>
      <c r="P3511" s="387"/>
      <c r="Q3511" s="387"/>
    </row>
    <row r="3512" spans="15:17" ht="20.100000000000001" customHeight="1">
      <c r="O3512" s="387"/>
      <c r="P3512" s="387"/>
      <c r="Q3512" s="387"/>
    </row>
    <row r="3513" spans="15:17" ht="20.100000000000001" customHeight="1">
      <c r="O3513" s="387"/>
      <c r="P3513" s="387"/>
      <c r="Q3513" s="387"/>
    </row>
    <row r="3514" spans="15:17" ht="20.100000000000001" customHeight="1">
      <c r="O3514" s="387"/>
      <c r="P3514" s="387"/>
      <c r="Q3514" s="387"/>
    </row>
    <row r="3515" spans="15:17" ht="20.100000000000001" customHeight="1">
      <c r="O3515" s="387"/>
      <c r="P3515" s="387"/>
      <c r="Q3515" s="387"/>
    </row>
    <row r="3516" spans="15:17" ht="20.100000000000001" customHeight="1">
      <c r="O3516" s="387"/>
      <c r="P3516" s="387"/>
      <c r="Q3516" s="387"/>
    </row>
    <row r="3517" spans="15:17" ht="20.100000000000001" customHeight="1">
      <c r="O3517" s="387"/>
      <c r="P3517" s="387"/>
      <c r="Q3517" s="387"/>
    </row>
    <row r="3518" spans="15:17" ht="20.100000000000001" customHeight="1">
      <c r="O3518" s="387"/>
      <c r="P3518" s="387"/>
      <c r="Q3518" s="387"/>
    </row>
    <row r="3519" spans="15:17" ht="20.100000000000001" customHeight="1">
      <c r="O3519" s="387"/>
      <c r="P3519" s="387"/>
      <c r="Q3519" s="387"/>
    </row>
    <row r="3520" spans="15:17" ht="20.100000000000001" customHeight="1">
      <c r="O3520" s="387"/>
      <c r="P3520" s="387"/>
      <c r="Q3520" s="387"/>
    </row>
    <row r="3521" spans="15:17" ht="20.100000000000001" customHeight="1">
      <c r="O3521" s="387"/>
      <c r="P3521" s="387"/>
      <c r="Q3521" s="387"/>
    </row>
    <row r="3522" spans="15:17" ht="20.100000000000001" customHeight="1">
      <c r="O3522" s="387"/>
      <c r="P3522" s="387"/>
      <c r="Q3522" s="387"/>
    </row>
    <row r="3523" spans="15:17" ht="20.100000000000001" customHeight="1">
      <c r="O3523" s="387"/>
      <c r="P3523" s="387"/>
      <c r="Q3523" s="387"/>
    </row>
    <row r="3524" spans="15:17" ht="20.100000000000001" customHeight="1">
      <c r="O3524" s="387"/>
      <c r="P3524" s="387"/>
      <c r="Q3524" s="387"/>
    </row>
    <row r="3525" spans="15:17" ht="20.100000000000001" customHeight="1">
      <c r="O3525" s="387"/>
      <c r="P3525" s="387"/>
      <c r="Q3525" s="387"/>
    </row>
    <row r="3526" spans="15:17" ht="20.100000000000001" customHeight="1">
      <c r="O3526" s="387"/>
      <c r="P3526" s="387"/>
      <c r="Q3526" s="387"/>
    </row>
    <row r="3527" spans="15:17" ht="20.100000000000001" customHeight="1">
      <c r="O3527" s="387"/>
      <c r="P3527" s="387"/>
      <c r="Q3527" s="387"/>
    </row>
    <row r="3528" spans="15:17" ht="20.100000000000001" customHeight="1">
      <c r="O3528" s="387"/>
      <c r="P3528" s="387"/>
      <c r="Q3528" s="387"/>
    </row>
    <row r="3529" spans="15:17" ht="20.100000000000001" customHeight="1">
      <c r="O3529" s="387"/>
      <c r="P3529" s="387"/>
      <c r="Q3529" s="387"/>
    </row>
    <row r="3530" spans="15:17" ht="20.100000000000001" customHeight="1">
      <c r="O3530" s="387"/>
      <c r="P3530" s="387"/>
      <c r="Q3530" s="387"/>
    </row>
    <row r="3531" spans="15:17" ht="20.100000000000001" customHeight="1">
      <c r="O3531" s="387"/>
      <c r="P3531" s="387"/>
      <c r="Q3531" s="387"/>
    </row>
    <row r="3532" spans="15:17" ht="20.100000000000001" customHeight="1">
      <c r="O3532" s="387"/>
      <c r="P3532" s="387"/>
      <c r="Q3532" s="387"/>
    </row>
    <row r="3533" spans="15:17" ht="20.100000000000001" customHeight="1">
      <c r="O3533" s="387"/>
      <c r="P3533" s="387"/>
      <c r="Q3533" s="387"/>
    </row>
    <row r="3534" spans="15:17" ht="20.100000000000001" customHeight="1">
      <c r="O3534" s="387"/>
      <c r="P3534" s="387"/>
      <c r="Q3534" s="387"/>
    </row>
    <row r="3535" spans="15:17" ht="20.100000000000001" customHeight="1">
      <c r="O3535" s="387"/>
      <c r="P3535" s="387"/>
      <c r="Q3535" s="387"/>
    </row>
    <row r="3536" spans="15:17" ht="20.100000000000001" customHeight="1">
      <c r="O3536" s="387"/>
      <c r="P3536" s="387"/>
      <c r="Q3536" s="387"/>
    </row>
    <row r="3537" spans="15:17" ht="20.100000000000001" customHeight="1">
      <c r="O3537" s="387"/>
      <c r="P3537" s="387"/>
      <c r="Q3537" s="387"/>
    </row>
    <row r="3538" spans="15:17" ht="20.100000000000001" customHeight="1">
      <c r="O3538" s="387"/>
      <c r="P3538" s="387"/>
      <c r="Q3538" s="387"/>
    </row>
    <row r="3539" spans="15:17" ht="20.100000000000001" customHeight="1">
      <c r="O3539" s="387"/>
      <c r="P3539" s="387"/>
      <c r="Q3539" s="387"/>
    </row>
    <row r="3540" spans="15:17" ht="20.100000000000001" customHeight="1">
      <c r="O3540" s="387"/>
      <c r="P3540" s="387"/>
      <c r="Q3540" s="387"/>
    </row>
    <row r="3541" spans="15:17" ht="20.100000000000001" customHeight="1">
      <c r="O3541" s="387"/>
      <c r="P3541" s="387"/>
      <c r="Q3541" s="387"/>
    </row>
    <row r="3542" spans="15:17" ht="20.100000000000001" customHeight="1">
      <c r="O3542" s="387"/>
      <c r="P3542" s="387"/>
      <c r="Q3542" s="387"/>
    </row>
    <row r="3543" spans="15:17" ht="20.100000000000001" customHeight="1">
      <c r="O3543" s="387"/>
      <c r="P3543" s="387"/>
      <c r="Q3543" s="387"/>
    </row>
    <row r="3544" spans="15:17" ht="20.100000000000001" customHeight="1">
      <c r="O3544" s="387"/>
      <c r="P3544" s="387"/>
      <c r="Q3544" s="387"/>
    </row>
    <row r="3545" spans="15:17" ht="20.100000000000001" customHeight="1">
      <c r="O3545" s="387"/>
      <c r="P3545" s="387"/>
      <c r="Q3545" s="387"/>
    </row>
    <row r="3546" spans="15:17" ht="20.100000000000001" customHeight="1">
      <c r="O3546" s="387"/>
      <c r="P3546" s="387"/>
      <c r="Q3546" s="387"/>
    </row>
    <row r="3547" spans="15:17" ht="20.100000000000001" customHeight="1">
      <c r="O3547" s="387"/>
      <c r="P3547" s="387"/>
      <c r="Q3547" s="387"/>
    </row>
    <row r="3548" spans="15:17" ht="20.100000000000001" customHeight="1">
      <c r="O3548" s="387"/>
      <c r="P3548" s="387"/>
      <c r="Q3548" s="387"/>
    </row>
    <row r="3549" spans="15:17" ht="20.100000000000001" customHeight="1">
      <c r="O3549" s="387"/>
      <c r="P3549" s="387"/>
      <c r="Q3549" s="387"/>
    </row>
    <row r="3550" spans="15:17" ht="20.100000000000001" customHeight="1">
      <c r="O3550" s="387"/>
      <c r="P3550" s="387"/>
      <c r="Q3550" s="387"/>
    </row>
    <row r="3551" spans="15:17" ht="20.100000000000001" customHeight="1">
      <c r="O3551" s="387"/>
      <c r="P3551" s="387"/>
      <c r="Q3551" s="387"/>
    </row>
    <row r="3552" spans="15:17" ht="20.100000000000001" customHeight="1">
      <c r="O3552" s="387"/>
      <c r="P3552" s="387"/>
      <c r="Q3552" s="387"/>
    </row>
    <row r="3553" spans="15:17" ht="20.100000000000001" customHeight="1">
      <c r="O3553" s="387"/>
      <c r="P3553" s="387"/>
      <c r="Q3553" s="387"/>
    </row>
    <row r="3554" spans="15:17" ht="20.100000000000001" customHeight="1">
      <c r="O3554" s="387"/>
      <c r="P3554" s="387"/>
      <c r="Q3554" s="387"/>
    </row>
    <row r="3555" spans="15:17" ht="20.100000000000001" customHeight="1">
      <c r="O3555" s="387"/>
      <c r="P3555" s="387"/>
      <c r="Q3555" s="387"/>
    </row>
    <row r="3556" spans="15:17" ht="20.100000000000001" customHeight="1">
      <c r="O3556" s="387"/>
      <c r="P3556" s="387"/>
      <c r="Q3556" s="387"/>
    </row>
    <row r="3557" spans="15:17" ht="20.100000000000001" customHeight="1">
      <c r="O3557" s="387"/>
      <c r="P3557" s="387"/>
      <c r="Q3557" s="387"/>
    </row>
    <row r="3558" spans="15:17" ht="20.100000000000001" customHeight="1">
      <c r="O3558" s="387"/>
      <c r="P3558" s="387"/>
      <c r="Q3558" s="387"/>
    </row>
    <row r="3559" spans="15:17" ht="20.100000000000001" customHeight="1">
      <c r="O3559" s="387"/>
      <c r="P3559" s="387"/>
      <c r="Q3559" s="387"/>
    </row>
    <row r="3560" spans="15:17" ht="20.100000000000001" customHeight="1">
      <c r="O3560" s="387"/>
      <c r="P3560" s="387"/>
      <c r="Q3560" s="387"/>
    </row>
    <row r="3561" spans="15:17" ht="20.100000000000001" customHeight="1">
      <c r="O3561" s="387"/>
      <c r="P3561" s="387"/>
      <c r="Q3561" s="387"/>
    </row>
    <row r="3562" spans="15:17" ht="20.100000000000001" customHeight="1">
      <c r="O3562" s="387"/>
      <c r="P3562" s="387"/>
      <c r="Q3562" s="387"/>
    </row>
    <row r="3563" spans="15:17" ht="20.100000000000001" customHeight="1">
      <c r="O3563" s="387"/>
      <c r="P3563" s="387"/>
      <c r="Q3563" s="387"/>
    </row>
    <row r="3564" spans="15:17" ht="20.100000000000001" customHeight="1">
      <c r="O3564" s="387"/>
      <c r="P3564" s="387"/>
      <c r="Q3564" s="387"/>
    </row>
    <row r="3565" spans="15:17" ht="20.100000000000001" customHeight="1">
      <c r="O3565" s="387"/>
      <c r="P3565" s="387"/>
      <c r="Q3565" s="387"/>
    </row>
    <row r="3566" spans="15:17" ht="20.100000000000001" customHeight="1">
      <c r="O3566" s="387"/>
      <c r="P3566" s="387"/>
      <c r="Q3566" s="387"/>
    </row>
    <row r="3567" spans="15:17" ht="20.100000000000001" customHeight="1">
      <c r="O3567" s="387"/>
      <c r="P3567" s="387"/>
      <c r="Q3567" s="387"/>
    </row>
    <row r="3568" spans="15:17" ht="20.100000000000001" customHeight="1">
      <c r="O3568" s="387"/>
      <c r="P3568" s="387"/>
      <c r="Q3568" s="387"/>
    </row>
    <row r="3569" spans="15:17" ht="20.100000000000001" customHeight="1">
      <c r="O3569" s="387"/>
      <c r="P3569" s="387"/>
      <c r="Q3569" s="387"/>
    </row>
    <row r="3570" spans="15:17" ht="20.100000000000001" customHeight="1">
      <c r="O3570" s="387"/>
      <c r="P3570" s="387"/>
      <c r="Q3570" s="387"/>
    </row>
    <row r="3571" spans="15:17" ht="20.100000000000001" customHeight="1">
      <c r="O3571" s="387"/>
      <c r="P3571" s="387"/>
      <c r="Q3571" s="387"/>
    </row>
    <row r="3572" spans="15:17" ht="20.100000000000001" customHeight="1">
      <c r="O3572" s="387"/>
      <c r="P3572" s="387"/>
      <c r="Q3572" s="387"/>
    </row>
    <row r="3573" spans="15:17" ht="20.100000000000001" customHeight="1">
      <c r="O3573" s="387"/>
      <c r="P3573" s="387"/>
      <c r="Q3573" s="387"/>
    </row>
    <row r="3574" spans="15:17" ht="20.100000000000001" customHeight="1">
      <c r="O3574" s="387"/>
      <c r="P3574" s="387"/>
      <c r="Q3574" s="387"/>
    </row>
    <row r="3575" spans="15:17" ht="20.100000000000001" customHeight="1">
      <c r="O3575" s="387"/>
      <c r="P3575" s="387"/>
      <c r="Q3575" s="387"/>
    </row>
    <row r="3576" spans="15:17" ht="20.100000000000001" customHeight="1">
      <c r="O3576" s="387"/>
      <c r="P3576" s="387"/>
      <c r="Q3576" s="387"/>
    </row>
    <row r="3577" spans="15:17" ht="20.100000000000001" customHeight="1">
      <c r="O3577" s="387"/>
      <c r="P3577" s="387"/>
      <c r="Q3577" s="387"/>
    </row>
    <row r="3578" spans="15:17" ht="20.100000000000001" customHeight="1">
      <c r="O3578" s="387"/>
      <c r="P3578" s="387"/>
      <c r="Q3578" s="387"/>
    </row>
    <row r="3579" spans="15:17" ht="20.100000000000001" customHeight="1">
      <c r="O3579" s="387"/>
      <c r="P3579" s="387"/>
      <c r="Q3579" s="387"/>
    </row>
    <row r="3580" spans="15:17" ht="20.100000000000001" customHeight="1">
      <c r="O3580" s="387"/>
      <c r="P3580" s="387"/>
      <c r="Q3580" s="387"/>
    </row>
    <row r="3581" spans="15:17" ht="20.100000000000001" customHeight="1">
      <c r="O3581" s="387"/>
      <c r="P3581" s="387"/>
      <c r="Q3581" s="387"/>
    </row>
    <row r="3582" spans="15:17" ht="20.100000000000001" customHeight="1">
      <c r="O3582" s="387"/>
      <c r="P3582" s="387"/>
      <c r="Q3582" s="387"/>
    </row>
    <row r="3583" spans="15:17" ht="20.100000000000001" customHeight="1">
      <c r="O3583" s="387"/>
      <c r="P3583" s="387"/>
      <c r="Q3583" s="387"/>
    </row>
    <row r="3584" spans="15:17" ht="20.100000000000001" customHeight="1">
      <c r="O3584" s="387"/>
      <c r="P3584" s="387"/>
      <c r="Q3584" s="387"/>
    </row>
    <row r="3585" spans="15:17" ht="20.100000000000001" customHeight="1">
      <c r="O3585" s="387"/>
      <c r="P3585" s="387"/>
      <c r="Q3585" s="387"/>
    </row>
    <row r="3586" spans="15:17" ht="20.100000000000001" customHeight="1">
      <c r="O3586" s="387"/>
      <c r="P3586" s="387"/>
      <c r="Q3586" s="387"/>
    </row>
    <row r="3587" spans="15:17" ht="20.100000000000001" customHeight="1">
      <c r="O3587" s="387"/>
      <c r="P3587" s="387"/>
      <c r="Q3587" s="387"/>
    </row>
    <row r="3588" spans="15:17" ht="20.100000000000001" customHeight="1">
      <c r="O3588" s="387"/>
      <c r="P3588" s="387"/>
      <c r="Q3588" s="387"/>
    </row>
    <row r="3589" spans="15:17" ht="20.100000000000001" customHeight="1">
      <c r="O3589" s="387"/>
      <c r="P3589" s="387"/>
      <c r="Q3589" s="387"/>
    </row>
    <row r="3590" spans="15:17" ht="20.100000000000001" customHeight="1">
      <c r="O3590" s="387"/>
      <c r="P3590" s="387"/>
      <c r="Q3590" s="387"/>
    </row>
    <row r="3591" spans="15:17" ht="20.100000000000001" customHeight="1">
      <c r="O3591" s="387"/>
      <c r="P3591" s="387"/>
      <c r="Q3591" s="387"/>
    </row>
    <row r="3592" spans="15:17" ht="20.100000000000001" customHeight="1">
      <c r="O3592" s="387"/>
      <c r="P3592" s="387"/>
      <c r="Q3592" s="387"/>
    </row>
    <row r="3593" spans="15:17" ht="20.100000000000001" customHeight="1">
      <c r="O3593" s="387"/>
      <c r="P3593" s="387"/>
      <c r="Q3593" s="387"/>
    </row>
    <row r="3594" spans="15:17" ht="20.100000000000001" customHeight="1">
      <c r="O3594" s="387"/>
      <c r="P3594" s="387"/>
      <c r="Q3594" s="387"/>
    </row>
    <row r="3595" spans="15:17" ht="20.100000000000001" customHeight="1">
      <c r="O3595" s="387"/>
      <c r="P3595" s="387"/>
      <c r="Q3595" s="387"/>
    </row>
    <row r="3596" spans="15:17" ht="20.100000000000001" customHeight="1">
      <c r="O3596" s="387"/>
      <c r="P3596" s="387"/>
      <c r="Q3596" s="387"/>
    </row>
    <row r="3597" spans="15:17" ht="20.100000000000001" customHeight="1">
      <c r="O3597" s="387"/>
      <c r="P3597" s="387"/>
      <c r="Q3597" s="387"/>
    </row>
    <row r="3598" spans="15:17" ht="20.100000000000001" customHeight="1">
      <c r="O3598" s="387"/>
      <c r="P3598" s="387"/>
      <c r="Q3598" s="387"/>
    </row>
    <row r="3599" spans="15:17" ht="20.100000000000001" customHeight="1">
      <c r="O3599" s="387"/>
      <c r="P3599" s="387"/>
      <c r="Q3599" s="387"/>
    </row>
    <row r="3600" spans="15:17" ht="20.100000000000001" customHeight="1">
      <c r="O3600" s="387"/>
      <c r="P3600" s="387"/>
      <c r="Q3600" s="387"/>
    </row>
    <row r="3601" spans="15:17" ht="20.100000000000001" customHeight="1">
      <c r="O3601" s="387"/>
      <c r="P3601" s="387"/>
      <c r="Q3601" s="387"/>
    </row>
    <row r="3602" spans="15:17" ht="20.100000000000001" customHeight="1">
      <c r="O3602" s="387"/>
      <c r="P3602" s="387"/>
      <c r="Q3602" s="387"/>
    </row>
    <row r="3603" spans="15:17" ht="20.100000000000001" customHeight="1">
      <c r="O3603" s="387"/>
      <c r="P3603" s="387"/>
      <c r="Q3603" s="387"/>
    </row>
    <row r="3604" spans="15:17" ht="20.100000000000001" customHeight="1">
      <c r="O3604" s="387"/>
      <c r="P3604" s="387"/>
      <c r="Q3604" s="387"/>
    </row>
    <row r="3605" spans="15:17" ht="20.100000000000001" customHeight="1">
      <c r="O3605" s="387"/>
      <c r="P3605" s="387"/>
      <c r="Q3605" s="387"/>
    </row>
    <row r="3606" spans="15:17" ht="20.100000000000001" customHeight="1">
      <c r="O3606" s="387"/>
      <c r="P3606" s="387"/>
      <c r="Q3606" s="387"/>
    </row>
    <row r="3607" spans="15:17" ht="20.100000000000001" customHeight="1">
      <c r="O3607" s="387"/>
      <c r="P3607" s="387"/>
      <c r="Q3607" s="387"/>
    </row>
    <row r="3608" spans="15:17" ht="20.100000000000001" customHeight="1">
      <c r="O3608" s="387"/>
      <c r="P3608" s="387"/>
      <c r="Q3608" s="387"/>
    </row>
    <row r="3609" spans="15:17" ht="20.100000000000001" customHeight="1">
      <c r="O3609" s="387"/>
      <c r="P3609" s="387"/>
      <c r="Q3609" s="387"/>
    </row>
    <row r="3610" spans="15:17" ht="20.100000000000001" customHeight="1">
      <c r="O3610" s="387"/>
      <c r="P3610" s="387"/>
      <c r="Q3610" s="387"/>
    </row>
    <row r="3611" spans="15:17" ht="20.100000000000001" customHeight="1">
      <c r="O3611" s="387"/>
      <c r="P3611" s="387"/>
      <c r="Q3611" s="387"/>
    </row>
    <row r="3612" spans="15:17" ht="20.100000000000001" customHeight="1">
      <c r="O3612" s="387"/>
      <c r="P3612" s="387"/>
      <c r="Q3612" s="387"/>
    </row>
    <row r="3613" spans="15:17" ht="20.100000000000001" customHeight="1">
      <c r="O3613" s="387"/>
      <c r="P3613" s="387"/>
      <c r="Q3613" s="387"/>
    </row>
    <row r="3614" spans="15:17" ht="20.100000000000001" customHeight="1">
      <c r="O3614" s="387"/>
      <c r="P3614" s="387"/>
      <c r="Q3614" s="387"/>
    </row>
    <row r="3615" spans="15:17" ht="20.100000000000001" customHeight="1">
      <c r="O3615" s="387"/>
      <c r="P3615" s="387"/>
      <c r="Q3615" s="387"/>
    </row>
    <row r="3616" spans="15:17" ht="20.100000000000001" customHeight="1">
      <c r="O3616" s="387"/>
      <c r="P3616" s="387"/>
      <c r="Q3616" s="387"/>
    </row>
    <row r="3617" spans="15:17" ht="20.100000000000001" customHeight="1">
      <c r="O3617" s="387"/>
      <c r="P3617" s="387"/>
      <c r="Q3617" s="387"/>
    </row>
    <row r="3618" spans="15:17" ht="20.100000000000001" customHeight="1">
      <c r="O3618" s="387"/>
      <c r="P3618" s="387"/>
      <c r="Q3618" s="387"/>
    </row>
    <row r="3619" spans="15:17" ht="20.100000000000001" customHeight="1">
      <c r="O3619" s="387"/>
      <c r="P3619" s="387"/>
      <c r="Q3619" s="387"/>
    </row>
    <row r="3620" spans="15:17" ht="20.100000000000001" customHeight="1">
      <c r="O3620" s="387"/>
      <c r="P3620" s="387"/>
      <c r="Q3620" s="387"/>
    </row>
    <row r="3621" spans="15:17" ht="20.100000000000001" customHeight="1">
      <c r="O3621" s="387"/>
      <c r="P3621" s="387"/>
      <c r="Q3621" s="387"/>
    </row>
    <row r="3622" spans="15:17" ht="20.100000000000001" customHeight="1">
      <c r="O3622" s="387"/>
      <c r="P3622" s="387"/>
      <c r="Q3622" s="387"/>
    </row>
    <row r="3623" spans="15:17" ht="20.100000000000001" customHeight="1">
      <c r="O3623" s="387"/>
      <c r="P3623" s="387"/>
      <c r="Q3623" s="387"/>
    </row>
    <row r="3624" spans="15:17" ht="20.100000000000001" customHeight="1">
      <c r="O3624" s="387"/>
      <c r="P3624" s="387"/>
      <c r="Q3624" s="387"/>
    </row>
    <row r="3625" spans="15:17" ht="20.100000000000001" customHeight="1">
      <c r="O3625" s="387"/>
      <c r="P3625" s="387"/>
      <c r="Q3625" s="387"/>
    </row>
    <row r="3626" spans="15:17" ht="20.100000000000001" customHeight="1">
      <c r="O3626" s="387"/>
      <c r="P3626" s="387"/>
      <c r="Q3626" s="387"/>
    </row>
    <row r="3627" spans="15:17" ht="20.100000000000001" customHeight="1">
      <c r="O3627" s="387"/>
      <c r="P3627" s="387"/>
      <c r="Q3627" s="387"/>
    </row>
    <row r="3628" spans="15:17" ht="20.100000000000001" customHeight="1">
      <c r="O3628" s="387"/>
      <c r="P3628" s="387"/>
      <c r="Q3628" s="387"/>
    </row>
    <row r="3629" spans="15:17" ht="20.100000000000001" customHeight="1">
      <c r="O3629" s="387"/>
      <c r="P3629" s="387"/>
      <c r="Q3629" s="387"/>
    </row>
    <row r="3630" spans="15:17" ht="20.100000000000001" customHeight="1">
      <c r="O3630" s="387"/>
      <c r="P3630" s="387"/>
      <c r="Q3630" s="387"/>
    </row>
    <row r="3631" spans="15:17" ht="20.100000000000001" customHeight="1">
      <c r="O3631" s="387"/>
      <c r="P3631" s="387"/>
      <c r="Q3631" s="387"/>
    </row>
    <row r="3632" spans="15:17" ht="20.100000000000001" customHeight="1">
      <c r="O3632" s="387"/>
      <c r="P3632" s="387"/>
      <c r="Q3632" s="387"/>
    </row>
    <row r="3633" spans="15:17" ht="20.100000000000001" customHeight="1">
      <c r="O3633" s="387"/>
      <c r="P3633" s="387"/>
      <c r="Q3633" s="387"/>
    </row>
    <row r="3634" spans="15:17" ht="20.100000000000001" customHeight="1">
      <c r="O3634" s="387"/>
      <c r="P3634" s="387"/>
      <c r="Q3634" s="387"/>
    </row>
    <row r="3635" spans="15:17" ht="20.100000000000001" customHeight="1">
      <c r="O3635" s="387"/>
      <c r="P3635" s="387"/>
      <c r="Q3635" s="387"/>
    </row>
    <row r="3636" spans="15:17" ht="20.100000000000001" customHeight="1">
      <c r="O3636" s="387"/>
      <c r="P3636" s="387"/>
      <c r="Q3636" s="387"/>
    </row>
    <row r="3637" spans="15:17" ht="20.100000000000001" customHeight="1">
      <c r="O3637" s="387"/>
      <c r="P3637" s="387"/>
      <c r="Q3637" s="387"/>
    </row>
    <row r="3638" spans="15:17" ht="20.100000000000001" customHeight="1">
      <c r="O3638" s="387"/>
      <c r="P3638" s="387"/>
      <c r="Q3638" s="387"/>
    </row>
    <row r="3639" spans="15:17" ht="20.100000000000001" customHeight="1">
      <c r="O3639" s="387"/>
      <c r="P3639" s="387"/>
      <c r="Q3639" s="387"/>
    </row>
    <row r="3640" spans="15:17" ht="20.100000000000001" customHeight="1">
      <c r="O3640" s="387"/>
      <c r="P3640" s="387"/>
      <c r="Q3640" s="387"/>
    </row>
    <row r="3641" spans="15:17" ht="20.100000000000001" customHeight="1">
      <c r="O3641" s="387"/>
      <c r="P3641" s="387"/>
      <c r="Q3641" s="387"/>
    </row>
    <row r="3642" spans="15:17" ht="20.100000000000001" customHeight="1">
      <c r="O3642" s="387"/>
      <c r="P3642" s="387"/>
      <c r="Q3642" s="387"/>
    </row>
    <row r="3643" spans="15:17" ht="20.100000000000001" customHeight="1">
      <c r="O3643" s="387"/>
      <c r="P3643" s="387"/>
      <c r="Q3643" s="387"/>
    </row>
    <row r="3644" spans="15:17" ht="20.100000000000001" customHeight="1">
      <c r="O3644" s="387"/>
      <c r="P3644" s="387"/>
      <c r="Q3644" s="387"/>
    </row>
    <row r="3645" spans="15:17" ht="20.100000000000001" customHeight="1">
      <c r="O3645" s="387"/>
      <c r="P3645" s="387"/>
      <c r="Q3645" s="387"/>
    </row>
    <row r="3646" spans="15:17" ht="20.100000000000001" customHeight="1">
      <c r="O3646" s="387"/>
      <c r="P3646" s="387"/>
      <c r="Q3646" s="387"/>
    </row>
    <row r="3647" spans="15:17" ht="20.100000000000001" customHeight="1">
      <c r="O3647" s="387"/>
      <c r="P3647" s="387"/>
      <c r="Q3647" s="387"/>
    </row>
    <row r="3648" spans="15:17" ht="20.100000000000001" customHeight="1">
      <c r="O3648" s="387"/>
      <c r="P3648" s="387"/>
      <c r="Q3648" s="387"/>
    </row>
    <row r="3649" spans="15:17" ht="20.100000000000001" customHeight="1">
      <c r="O3649" s="387"/>
      <c r="P3649" s="387"/>
      <c r="Q3649" s="387"/>
    </row>
    <row r="3650" spans="15:17" ht="20.100000000000001" customHeight="1">
      <c r="O3650" s="387"/>
      <c r="P3650" s="387"/>
      <c r="Q3650" s="387"/>
    </row>
    <row r="3651" spans="15:17" ht="20.100000000000001" customHeight="1">
      <c r="O3651" s="387"/>
      <c r="P3651" s="387"/>
      <c r="Q3651" s="387"/>
    </row>
    <row r="3652" spans="15:17" ht="20.100000000000001" customHeight="1">
      <c r="O3652" s="387"/>
      <c r="P3652" s="387"/>
      <c r="Q3652" s="387"/>
    </row>
    <row r="3653" spans="15:17" ht="20.100000000000001" customHeight="1">
      <c r="O3653" s="387"/>
      <c r="P3653" s="387"/>
      <c r="Q3653" s="387"/>
    </row>
    <row r="3654" spans="15:17" ht="20.100000000000001" customHeight="1">
      <c r="O3654" s="387"/>
      <c r="P3654" s="387"/>
      <c r="Q3654" s="387"/>
    </row>
    <row r="3655" spans="15:17" ht="20.100000000000001" customHeight="1">
      <c r="O3655" s="387"/>
      <c r="P3655" s="387"/>
      <c r="Q3655" s="387"/>
    </row>
    <row r="3656" spans="15:17" ht="20.100000000000001" customHeight="1">
      <c r="O3656" s="387"/>
      <c r="P3656" s="387"/>
      <c r="Q3656" s="387"/>
    </row>
    <row r="3657" spans="15:17" ht="20.100000000000001" customHeight="1">
      <c r="O3657" s="387"/>
      <c r="P3657" s="387"/>
      <c r="Q3657" s="387"/>
    </row>
    <row r="3658" spans="15:17" ht="20.100000000000001" customHeight="1">
      <c r="O3658" s="387"/>
      <c r="P3658" s="387"/>
      <c r="Q3658" s="387"/>
    </row>
    <row r="3659" spans="15:17" ht="20.100000000000001" customHeight="1">
      <c r="O3659" s="387"/>
      <c r="P3659" s="387"/>
      <c r="Q3659" s="387"/>
    </row>
    <row r="3660" spans="15:17" ht="20.100000000000001" customHeight="1">
      <c r="O3660" s="387"/>
      <c r="P3660" s="387"/>
      <c r="Q3660" s="387"/>
    </row>
    <row r="3661" spans="15:17" ht="20.100000000000001" customHeight="1">
      <c r="O3661" s="387"/>
      <c r="P3661" s="387"/>
      <c r="Q3661" s="387"/>
    </row>
    <row r="3662" spans="15:17" ht="20.100000000000001" customHeight="1">
      <c r="O3662" s="387"/>
      <c r="P3662" s="387"/>
      <c r="Q3662" s="387"/>
    </row>
    <row r="3663" spans="15:17" ht="20.100000000000001" customHeight="1">
      <c r="O3663" s="387"/>
      <c r="P3663" s="387"/>
      <c r="Q3663" s="387"/>
    </row>
    <row r="3664" spans="15:17" ht="20.100000000000001" customHeight="1">
      <c r="O3664" s="387"/>
      <c r="P3664" s="387"/>
      <c r="Q3664" s="387"/>
    </row>
    <row r="3665" spans="15:17" ht="20.100000000000001" customHeight="1">
      <c r="O3665" s="387"/>
      <c r="P3665" s="387"/>
      <c r="Q3665" s="387"/>
    </row>
    <row r="3666" spans="15:17" ht="20.100000000000001" customHeight="1">
      <c r="O3666" s="387"/>
      <c r="P3666" s="387"/>
      <c r="Q3666" s="387"/>
    </row>
    <row r="3667" spans="15:17" ht="20.100000000000001" customHeight="1">
      <c r="O3667" s="387"/>
      <c r="P3667" s="387"/>
      <c r="Q3667" s="387"/>
    </row>
    <row r="3668" spans="15:17" ht="20.100000000000001" customHeight="1">
      <c r="O3668" s="387"/>
      <c r="P3668" s="387"/>
      <c r="Q3668" s="387"/>
    </row>
    <row r="3669" spans="15:17" ht="20.100000000000001" customHeight="1">
      <c r="O3669" s="387"/>
      <c r="P3669" s="387"/>
      <c r="Q3669" s="387"/>
    </row>
    <row r="3670" spans="15:17" ht="20.100000000000001" customHeight="1">
      <c r="O3670" s="387"/>
      <c r="P3670" s="387"/>
      <c r="Q3670" s="387"/>
    </row>
    <row r="3671" spans="15:17" ht="20.100000000000001" customHeight="1">
      <c r="O3671" s="387"/>
      <c r="P3671" s="387"/>
      <c r="Q3671" s="387"/>
    </row>
    <row r="3672" spans="15:17" ht="20.100000000000001" customHeight="1">
      <c r="O3672" s="387"/>
      <c r="P3672" s="387"/>
      <c r="Q3672" s="387"/>
    </row>
    <row r="3673" spans="15:17" ht="20.100000000000001" customHeight="1">
      <c r="O3673" s="387"/>
      <c r="P3673" s="387"/>
      <c r="Q3673" s="387"/>
    </row>
    <row r="3674" spans="15:17" ht="20.100000000000001" customHeight="1">
      <c r="O3674" s="387"/>
      <c r="P3674" s="387"/>
      <c r="Q3674" s="387"/>
    </row>
    <row r="3675" spans="15:17" ht="20.100000000000001" customHeight="1">
      <c r="O3675" s="387"/>
      <c r="P3675" s="387"/>
      <c r="Q3675" s="387"/>
    </row>
    <row r="3676" spans="15:17" ht="20.100000000000001" customHeight="1">
      <c r="O3676" s="387"/>
      <c r="P3676" s="387"/>
      <c r="Q3676" s="387"/>
    </row>
    <row r="3677" spans="15:17" ht="20.100000000000001" customHeight="1">
      <c r="O3677" s="387"/>
      <c r="P3677" s="387"/>
      <c r="Q3677" s="387"/>
    </row>
    <row r="3678" spans="15:17" ht="20.100000000000001" customHeight="1">
      <c r="O3678" s="387"/>
      <c r="P3678" s="387"/>
      <c r="Q3678" s="387"/>
    </row>
    <row r="3679" spans="15:17" ht="20.100000000000001" customHeight="1">
      <c r="O3679" s="387"/>
      <c r="P3679" s="387"/>
      <c r="Q3679" s="387"/>
    </row>
    <row r="3680" spans="15:17" ht="20.100000000000001" customHeight="1">
      <c r="O3680" s="387"/>
      <c r="P3680" s="387"/>
      <c r="Q3680" s="387"/>
    </row>
    <row r="3681" spans="15:17" ht="20.100000000000001" customHeight="1">
      <c r="O3681" s="387"/>
      <c r="P3681" s="387"/>
      <c r="Q3681" s="387"/>
    </row>
    <row r="3682" spans="15:17" ht="20.100000000000001" customHeight="1">
      <c r="O3682" s="387"/>
      <c r="P3682" s="387"/>
      <c r="Q3682" s="387"/>
    </row>
    <row r="3683" spans="15:17" ht="20.100000000000001" customHeight="1">
      <c r="O3683" s="387"/>
      <c r="P3683" s="387"/>
      <c r="Q3683" s="387"/>
    </row>
    <row r="3684" spans="15:17" ht="20.100000000000001" customHeight="1">
      <c r="O3684" s="387"/>
      <c r="P3684" s="387"/>
      <c r="Q3684" s="387"/>
    </row>
    <row r="3685" spans="15:17" ht="20.100000000000001" customHeight="1">
      <c r="O3685" s="387"/>
      <c r="P3685" s="387"/>
      <c r="Q3685" s="387"/>
    </row>
    <row r="3686" spans="15:17" ht="20.100000000000001" customHeight="1">
      <c r="O3686" s="387"/>
      <c r="P3686" s="387"/>
      <c r="Q3686" s="387"/>
    </row>
    <row r="3687" spans="15:17" ht="20.100000000000001" customHeight="1">
      <c r="O3687" s="387"/>
      <c r="P3687" s="387"/>
      <c r="Q3687" s="387"/>
    </row>
    <row r="3688" spans="15:17" ht="20.100000000000001" customHeight="1">
      <c r="O3688" s="387"/>
      <c r="P3688" s="387"/>
      <c r="Q3688" s="387"/>
    </row>
    <row r="3689" spans="15:17" ht="20.100000000000001" customHeight="1">
      <c r="O3689" s="387"/>
      <c r="P3689" s="387"/>
      <c r="Q3689" s="387"/>
    </row>
    <row r="3690" spans="15:17" ht="20.100000000000001" customHeight="1">
      <c r="O3690" s="387"/>
      <c r="P3690" s="387"/>
      <c r="Q3690" s="387"/>
    </row>
    <row r="3691" spans="15:17" ht="20.100000000000001" customHeight="1">
      <c r="O3691" s="387"/>
      <c r="P3691" s="387"/>
      <c r="Q3691" s="387"/>
    </row>
    <row r="3692" spans="15:17" ht="20.100000000000001" customHeight="1">
      <c r="O3692" s="387"/>
      <c r="P3692" s="387"/>
      <c r="Q3692" s="387"/>
    </row>
    <row r="3693" spans="15:17" ht="20.100000000000001" customHeight="1">
      <c r="O3693" s="387"/>
      <c r="P3693" s="387"/>
      <c r="Q3693" s="387"/>
    </row>
    <row r="3694" spans="15:17" ht="20.100000000000001" customHeight="1">
      <c r="O3694" s="387"/>
      <c r="P3694" s="387"/>
      <c r="Q3694" s="387"/>
    </row>
    <row r="3695" spans="15:17" ht="20.100000000000001" customHeight="1">
      <c r="O3695" s="387"/>
      <c r="P3695" s="387"/>
      <c r="Q3695" s="387"/>
    </row>
    <row r="3696" spans="15:17" ht="20.100000000000001" customHeight="1">
      <c r="O3696" s="387"/>
      <c r="P3696" s="387"/>
      <c r="Q3696" s="387"/>
    </row>
    <row r="3697" spans="15:17" ht="20.100000000000001" customHeight="1">
      <c r="O3697" s="387"/>
      <c r="P3697" s="387"/>
      <c r="Q3697" s="387"/>
    </row>
    <row r="3698" spans="15:17" ht="20.100000000000001" customHeight="1">
      <c r="O3698" s="387"/>
      <c r="P3698" s="387"/>
      <c r="Q3698" s="387"/>
    </row>
    <row r="3699" spans="15:17" ht="20.100000000000001" customHeight="1">
      <c r="O3699" s="387"/>
      <c r="P3699" s="387"/>
      <c r="Q3699" s="387"/>
    </row>
    <row r="3700" spans="15:17" ht="20.100000000000001" customHeight="1">
      <c r="O3700" s="387"/>
      <c r="P3700" s="387"/>
      <c r="Q3700" s="387"/>
    </row>
    <row r="3701" spans="15:17" ht="20.100000000000001" customHeight="1">
      <c r="O3701" s="387"/>
      <c r="P3701" s="387"/>
      <c r="Q3701" s="387"/>
    </row>
    <row r="3702" spans="15:17" ht="20.100000000000001" customHeight="1">
      <c r="O3702" s="387"/>
      <c r="P3702" s="387"/>
      <c r="Q3702" s="387"/>
    </row>
    <row r="3703" spans="15:17" ht="20.100000000000001" customHeight="1">
      <c r="O3703" s="387"/>
      <c r="P3703" s="387"/>
      <c r="Q3703" s="387"/>
    </row>
    <row r="3704" spans="15:17" ht="20.100000000000001" customHeight="1">
      <c r="O3704" s="387"/>
      <c r="P3704" s="387"/>
      <c r="Q3704" s="387"/>
    </row>
    <row r="3705" spans="15:17" ht="20.100000000000001" customHeight="1">
      <c r="O3705" s="387"/>
      <c r="P3705" s="387"/>
      <c r="Q3705" s="387"/>
    </row>
    <row r="3706" spans="15:17" ht="20.100000000000001" customHeight="1">
      <c r="O3706" s="387"/>
      <c r="P3706" s="387"/>
      <c r="Q3706" s="387"/>
    </row>
    <row r="3707" spans="15:17" ht="20.100000000000001" customHeight="1">
      <c r="O3707" s="387"/>
      <c r="P3707" s="387"/>
      <c r="Q3707" s="387"/>
    </row>
    <row r="3708" spans="15:17" ht="20.100000000000001" customHeight="1">
      <c r="O3708" s="387"/>
      <c r="P3708" s="387"/>
      <c r="Q3708" s="387"/>
    </row>
    <row r="3709" spans="15:17" ht="20.100000000000001" customHeight="1">
      <c r="O3709" s="387"/>
      <c r="P3709" s="387"/>
      <c r="Q3709" s="387"/>
    </row>
    <row r="3710" spans="15:17" ht="20.100000000000001" customHeight="1">
      <c r="O3710" s="387"/>
      <c r="P3710" s="387"/>
      <c r="Q3710" s="387"/>
    </row>
    <row r="3711" spans="15:17" ht="20.100000000000001" customHeight="1">
      <c r="O3711" s="387"/>
      <c r="P3711" s="387"/>
      <c r="Q3711" s="387"/>
    </row>
    <row r="3712" spans="15:17" ht="20.100000000000001" customHeight="1">
      <c r="O3712" s="387"/>
      <c r="P3712" s="387"/>
      <c r="Q3712" s="387"/>
    </row>
    <row r="3713" spans="15:17" ht="20.100000000000001" customHeight="1">
      <c r="O3713" s="387"/>
      <c r="P3713" s="387"/>
      <c r="Q3713" s="387"/>
    </row>
    <row r="3714" spans="15:17" ht="20.100000000000001" customHeight="1">
      <c r="O3714" s="387"/>
      <c r="P3714" s="387"/>
      <c r="Q3714" s="387"/>
    </row>
    <row r="3715" spans="15:17" ht="20.100000000000001" customHeight="1">
      <c r="O3715" s="387"/>
      <c r="P3715" s="387"/>
      <c r="Q3715" s="387"/>
    </row>
    <row r="3716" spans="15:17" ht="20.100000000000001" customHeight="1">
      <c r="O3716" s="387"/>
      <c r="P3716" s="387"/>
      <c r="Q3716" s="387"/>
    </row>
    <row r="3717" spans="15:17" ht="20.100000000000001" customHeight="1">
      <c r="O3717" s="387"/>
      <c r="P3717" s="387"/>
      <c r="Q3717" s="387"/>
    </row>
    <row r="3718" spans="15:17" ht="20.100000000000001" customHeight="1">
      <c r="O3718" s="387"/>
      <c r="P3718" s="387"/>
      <c r="Q3718" s="387"/>
    </row>
    <row r="3719" spans="15:17" ht="20.100000000000001" customHeight="1">
      <c r="O3719" s="387"/>
      <c r="P3719" s="387"/>
      <c r="Q3719" s="387"/>
    </row>
    <row r="3720" spans="15:17" ht="20.100000000000001" customHeight="1">
      <c r="O3720" s="387"/>
      <c r="P3720" s="387"/>
      <c r="Q3720" s="387"/>
    </row>
    <row r="3721" spans="15:17" ht="20.100000000000001" customHeight="1">
      <c r="O3721" s="387"/>
      <c r="P3721" s="387"/>
      <c r="Q3721" s="387"/>
    </row>
    <row r="3722" spans="15:17" ht="20.100000000000001" customHeight="1">
      <c r="O3722" s="387"/>
      <c r="P3722" s="387"/>
      <c r="Q3722" s="387"/>
    </row>
    <row r="3723" spans="15:17" ht="20.100000000000001" customHeight="1">
      <c r="O3723" s="387"/>
      <c r="P3723" s="387"/>
      <c r="Q3723" s="387"/>
    </row>
    <row r="3724" spans="15:17" ht="20.100000000000001" customHeight="1">
      <c r="O3724" s="387"/>
      <c r="P3724" s="387"/>
      <c r="Q3724" s="387"/>
    </row>
    <row r="3725" spans="15:17" ht="20.100000000000001" customHeight="1">
      <c r="O3725" s="387"/>
      <c r="P3725" s="387"/>
      <c r="Q3725" s="387"/>
    </row>
    <row r="3726" spans="15:17" ht="20.100000000000001" customHeight="1">
      <c r="O3726" s="387"/>
      <c r="P3726" s="387"/>
      <c r="Q3726" s="387"/>
    </row>
    <row r="3727" spans="15:17" ht="20.100000000000001" customHeight="1">
      <c r="O3727" s="387"/>
      <c r="P3727" s="387"/>
      <c r="Q3727" s="387"/>
    </row>
    <row r="3728" spans="15:17" ht="20.100000000000001" customHeight="1">
      <c r="O3728" s="387"/>
      <c r="P3728" s="387"/>
      <c r="Q3728" s="387"/>
    </row>
    <row r="3729" spans="15:17" ht="20.100000000000001" customHeight="1">
      <c r="O3729" s="387"/>
      <c r="P3729" s="387"/>
      <c r="Q3729" s="387"/>
    </row>
    <row r="3730" spans="15:17" ht="20.100000000000001" customHeight="1">
      <c r="O3730" s="387"/>
      <c r="P3730" s="387"/>
      <c r="Q3730" s="387"/>
    </row>
    <row r="3731" spans="15:17" ht="20.100000000000001" customHeight="1">
      <c r="O3731" s="387"/>
      <c r="P3731" s="387"/>
      <c r="Q3731" s="387"/>
    </row>
    <row r="3732" spans="15:17" ht="20.100000000000001" customHeight="1">
      <c r="O3732" s="387"/>
      <c r="P3732" s="387"/>
      <c r="Q3732" s="387"/>
    </row>
    <row r="3733" spans="15:17" ht="20.100000000000001" customHeight="1">
      <c r="O3733" s="387"/>
      <c r="P3733" s="387"/>
      <c r="Q3733" s="387"/>
    </row>
    <row r="3734" spans="15:17" ht="20.100000000000001" customHeight="1">
      <c r="O3734" s="387"/>
      <c r="P3734" s="387"/>
      <c r="Q3734" s="387"/>
    </row>
    <row r="3735" spans="15:17" ht="20.100000000000001" customHeight="1">
      <c r="O3735" s="387"/>
      <c r="P3735" s="387"/>
      <c r="Q3735" s="387"/>
    </row>
    <row r="3736" spans="15:17" ht="20.100000000000001" customHeight="1">
      <c r="O3736" s="387"/>
      <c r="P3736" s="387"/>
      <c r="Q3736" s="387"/>
    </row>
    <row r="3737" spans="15:17" ht="20.100000000000001" customHeight="1">
      <c r="O3737" s="387"/>
      <c r="P3737" s="387"/>
      <c r="Q3737" s="387"/>
    </row>
    <row r="3738" spans="15:17" ht="20.100000000000001" customHeight="1">
      <c r="O3738" s="387"/>
      <c r="P3738" s="387"/>
      <c r="Q3738" s="387"/>
    </row>
    <row r="3739" spans="15:17" ht="20.100000000000001" customHeight="1">
      <c r="O3739" s="387"/>
      <c r="P3739" s="387"/>
      <c r="Q3739" s="387"/>
    </row>
    <row r="3740" spans="15:17" ht="20.100000000000001" customHeight="1">
      <c r="O3740" s="387"/>
      <c r="P3740" s="387"/>
      <c r="Q3740" s="387"/>
    </row>
    <row r="3741" spans="15:17" ht="20.100000000000001" customHeight="1">
      <c r="O3741" s="387"/>
      <c r="P3741" s="387"/>
      <c r="Q3741" s="387"/>
    </row>
    <row r="3742" spans="15:17" ht="20.100000000000001" customHeight="1">
      <c r="O3742" s="387"/>
      <c r="P3742" s="387"/>
      <c r="Q3742" s="387"/>
    </row>
    <row r="3743" spans="15:17" ht="20.100000000000001" customHeight="1">
      <c r="O3743" s="387"/>
      <c r="P3743" s="387"/>
      <c r="Q3743" s="387"/>
    </row>
    <row r="3744" spans="15:17" ht="20.100000000000001" customHeight="1">
      <c r="O3744" s="387"/>
      <c r="P3744" s="387"/>
      <c r="Q3744" s="387"/>
    </row>
    <row r="3745" spans="15:17" ht="20.100000000000001" customHeight="1">
      <c r="O3745" s="387"/>
      <c r="P3745" s="387"/>
      <c r="Q3745" s="387"/>
    </row>
    <row r="3746" spans="15:17" ht="20.100000000000001" customHeight="1">
      <c r="O3746" s="387"/>
      <c r="P3746" s="387"/>
      <c r="Q3746" s="387"/>
    </row>
    <row r="3747" spans="15:17" ht="20.100000000000001" customHeight="1">
      <c r="O3747" s="387"/>
      <c r="P3747" s="387"/>
      <c r="Q3747" s="387"/>
    </row>
    <row r="3748" spans="15:17" ht="20.100000000000001" customHeight="1">
      <c r="O3748" s="387"/>
      <c r="P3748" s="387"/>
      <c r="Q3748" s="387"/>
    </row>
    <row r="3749" spans="15:17" ht="20.100000000000001" customHeight="1">
      <c r="O3749" s="387"/>
      <c r="P3749" s="387"/>
      <c r="Q3749" s="387"/>
    </row>
    <row r="3750" spans="15:17" ht="20.100000000000001" customHeight="1">
      <c r="O3750" s="387"/>
      <c r="P3750" s="387"/>
      <c r="Q3750" s="387"/>
    </row>
    <row r="3751" spans="15:17" ht="20.100000000000001" customHeight="1">
      <c r="O3751" s="387"/>
      <c r="P3751" s="387"/>
      <c r="Q3751" s="387"/>
    </row>
    <row r="3752" spans="15:17" ht="20.100000000000001" customHeight="1">
      <c r="O3752" s="387"/>
      <c r="P3752" s="387"/>
      <c r="Q3752" s="387"/>
    </row>
    <row r="3753" spans="15:17" ht="20.100000000000001" customHeight="1">
      <c r="O3753" s="387"/>
      <c r="P3753" s="387"/>
      <c r="Q3753" s="387"/>
    </row>
    <row r="3754" spans="15:17" ht="20.100000000000001" customHeight="1">
      <c r="O3754" s="387"/>
      <c r="P3754" s="387"/>
      <c r="Q3754" s="387"/>
    </row>
    <row r="3755" spans="15:17" ht="20.100000000000001" customHeight="1">
      <c r="O3755" s="387"/>
      <c r="P3755" s="387"/>
      <c r="Q3755" s="387"/>
    </row>
    <row r="3756" spans="15:17" ht="20.100000000000001" customHeight="1">
      <c r="O3756" s="387"/>
      <c r="P3756" s="387"/>
      <c r="Q3756" s="387"/>
    </row>
    <row r="3757" spans="15:17" ht="20.100000000000001" customHeight="1">
      <c r="O3757" s="387"/>
      <c r="P3757" s="387"/>
      <c r="Q3757" s="387"/>
    </row>
    <row r="3758" spans="15:17" ht="20.100000000000001" customHeight="1">
      <c r="O3758" s="387"/>
      <c r="P3758" s="387"/>
      <c r="Q3758" s="387"/>
    </row>
    <row r="3759" spans="15:17" ht="20.100000000000001" customHeight="1">
      <c r="O3759" s="387"/>
      <c r="P3759" s="387"/>
      <c r="Q3759" s="387"/>
    </row>
    <row r="3760" spans="15:17" ht="20.100000000000001" customHeight="1">
      <c r="O3760" s="387"/>
      <c r="P3760" s="387"/>
      <c r="Q3760" s="387"/>
    </row>
    <row r="3761" spans="15:17" ht="20.100000000000001" customHeight="1">
      <c r="O3761" s="387"/>
      <c r="P3761" s="387"/>
      <c r="Q3761" s="387"/>
    </row>
    <row r="3762" spans="15:17" ht="20.100000000000001" customHeight="1">
      <c r="O3762" s="387"/>
      <c r="P3762" s="387"/>
      <c r="Q3762" s="387"/>
    </row>
    <row r="3763" spans="15:17" ht="20.100000000000001" customHeight="1">
      <c r="O3763" s="387"/>
      <c r="P3763" s="387"/>
      <c r="Q3763" s="387"/>
    </row>
    <row r="3764" spans="15:17" ht="20.100000000000001" customHeight="1">
      <c r="O3764" s="387"/>
      <c r="P3764" s="387"/>
      <c r="Q3764" s="387"/>
    </row>
    <row r="3765" spans="15:17" ht="20.100000000000001" customHeight="1">
      <c r="O3765" s="387"/>
      <c r="P3765" s="387"/>
      <c r="Q3765" s="387"/>
    </row>
    <row r="3766" spans="15:17" ht="20.100000000000001" customHeight="1">
      <c r="O3766" s="387"/>
      <c r="P3766" s="387"/>
      <c r="Q3766" s="387"/>
    </row>
    <row r="3767" spans="15:17" ht="20.100000000000001" customHeight="1">
      <c r="O3767" s="387"/>
      <c r="P3767" s="387"/>
      <c r="Q3767" s="387"/>
    </row>
    <row r="3768" spans="15:17" ht="20.100000000000001" customHeight="1">
      <c r="O3768" s="387"/>
      <c r="P3768" s="387"/>
      <c r="Q3768" s="387"/>
    </row>
    <row r="3769" spans="15:17" ht="20.100000000000001" customHeight="1">
      <c r="O3769" s="387"/>
      <c r="P3769" s="387"/>
      <c r="Q3769" s="387"/>
    </row>
    <row r="3770" spans="15:17" ht="20.100000000000001" customHeight="1">
      <c r="O3770" s="387"/>
      <c r="P3770" s="387"/>
      <c r="Q3770" s="387"/>
    </row>
    <row r="3771" spans="15:17" ht="20.100000000000001" customHeight="1">
      <c r="O3771" s="387"/>
      <c r="P3771" s="387"/>
      <c r="Q3771" s="387"/>
    </row>
    <row r="3772" spans="15:17" ht="20.100000000000001" customHeight="1">
      <c r="O3772" s="387"/>
      <c r="P3772" s="387"/>
      <c r="Q3772" s="387"/>
    </row>
    <row r="3773" spans="15:17" ht="20.100000000000001" customHeight="1">
      <c r="O3773" s="387"/>
      <c r="P3773" s="387"/>
      <c r="Q3773" s="387"/>
    </row>
    <row r="3774" spans="15:17" ht="20.100000000000001" customHeight="1">
      <c r="O3774" s="387"/>
      <c r="P3774" s="387"/>
      <c r="Q3774" s="387"/>
    </row>
    <row r="3775" spans="15:17" ht="20.100000000000001" customHeight="1">
      <c r="O3775" s="387"/>
      <c r="P3775" s="387"/>
      <c r="Q3775" s="387"/>
    </row>
    <row r="3776" spans="15:17" ht="20.100000000000001" customHeight="1">
      <c r="O3776" s="387"/>
      <c r="P3776" s="387"/>
      <c r="Q3776" s="387"/>
    </row>
    <row r="3777" spans="15:17" ht="20.100000000000001" customHeight="1">
      <c r="O3777" s="387"/>
      <c r="P3777" s="387"/>
      <c r="Q3777" s="387"/>
    </row>
    <row r="3778" spans="15:17" ht="20.100000000000001" customHeight="1">
      <c r="O3778" s="387"/>
      <c r="P3778" s="387"/>
      <c r="Q3778" s="387"/>
    </row>
    <row r="3779" spans="15:17" ht="20.100000000000001" customHeight="1">
      <c r="O3779" s="387"/>
      <c r="P3779" s="387"/>
      <c r="Q3779" s="387"/>
    </row>
    <row r="3780" spans="15:17" ht="20.100000000000001" customHeight="1">
      <c r="O3780" s="387"/>
      <c r="P3780" s="387"/>
      <c r="Q3780" s="387"/>
    </row>
    <row r="3781" spans="15:17" ht="20.100000000000001" customHeight="1">
      <c r="O3781" s="387"/>
      <c r="P3781" s="387"/>
      <c r="Q3781" s="387"/>
    </row>
    <row r="3782" spans="15:17" ht="20.100000000000001" customHeight="1">
      <c r="O3782" s="387"/>
      <c r="P3782" s="387"/>
      <c r="Q3782" s="387"/>
    </row>
    <row r="3783" spans="15:17" ht="20.100000000000001" customHeight="1">
      <c r="O3783" s="387"/>
      <c r="P3783" s="387"/>
      <c r="Q3783" s="387"/>
    </row>
    <row r="3784" spans="15:17" ht="20.100000000000001" customHeight="1">
      <c r="O3784" s="387"/>
      <c r="P3784" s="387"/>
      <c r="Q3784" s="387"/>
    </row>
    <row r="3785" spans="15:17" ht="20.100000000000001" customHeight="1">
      <c r="O3785" s="387"/>
      <c r="P3785" s="387"/>
      <c r="Q3785" s="387"/>
    </row>
    <row r="3786" spans="15:17" ht="20.100000000000001" customHeight="1">
      <c r="O3786" s="387"/>
      <c r="P3786" s="387"/>
      <c r="Q3786" s="387"/>
    </row>
    <row r="3787" spans="15:17" ht="20.100000000000001" customHeight="1">
      <c r="O3787" s="387"/>
      <c r="P3787" s="387"/>
      <c r="Q3787" s="387"/>
    </row>
    <row r="3788" spans="15:17" ht="20.100000000000001" customHeight="1">
      <c r="O3788" s="387"/>
      <c r="P3788" s="387"/>
      <c r="Q3788" s="387"/>
    </row>
    <row r="3789" spans="15:17" ht="20.100000000000001" customHeight="1">
      <c r="O3789" s="387"/>
      <c r="P3789" s="387"/>
      <c r="Q3789" s="387"/>
    </row>
    <row r="3790" spans="15:17" ht="20.100000000000001" customHeight="1">
      <c r="O3790" s="387"/>
      <c r="P3790" s="387"/>
      <c r="Q3790" s="387"/>
    </row>
    <row r="3791" spans="15:17" ht="20.100000000000001" customHeight="1">
      <c r="O3791" s="387"/>
      <c r="P3791" s="387"/>
      <c r="Q3791" s="387"/>
    </row>
    <row r="3792" spans="15:17" ht="20.100000000000001" customHeight="1">
      <c r="O3792" s="387"/>
      <c r="P3792" s="387"/>
      <c r="Q3792" s="387"/>
    </row>
    <row r="3793" spans="15:17" ht="20.100000000000001" customHeight="1">
      <c r="O3793" s="387"/>
      <c r="P3793" s="387"/>
      <c r="Q3793" s="387"/>
    </row>
    <row r="3794" spans="15:17" ht="20.100000000000001" customHeight="1">
      <c r="O3794" s="387"/>
      <c r="P3794" s="387"/>
      <c r="Q3794" s="387"/>
    </row>
    <row r="3795" spans="15:17" ht="20.100000000000001" customHeight="1">
      <c r="O3795" s="387"/>
      <c r="P3795" s="387"/>
      <c r="Q3795" s="387"/>
    </row>
    <row r="3796" spans="15:17" ht="20.100000000000001" customHeight="1">
      <c r="O3796" s="387"/>
      <c r="P3796" s="387"/>
      <c r="Q3796" s="387"/>
    </row>
    <row r="3797" spans="15:17" ht="20.100000000000001" customHeight="1">
      <c r="O3797" s="387"/>
      <c r="P3797" s="387"/>
      <c r="Q3797" s="387"/>
    </row>
    <row r="3798" spans="15:17" ht="20.100000000000001" customHeight="1">
      <c r="O3798" s="387"/>
      <c r="P3798" s="387"/>
      <c r="Q3798" s="387"/>
    </row>
    <row r="3799" spans="15:17" ht="20.100000000000001" customHeight="1">
      <c r="O3799" s="387"/>
      <c r="P3799" s="387"/>
      <c r="Q3799" s="387"/>
    </row>
    <row r="3800" spans="15:17" ht="20.100000000000001" customHeight="1">
      <c r="O3800" s="387"/>
      <c r="P3800" s="387"/>
      <c r="Q3800" s="387"/>
    </row>
    <row r="3801" spans="15:17" ht="20.100000000000001" customHeight="1">
      <c r="O3801" s="387"/>
      <c r="P3801" s="387"/>
      <c r="Q3801" s="387"/>
    </row>
    <row r="3802" spans="15:17" ht="20.100000000000001" customHeight="1">
      <c r="O3802" s="387"/>
      <c r="P3802" s="387"/>
      <c r="Q3802" s="387"/>
    </row>
    <row r="3803" spans="15:17" ht="20.100000000000001" customHeight="1">
      <c r="O3803" s="387"/>
      <c r="P3803" s="387"/>
      <c r="Q3803" s="387"/>
    </row>
    <row r="3804" spans="15:17" ht="20.100000000000001" customHeight="1">
      <c r="O3804" s="387"/>
      <c r="P3804" s="387"/>
      <c r="Q3804" s="387"/>
    </row>
    <row r="3805" spans="15:17" ht="20.100000000000001" customHeight="1">
      <c r="O3805" s="387"/>
      <c r="P3805" s="387"/>
      <c r="Q3805" s="387"/>
    </row>
    <row r="3806" spans="15:17" ht="20.100000000000001" customHeight="1">
      <c r="O3806" s="387"/>
      <c r="P3806" s="387"/>
      <c r="Q3806" s="387"/>
    </row>
    <row r="3807" spans="15:17" ht="20.100000000000001" customHeight="1">
      <c r="O3807" s="387"/>
      <c r="P3807" s="387"/>
      <c r="Q3807" s="387"/>
    </row>
    <row r="3808" spans="15:17" ht="20.100000000000001" customHeight="1">
      <c r="O3808" s="387"/>
      <c r="P3808" s="387"/>
      <c r="Q3808" s="387"/>
    </row>
    <row r="3809" spans="15:17" ht="20.100000000000001" customHeight="1">
      <c r="O3809" s="387"/>
      <c r="P3809" s="387"/>
      <c r="Q3809" s="387"/>
    </row>
    <row r="3810" spans="15:17" ht="20.100000000000001" customHeight="1">
      <c r="O3810" s="387"/>
      <c r="P3810" s="387"/>
      <c r="Q3810" s="387"/>
    </row>
    <row r="3811" spans="15:17" ht="20.100000000000001" customHeight="1">
      <c r="O3811" s="387"/>
      <c r="P3811" s="387"/>
      <c r="Q3811" s="387"/>
    </row>
    <row r="3812" spans="15:17" ht="20.100000000000001" customHeight="1">
      <c r="O3812" s="387"/>
      <c r="P3812" s="387"/>
      <c r="Q3812" s="387"/>
    </row>
    <row r="3813" spans="15:17" ht="20.100000000000001" customHeight="1">
      <c r="O3813" s="387"/>
      <c r="P3813" s="387"/>
      <c r="Q3813" s="387"/>
    </row>
    <row r="3814" spans="15:17" ht="20.100000000000001" customHeight="1">
      <c r="O3814" s="387"/>
      <c r="P3814" s="387"/>
      <c r="Q3814" s="387"/>
    </row>
    <row r="3815" spans="15:17" ht="20.100000000000001" customHeight="1">
      <c r="O3815" s="387"/>
      <c r="P3815" s="387"/>
      <c r="Q3815" s="387"/>
    </row>
    <row r="3816" spans="15:17" ht="20.100000000000001" customHeight="1">
      <c r="O3816" s="387"/>
      <c r="P3816" s="387"/>
      <c r="Q3816" s="387"/>
    </row>
    <row r="3817" spans="15:17" ht="20.100000000000001" customHeight="1">
      <c r="O3817" s="387"/>
      <c r="P3817" s="387"/>
      <c r="Q3817" s="387"/>
    </row>
    <row r="3818" spans="15:17" ht="20.100000000000001" customHeight="1">
      <c r="O3818" s="387"/>
      <c r="P3818" s="387"/>
      <c r="Q3818" s="387"/>
    </row>
    <row r="3819" spans="15:17" ht="20.100000000000001" customHeight="1">
      <c r="O3819" s="387"/>
      <c r="P3819" s="387"/>
      <c r="Q3819" s="387"/>
    </row>
    <row r="3820" spans="15:17" ht="20.100000000000001" customHeight="1">
      <c r="O3820" s="387"/>
      <c r="P3820" s="387"/>
      <c r="Q3820" s="387"/>
    </row>
    <row r="3821" spans="15:17" ht="20.100000000000001" customHeight="1">
      <c r="O3821" s="387"/>
      <c r="P3821" s="387"/>
      <c r="Q3821" s="387"/>
    </row>
    <row r="3822" spans="15:17" ht="20.100000000000001" customHeight="1">
      <c r="O3822" s="387"/>
      <c r="P3822" s="387"/>
      <c r="Q3822" s="387"/>
    </row>
    <row r="3823" spans="15:17" ht="20.100000000000001" customHeight="1">
      <c r="O3823" s="387"/>
      <c r="P3823" s="387"/>
      <c r="Q3823" s="387"/>
    </row>
    <row r="3824" spans="15:17" ht="20.100000000000001" customHeight="1">
      <c r="O3824" s="387"/>
      <c r="P3824" s="387"/>
      <c r="Q3824" s="387"/>
    </row>
    <row r="3825" spans="15:17" ht="20.100000000000001" customHeight="1">
      <c r="O3825" s="387"/>
      <c r="P3825" s="387"/>
      <c r="Q3825" s="387"/>
    </row>
    <row r="3826" spans="15:17" ht="20.100000000000001" customHeight="1">
      <c r="O3826" s="387"/>
      <c r="P3826" s="387"/>
      <c r="Q3826" s="387"/>
    </row>
    <row r="3827" spans="15:17" ht="20.100000000000001" customHeight="1">
      <c r="O3827" s="387"/>
      <c r="P3827" s="387"/>
      <c r="Q3827" s="387"/>
    </row>
    <row r="3828" spans="15:17" ht="20.100000000000001" customHeight="1">
      <c r="O3828" s="387"/>
      <c r="P3828" s="387"/>
      <c r="Q3828" s="387"/>
    </row>
    <row r="3829" spans="15:17" ht="20.100000000000001" customHeight="1">
      <c r="O3829" s="387"/>
      <c r="P3829" s="387"/>
      <c r="Q3829" s="387"/>
    </row>
    <row r="3830" spans="15:17" ht="20.100000000000001" customHeight="1">
      <c r="O3830" s="387"/>
      <c r="P3830" s="387"/>
      <c r="Q3830" s="387"/>
    </row>
    <row r="3831" spans="15:17" ht="20.100000000000001" customHeight="1">
      <c r="O3831" s="387"/>
      <c r="P3831" s="387"/>
      <c r="Q3831" s="387"/>
    </row>
    <row r="3832" spans="15:17" ht="20.100000000000001" customHeight="1">
      <c r="O3832" s="387"/>
      <c r="P3832" s="387"/>
      <c r="Q3832" s="387"/>
    </row>
    <row r="3833" spans="15:17" ht="20.100000000000001" customHeight="1">
      <c r="O3833" s="387"/>
      <c r="P3833" s="387"/>
      <c r="Q3833" s="387"/>
    </row>
    <row r="3834" spans="15:17" ht="20.100000000000001" customHeight="1">
      <c r="O3834" s="387"/>
      <c r="P3834" s="387"/>
      <c r="Q3834" s="387"/>
    </row>
    <row r="3835" spans="15:17" ht="20.100000000000001" customHeight="1">
      <c r="O3835" s="387"/>
      <c r="P3835" s="387"/>
      <c r="Q3835" s="387"/>
    </row>
    <row r="3836" spans="15:17" ht="20.100000000000001" customHeight="1">
      <c r="O3836" s="387"/>
      <c r="P3836" s="387"/>
      <c r="Q3836" s="387"/>
    </row>
    <row r="3837" spans="15:17" ht="20.100000000000001" customHeight="1">
      <c r="O3837" s="387"/>
      <c r="P3837" s="387"/>
      <c r="Q3837" s="387"/>
    </row>
    <row r="3838" spans="15:17" ht="20.100000000000001" customHeight="1">
      <c r="O3838" s="387"/>
      <c r="P3838" s="387"/>
      <c r="Q3838" s="387"/>
    </row>
    <row r="3839" spans="15:17" ht="20.100000000000001" customHeight="1">
      <c r="O3839" s="387"/>
      <c r="P3839" s="387"/>
      <c r="Q3839" s="387"/>
    </row>
    <row r="3840" spans="15:17" ht="20.100000000000001" customHeight="1">
      <c r="O3840" s="387"/>
      <c r="P3840" s="387"/>
      <c r="Q3840" s="387"/>
    </row>
    <row r="3841" spans="15:17" ht="20.100000000000001" customHeight="1">
      <c r="O3841" s="387"/>
      <c r="P3841" s="387"/>
      <c r="Q3841" s="387"/>
    </row>
    <row r="3842" spans="15:17" ht="20.100000000000001" customHeight="1">
      <c r="O3842" s="387"/>
      <c r="P3842" s="387"/>
      <c r="Q3842" s="387"/>
    </row>
    <row r="3843" spans="15:17" ht="20.100000000000001" customHeight="1">
      <c r="O3843" s="387"/>
      <c r="P3843" s="387"/>
      <c r="Q3843" s="387"/>
    </row>
    <row r="3844" spans="15:17" ht="20.100000000000001" customHeight="1">
      <c r="O3844" s="387"/>
      <c r="P3844" s="387"/>
      <c r="Q3844" s="387"/>
    </row>
    <row r="3845" spans="15:17" ht="20.100000000000001" customHeight="1">
      <c r="O3845" s="387"/>
      <c r="P3845" s="387"/>
      <c r="Q3845" s="387"/>
    </row>
    <row r="3846" spans="15:17" ht="20.100000000000001" customHeight="1">
      <c r="O3846" s="387"/>
      <c r="P3846" s="387"/>
      <c r="Q3846" s="387"/>
    </row>
    <row r="3847" spans="15:17" ht="20.100000000000001" customHeight="1">
      <c r="O3847" s="387"/>
      <c r="P3847" s="387"/>
      <c r="Q3847" s="387"/>
    </row>
    <row r="3848" spans="15:17" ht="20.100000000000001" customHeight="1">
      <c r="O3848" s="387"/>
      <c r="P3848" s="387"/>
      <c r="Q3848" s="387"/>
    </row>
    <row r="3849" spans="15:17" ht="20.100000000000001" customHeight="1">
      <c r="O3849" s="387"/>
      <c r="P3849" s="387"/>
      <c r="Q3849" s="387"/>
    </row>
    <row r="3850" spans="15:17" ht="20.100000000000001" customHeight="1">
      <c r="O3850" s="387"/>
      <c r="P3850" s="387"/>
      <c r="Q3850" s="387"/>
    </row>
    <row r="3851" spans="15:17" ht="20.100000000000001" customHeight="1">
      <c r="O3851" s="387"/>
      <c r="P3851" s="387"/>
      <c r="Q3851" s="387"/>
    </row>
    <row r="3852" spans="15:17" ht="20.100000000000001" customHeight="1">
      <c r="O3852" s="387"/>
      <c r="P3852" s="387"/>
      <c r="Q3852" s="387"/>
    </row>
    <row r="3853" spans="15:17" ht="20.100000000000001" customHeight="1">
      <c r="O3853" s="387"/>
      <c r="P3853" s="387"/>
      <c r="Q3853" s="387"/>
    </row>
    <row r="3854" spans="15:17" ht="20.100000000000001" customHeight="1">
      <c r="O3854" s="387"/>
      <c r="P3854" s="387"/>
      <c r="Q3854" s="387"/>
    </row>
    <row r="3855" spans="15:17" ht="20.100000000000001" customHeight="1">
      <c r="O3855" s="387"/>
      <c r="P3855" s="387"/>
      <c r="Q3855" s="387"/>
    </row>
    <row r="3856" spans="15:17" ht="20.100000000000001" customHeight="1">
      <c r="O3856" s="387"/>
      <c r="P3856" s="387"/>
      <c r="Q3856" s="387"/>
    </row>
    <row r="3857" spans="15:17" ht="20.100000000000001" customHeight="1">
      <c r="O3857" s="387"/>
      <c r="P3857" s="387"/>
      <c r="Q3857" s="387"/>
    </row>
    <row r="3858" spans="15:17" ht="20.100000000000001" customHeight="1">
      <c r="O3858" s="387"/>
      <c r="P3858" s="387"/>
      <c r="Q3858" s="387"/>
    </row>
    <row r="3859" spans="15:17" ht="20.100000000000001" customHeight="1">
      <c r="O3859" s="387"/>
      <c r="P3859" s="387"/>
      <c r="Q3859" s="387"/>
    </row>
    <row r="3860" spans="15:17" ht="20.100000000000001" customHeight="1">
      <c r="O3860" s="387"/>
      <c r="P3860" s="387"/>
      <c r="Q3860" s="387"/>
    </row>
    <row r="3861" spans="15:17" ht="20.100000000000001" customHeight="1">
      <c r="O3861" s="387"/>
      <c r="P3861" s="387"/>
      <c r="Q3861" s="387"/>
    </row>
    <row r="3862" spans="15:17" ht="20.100000000000001" customHeight="1">
      <c r="O3862" s="387"/>
      <c r="P3862" s="387"/>
      <c r="Q3862" s="387"/>
    </row>
    <row r="3863" spans="15:17" ht="20.100000000000001" customHeight="1">
      <c r="O3863" s="387"/>
      <c r="P3863" s="387"/>
      <c r="Q3863" s="387"/>
    </row>
    <row r="3864" spans="15:17" ht="20.100000000000001" customHeight="1">
      <c r="O3864" s="387"/>
      <c r="P3864" s="387"/>
      <c r="Q3864" s="387"/>
    </row>
    <row r="3865" spans="15:17" ht="20.100000000000001" customHeight="1">
      <c r="O3865" s="387"/>
      <c r="P3865" s="387"/>
      <c r="Q3865" s="387"/>
    </row>
    <row r="3866" spans="15:17" ht="20.100000000000001" customHeight="1">
      <c r="O3866" s="387"/>
      <c r="P3866" s="387"/>
      <c r="Q3866" s="387"/>
    </row>
    <row r="3867" spans="15:17" ht="20.100000000000001" customHeight="1">
      <c r="O3867" s="387"/>
      <c r="P3867" s="387"/>
      <c r="Q3867" s="387"/>
    </row>
    <row r="3868" spans="15:17" ht="20.100000000000001" customHeight="1">
      <c r="O3868" s="387"/>
      <c r="P3868" s="387"/>
      <c r="Q3868" s="387"/>
    </row>
    <row r="3869" spans="15:17" ht="20.100000000000001" customHeight="1">
      <c r="O3869" s="387"/>
      <c r="P3869" s="387"/>
      <c r="Q3869" s="387"/>
    </row>
    <row r="3870" spans="15:17" ht="20.100000000000001" customHeight="1">
      <c r="O3870" s="387"/>
      <c r="P3870" s="387"/>
      <c r="Q3870" s="387"/>
    </row>
    <row r="3871" spans="15:17" ht="20.100000000000001" customHeight="1">
      <c r="O3871" s="387"/>
      <c r="P3871" s="387"/>
      <c r="Q3871" s="387"/>
    </row>
    <row r="3872" spans="15:17" ht="20.100000000000001" customHeight="1">
      <c r="O3872" s="387"/>
      <c r="P3872" s="387"/>
      <c r="Q3872" s="387"/>
    </row>
    <row r="3873" spans="15:17" ht="20.100000000000001" customHeight="1">
      <c r="O3873" s="387"/>
      <c r="P3873" s="387"/>
      <c r="Q3873" s="387"/>
    </row>
    <row r="3874" spans="15:17" ht="20.100000000000001" customHeight="1">
      <c r="O3874" s="387"/>
      <c r="P3874" s="387"/>
      <c r="Q3874" s="387"/>
    </row>
    <row r="3875" spans="15:17" ht="20.100000000000001" customHeight="1">
      <c r="O3875" s="387"/>
      <c r="P3875" s="387"/>
      <c r="Q3875" s="387"/>
    </row>
    <row r="3876" spans="15:17" ht="20.100000000000001" customHeight="1">
      <c r="O3876" s="387"/>
      <c r="P3876" s="387"/>
      <c r="Q3876" s="387"/>
    </row>
    <row r="3877" spans="15:17" ht="20.100000000000001" customHeight="1">
      <c r="O3877" s="387"/>
      <c r="P3877" s="387"/>
      <c r="Q3877" s="387"/>
    </row>
    <row r="3878" spans="15:17" ht="20.100000000000001" customHeight="1">
      <c r="O3878" s="387"/>
      <c r="P3878" s="387"/>
      <c r="Q3878" s="387"/>
    </row>
    <row r="3879" spans="15:17" ht="20.100000000000001" customHeight="1">
      <c r="O3879" s="387"/>
      <c r="P3879" s="387"/>
      <c r="Q3879" s="387"/>
    </row>
    <row r="3880" spans="15:17" ht="20.100000000000001" customHeight="1">
      <c r="O3880" s="387"/>
      <c r="P3880" s="387"/>
      <c r="Q3880" s="387"/>
    </row>
    <row r="3881" spans="15:17" ht="20.100000000000001" customHeight="1">
      <c r="O3881" s="387"/>
      <c r="P3881" s="387"/>
      <c r="Q3881" s="387"/>
    </row>
    <row r="3882" spans="15:17" ht="20.100000000000001" customHeight="1">
      <c r="O3882" s="387"/>
      <c r="P3882" s="387"/>
      <c r="Q3882" s="387"/>
    </row>
    <row r="3883" spans="15:17" ht="20.100000000000001" customHeight="1">
      <c r="O3883" s="387"/>
      <c r="P3883" s="387"/>
      <c r="Q3883" s="387"/>
    </row>
    <row r="3884" spans="15:17" ht="20.100000000000001" customHeight="1">
      <c r="O3884" s="387"/>
      <c r="P3884" s="387"/>
      <c r="Q3884" s="387"/>
    </row>
    <row r="3885" spans="15:17" ht="20.100000000000001" customHeight="1">
      <c r="O3885" s="387"/>
      <c r="P3885" s="387"/>
      <c r="Q3885" s="387"/>
    </row>
    <row r="3886" spans="15:17" ht="20.100000000000001" customHeight="1">
      <c r="O3886" s="387"/>
      <c r="P3886" s="387"/>
      <c r="Q3886" s="387"/>
    </row>
    <row r="3887" spans="15:17" ht="20.100000000000001" customHeight="1">
      <c r="O3887" s="387"/>
      <c r="P3887" s="387"/>
      <c r="Q3887" s="387"/>
    </row>
    <row r="3888" spans="15:17" ht="20.100000000000001" customHeight="1">
      <c r="O3888" s="387"/>
      <c r="P3888" s="387"/>
      <c r="Q3888" s="387"/>
    </row>
    <row r="3889" spans="15:17" ht="20.100000000000001" customHeight="1">
      <c r="O3889" s="387"/>
      <c r="P3889" s="387"/>
      <c r="Q3889" s="387"/>
    </row>
    <row r="3890" spans="15:17" ht="20.100000000000001" customHeight="1">
      <c r="O3890" s="387"/>
      <c r="P3890" s="387"/>
      <c r="Q3890" s="387"/>
    </row>
    <row r="3891" spans="15:17" ht="20.100000000000001" customHeight="1">
      <c r="O3891" s="387"/>
      <c r="P3891" s="387"/>
      <c r="Q3891" s="387"/>
    </row>
    <row r="3892" spans="15:17" ht="20.100000000000001" customHeight="1">
      <c r="O3892" s="387"/>
      <c r="P3892" s="387"/>
      <c r="Q3892" s="387"/>
    </row>
    <row r="3893" spans="15:17" ht="20.100000000000001" customHeight="1">
      <c r="O3893" s="387"/>
      <c r="P3893" s="387"/>
      <c r="Q3893" s="387"/>
    </row>
    <row r="3894" spans="15:17" ht="20.100000000000001" customHeight="1">
      <c r="O3894" s="387"/>
      <c r="P3894" s="387"/>
      <c r="Q3894" s="387"/>
    </row>
    <row r="3895" spans="15:17" ht="20.100000000000001" customHeight="1">
      <c r="O3895" s="387"/>
      <c r="P3895" s="387"/>
      <c r="Q3895" s="387"/>
    </row>
    <row r="3896" spans="15:17" ht="20.100000000000001" customHeight="1">
      <c r="O3896" s="387"/>
      <c r="P3896" s="387"/>
      <c r="Q3896" s="387"/>
    </row>
    <row r="3897" spans="15:17" ht="20.100000000000001" customHeight="1">
      <c r="O3897" s="387"/>
      <c r="P3897" s="387"/>
      <c r="Q3897" s="387"/>
    </row>
    <row r="3898" spans="15:17" ht="20.100000000000001" customHeight="1">
      <c r="O3898" s="387"/>
      <c r="P3898" s="387"/>
      <c r="Q3898" s="387"/>
    </row>
    <row r="3899" spans="15:17" ht="20.100000000000001" customHeight="1">
      <c r="O3899" s="387"/>
      <c r="P3899" s="387"/>
      <c r="Q3899" s="387"/>
    </row>
    <row r="3900" spans="15:17" ht="20.100000000000001" customHeight="1">
      <c r="O3900" s="387"/>
      <c r="P3900" s="387"/>
      <c r="Q3900" s="387"/>
    </row>
    <row r="3901" spans="15:17" ht="20.100000000000001" customHeight="1">
      <c r="O3901" s="387"/>
      <c r="P3901" s="387"/>
      <c r="Q3901" s="387"/>
    </row>
    <row r="3902" spans="15:17" ht="20.100000000000001" customHeight="1">
      <c r="O3902" s="387"/>
      <c r="P3902" s="387"/>
      <c r="Q3902" s="387"/>
    </row>
    <row r="3903" spans="15:17" ht="20.100000000000001" customHeight="1">
      <c r="O3903" s="387"/>
      <c r="P3903" s="387"/>
      <c r="Q3903" s="387"/>
    </row>
    <row r="3904" spans="15:17" ht="20.100000000000001" customHeight="1">
      <c r="O3904" s="387"/>
      <c r="P3904" s="387"/>
      <c r="Q3904" s="387"/>
    </row>
    <row r="3905" spans="15:17" ht="20.100000000000001" customHeight="1">
      <c r="O3905" s="387"/>
      <c r="P3905" s="387"/>
      <c r="Q3905" s="387"/>
    </row>
    <row r="3906" spans="15:17" ht="20.100000000000001" customHeight="1">
      <c r="O3906" s="387"/>
      <c r="P3906" s="387"/>
      <c r="Q3906" s="387"/>
    </row>
    <row r="3907" spans="15:17" ht="20.100000000000001" customHeight="1">
      <c r="O3907" s="387"/>
      <c r="P3907" s="387"/>
      <c r="Q3907" s="387"/>
    </row>
    <row r="3908" spans="15:17" ht="20.100000000000001" customHeight="1">
      <c r="O3908" s="387"/>
      <c r="P3908" s="387"/>
      <c r="Q3908" s="387"/>
    </row>
    <row r="3909" spans="15:17" ht="20.100000000000001" customHeight="1">
      <c r="O3909" s="387"/>
      <c r="P3909" s="387"/>
      <c r="Q3909" s="387"/>
    </row>
    <row r="3910" spans="15:17" ht="20.100000000000001" customHeight="1">
      <c r="O3910" s="387"/>
      <c r="P3910" s="387"/>
      <c r="Q3910" s="387"/>
    </row>
    <row r="3911" spans="15:17" ht="20.100000000000001" customHeight="1">
      <c r="O3911" s="387"/>
      <c r="P3911" s="387"/>
      <c r="Q3911" s="387"/>
    </row>
    <row r="3912" spans="15:17" ht="20.100000000000001" customHeight="1">
      <c r="O3912" s="387"/>
      <c r="P3912" s="387"/>
      <c r="Q3912" s="387"/>
    </row>
    <row r="3913" spans="15:17" ht="20.100000000000001" customHeight="1">
      <c r="O3913" s="387"/>
      <c r="P3913" s="387"/>
      <c r="Q3913" s="387"/>
    </row>
    <row r="3914" spans="15:17" ht="20.100000000000001" customHeight="1">
      <c r="O3914" s="387"/>
      <c r="P3914" s="387"/>
      <c r="Q3914" s="387"/>
    </row>
    <row r="3915" spans="15:17" ht="20.100000000000001" customHeight="1">
      <c r="O3915" s="387"/>
      <c r="P3915" s="387"/>
      <c r="Q3915" s="387"/>
    </row>
    <row r="3916" spans="15:17" ht="20.100000000000001" customHeight="1">
      <c r="O3916" s="387"/>
      <c r="P3916" s="387"/>
      <c r="Q3916" s="387"/>
    </row>
    <row r="3917" spans="15:17" ht="20.100000000000001" customHeight="1">
      <c r="O3917" s="387"/>
      <c r="P3917" s="387"/>
      <c r="Q3917" s="387"/>
    </row>
    <row r="3918" spans="15:17" ht="20.100000000000001" customHeight="1">
      <c r="O3918" s="387"/>
      <c r="P3918" s="387"/>
      <c r="Q3918" s="387"/>
    </row>
    <row r="3919" spans="15:17" ht="20.100000000000001" customHeight="1">
      <c r="O3919" s="387"/>
      <c r="P3919" s="387"/>
      <c r="Q3919" s="387"/>
    </row>
    <row r="3920" spans="15:17" ht="20.100000000000001" customHeight="1">
      <c r="O3920" s="387"/>
      <c r="P3920" s="387"/>
      <c r="Q3920" s="387"/>
    </row>
    <row r="3921" spans="15:17" ht="20.100000000000001" customHeight="1">
      <c r="O3921" s="387"/>
      <c r="P3921" s="387"/>
      <c r="Q3921" s="387"/>
    </row>
    <row r="3922" spans="15:17" ht="20.100000000000001" customHeight="1">
      <c r="O3922" s="387"/>
      <c r="P3922" s="387"/>
      <c r="Q3922" s="387"/>
    </row>
    <row r="3923" spans="15:17" ht="20.100000000000001" customHeight="1">
      <c r="O3923" s="387"/>
      <c r="P3923" s="387"/>
      <c r="Q3923" s="387"/>
    </row>
    <row r="3924" spans="15:17" ht="20.100000000000001" customHeight="1">
      <c r="O3924" s="387"/>
      <c r="P3924" s="387"/>
      <c r="Q3924" s="387"/>
    </row>
    <row r="3925" spans="15:17" ht="20.100000000000001" customHeight="1">
      <c r="O3925" s="387"/>
      <c r="P3925" s="387"/>
      <c r="Q3925" s="387"/>
    </row>
    <row r="3926" spans="15:17" ht="20.100000000000001" customHeight="1">
      <c r="O3926" s="387"/>
      <c r="P3926" s="387"/>
      <c r="Q3926" s="387"/>
    </row>
    <row r="3927" spans="15:17" ht="20.100000000000001" customHeight="1">
      <c r="O3927" s="387"/>
      <c r="P3927" s="387"/>
      <c r="Q3927" s="387"/>
    </row>
    <row r="3928" spans="15:17" ht="20.100000000000001" customHeight="1">
      <c r="O3928" s="387"/>
      <c r="P3928" s="387"/>
      <c r="Q3928" s="387"/>
    </row>
    <row r="3929" spans="15:17" ht="20.100000000000001" customHeight="1">
      <c r="O3929" s="387"/>
      <c r="P3929" s="387"/>
      <c r="Q3929" s="387"/>
    </row>
    <row r="3930" spans="15:17" ht="20.100000000000001" customHeight="1">
      <c r="O3930" s="387"/>
      <c r="P3930" s="387"/>
      <c r="Q3930" s="387"/>
    </row>
    <row r="3931" spans="15:17" ht="20.100000000000001" customHeight="1">
      <c r="O3931" s="387"/>
      <c r="P3931" s="387"/>
      <c r="Q3931" s="387"/>
    </row>
    <row r="3932" spans="15:17" ht="20.100000000000001" customHeight="1">
      <c r="O3932" s="387"/>
      <c r="P3932" s="387"/>
      <c r="Q3932" s="387"/>
    </row>
    <row r="3933" spans="15:17" ht="20.100000000000001" customHeight="1">
      <c r="O3933" s="387"/>
      <c r="P3933" s="387"/>
      <c r="Q3933" s="387"/>
    </row>
    <row r="3934" spans="15:17" ht="20.100000000000001" customHeight="1">
      <c r="O3934" s="387"/>
      <c r="P3934" s="387"/>
      <c r="Q3934" s="387"/>
    </row>
    <row r="3935" spans="15:17" ht="20.100000000000001" customHeight="1">
      <c r="O3935" s="387"/>
      <c r="P3935" s="387"/>
      <c r="Q3935" s="387"/>
    </row>
    <row r="3936" spans="15:17" ht="20.100000000000001" customHeight="1">
      <c r="O3936" s="387"/>
      <c r="P3936" s="387"/>
      <c r="Q3936" s="387"/>
    </row>
    <row r="3937" spans="15:17" ht="20.100000000000001" customHeight="1">
      <c r="O3937" s="387"/>
      <c r="P3937" s="387"/>
      <c r="Q3937" s="387"/>
    </row>
    <row r="3938" spans="15:17" ht="20.100000000000001" customHeight="1">
      <c r="O3938" s="387"/>
      <c r="P3938" s="387"/>
      <c r="Q3938" s="387"/>
    </row>
    <row r="3939" spans="15:17" ht="20.100000000000001" customHeight="1">
      <c r="O3939" s="387"/>
      <c r="P3939" s="387"/>
      <c r="Q3939" s="387"/>
    </row>
    <row r="3940" spans="15:17" ht="20.100000000000001" customHeight="1">
      <c r="O3940" s="387"/>
      <c r="P3940" s="387"/>
      <c r="Q3940" s="387"/>
    </row>
    <row r="3941" spans="15:17" ht="20.100000000000001" customHeight="1">
      <c r="O3941" s="387"/>
      <c r="P3941" s="387"/>
      <c r="Q3941" s="387"/>
    </row>
    <row r="3942" spans="15:17" ht="20.100000000000001" customHeight="1">
      <c r="O3942" s="387"/>
      <c r="P3942" s="387"/>
      <c r="Q3942" s="387"/>
    </row>
    <row r="3943" spans="15:17" ht="20.100000000000001" customHeight="1">
      <c r="O3943" s="387"/>
      <c r="P3943" s="387"/>
      <c r="Q3943" s="387"/>
    </row>
    <row r="3944" spans="15:17" ht="20.100000000000001" customHeight="1">
      <c r="O3944" s="387"/>
      <c r="P3944" s="387"/>
      <c r="Q3944" s="387"/>
    </row>
    <row r="3945" spans="15:17" ht="20.100000000000001" customHeight="1">
      <c r="O3945" s="387"/>
      <c r="P3945" s="387"/>
      <c r="Q3945" s="387"/>
    </row>
    <row r="3946" spans="15:17" ht="20.100000000000001" customHeight="1">
      <c r="O3946" s="387"/>
      <c r="P3946" s="387"/>
      <c r="Q3946" s="387"/>
    </row>
    <row r="3947" spans="15:17" ht="20.100000000000001" customHeight="1">
      <c r="O3947" s="387"/>
      <c r="P3947" s="387"/>
      <c r="Q3947" s="387"/>
    </row>
    <row r="3948" spans="15:17" ht="20.100000000000001" customHeight="1">
      <c r="O3948" s="387"/>
      <c r="P3948" s="387"/>
      <c r="Q3948" s="387"/>
    </row>
    <row r="3949" spans="15:17" ht="20.100000000000001" customHeight="1">
      <c r="O3949" s="387"/>
      <c r="P3949" s="387"/>
      <c r="Q3949" s="387"/>
    </row>
    <row r="3950" spans="15:17" ht="20.100000000000001" customHeight="1">
      <c r="O3950" s="387"/>
      <c r="P3950" s="387"/>
      <c r="Q3950" s="387"/>
    </row>
    <row r="3951" spans="15:17" ht="20.100000000000001" customHeight="1">
      <c r="O3951" s="387"/>
      <c r="P3951" s="387"/>
      <c r="Q3951" s="387"/>
    </row>
    <row r="3952" spans="15:17" ht="20.100000000000001" customHeight="1">
      <c r="O3952" s="387"/>
      <c r="P3952" s="387"/>
      <c r="Q3952" s="387"/>
    </row>
    <row r="3953" spans="15:17" ht="20.100000000000001" customHeight="1">
      <c r="O3953" s="387"/>
      <c r="P3953" s="387"/>
      <c r="Q3953" s="387"/>
    </row>
    <row r="3954" spans="15:17" ht="20.100000000000001" customHeight="1">
      <c r="O3954" s="387"/>
      <c r="P3954" s="387"/>
      <c r="Q3954" s="387"/>
    </row>
    <row r="3955" spans="15:17" ht="20.100000000000001" customHeight="1">
      <c r="O3955" s="387"/>
      <c r="P3955" s="387"/>
      <c r="Q3955" s="387"/>
    </row>
    <row r="3956" spans="15:17" ht="20.100000000000001" customHeight="1">
      <c r="O3956" s="387"/>
      <c r="P3956" s="387"/>
      <c r="Q3956" s="387"/>
    </row>
    <row r="3957" spans="15:17" ht="20.100000000000001" customHeight="1">
      <c r="O3957" s="387"/>
      <c r="P3957" s="387"/>
      <c r="Q3957" s="387"/>
    </row>
    <row r="3958" spans="15:17" ht="20.100000000000001" customHeight="1">
      <c r="O3958" s="387"/>
      <c r="P3958" s="387"/>
      <c r="Q3958" s="387"/>
    </row>
    <row r="3959" spans="15:17" ht="20.100000000000001" customHeight="1">
      <c r="O3959" s="387"/>
      <c r="P3959" s="387"/>
      <c r="Q3959" s="387"/>
    </row>
    <row r="3960" spans="15:17" ht="20.100000000000001" customHeight="1">
      <c r="O3960" s="387"/>
      <c r="P3960" s="387"/>
      <c r="Q3960" s="387"/>
    </row>
    <row r="3961" spans="15:17" ht="20.100000000000001" customHeight="1">
      <c r="O3961" s="387"/>
      <c r="P3961" s="387"/>
      <c r="Q3961" s="387"/>
    </row>
    <row r="3962" spans="15:17" ht="20.100000000000001" customHeight="1">
      <c r="O3962" s="387"/>
      <c r="P3962" s="387"/>
      <c r="Q3962" s="387"/>
    </row>
    <row r="3963" spans="15:17" ht="20.100000000000001" customHeight="1">
      <c r="O3963" s="387"/>
      <c r="P3963" s="387"/>
      <c r="Q3963" s="387"/>
    </row>
    <row r="3964" spans="15:17" ht="20.100000000000001" customHeight="1">
      <c r="O3964" s="387"/>
      <c r="P3964" s="387"/>
      <c r="Q3964" s="387"/>
    </row>
    <row r="3965" spans="15:17" ht="20.100000000000001" customHeight="1">
      <c r="O3965" s="387"/>
      <c r="P3965" s="387"/>
      <c r="Q3965" s="387"/>
    </row>
    <row r="3966" spans="15:17" ht="20.100000000000001" customHeight="1">
      <c r="O3966" s="387"/>
      <c r="P3966" s="387"/>
      <c r="Q3966" s="387"/>
    </row>
    <row r="3967" spans="15:17" ht="20.100000000000001" customHeight="1">
      <c r="O3967" s="387"/>
      <c r="P3967" s="387"/>
      <c r="Q3967" s="387"/>
    </row>
    <row r="3968" spans="15:17" ht="20.100000000000001" customHeight="1">
      <c r="O3968" s="387"/>
      <c r="P3968" s="387"/>
      <c r="Q3968" s="387"/>
    </row>
    <row r="3969" spans="15:17" ht="20.100000000000001" customHeight="1">
      <c r="O3969" s="387"/>
      <c r="P3969" s="387"/>
      <c r="Q3969" s="387"/>
    </row>
    <row r="3970" spans="15:17" ht="20.100000000000001" customHeight="1">
      <c r="O3970" s="387"/>
      <c r="P3970" s="387"/>
      <c r="Q3970" s="387"/>
    </row>
    <row r="3971" spans="15:17" ht="20.100000000000001" customHeight="1">
      <c r="O3971" s="387"/>
      <c r="P3971" s="387"/>
      <c r="Q3971" s="387"/>
    </row>
    <row r="3972" spans="15:17" ht="20.100000000000001" customHeight="1">
      <c r="O3972" s="387"/>
      <c r="P3972" s="387"/>
      <c r="Q3972" s="387"/>
    </row>
    <row r="3973" spans="15:17" ht="20.100000000000001" customHeight="1">
      <c r="O3973" s="387"/>
      <c r="P3973" s="387"/>
      <c r="Q3973" s="387"/>
    </row>
    <row r="3974" spans="15:17" ht="20.100000000000001" customHeight="1">
      <c r="O3974" s="387"/>
      <c r="P3974" s="387"/>
      <c r="Q3974" s="387"/>
    </row>
    <row r="3975" spans="15:17" ht="20.100000000000001" customHeight="1">
      <c r="O3975" s="387"/>
      <c r="P3975" s="387"/>
      <c r="Q3975" s="387"/>
    </row>
    <row r="3976" spans="15:17" ht="20.100000000000001" customHeight="1">
      <c r="O3976" s="387"/>
      <c r="P3976" s="387"/>
      <c r="Q3976" s="387"/>
    </row>
    <row r="3977" spans="15:17" ht="20.100000000000001" customHeight="1">
      <c r="O3977" s="387"/>
      <c r="P3977" s="387"/>
      <c r="Q3977" s="387"/>
    </row>
    <row r="3978" spans="15:17" ht="20.100000000000001" customHeight="1">
      <c r="O3978" s="387"/>
      <c r="P3978" s="387"/>
      <c r="Q3978" s="387"/>
    </row>
    <row r="3979" spans="15:17" ht="20.100000000000001" customHeight="1">
      <c r="O3979" s="387"/>
      <c r="P3979" s="387"/>
      <c r="Q3979" s="387"/>
    </row>
    <row r="3980" spans="15:17" ht="20.100000000000001" customHeight="1">
      <c r="O3980" s="387"/>
      <c r="P3980" s="387"/>
      <c r="Q3980" s="387"/>
    </row>
    <row r="3981" spans="15:17" ht="20.100000000000001" customHeight="1">
      <c r="O3981" s="387"/>
      <c r="P3981" s="387"/>
      <c r="Q3981" s="387"/>
    </row>
    <row r="3982" spans="15:17" ht="20.100000000000001" customHeight="1">
      <c r="O3982" s="387"/>
      <c r="P3982" s="387"/>
      <c r="Q3982" s="387"/>
    </row>
    <row r="3983" spans="15:17" ht="20.100000000000001" customHeight="1">
      <c r="O3983" s="387"/>
      <c r="P3983" s="387"/>
      <c r="Q3983" s="387"/>
    </row>
    <row r="3984" spans="15:17" ht="20.100000000000001" customHeight="1">
      <c r="O3984" s="387"/>
      <c r="P3984" s="387"/>
      <c r="Q3984" s="387"/>
    </row>
    <row r="3985" spans="15:17" ht="20.100000000000001" customHeight="1">
      <c r="O3985" s="387"/>
      <c r="P3985" s="387"/>
      <c r="Q3985" s="387"/>
    </row>
    <row r="3986" spans="15:17" ht="20.100000000000001" customHeight="1">
      <c r="O3986" s="387"/>
      <c r="P3986" s="387"/>
      <c r="Q3986" s="387"/>
    </row>
    <row r="3987" spans="15:17" ht="20.100000000000001" customHeight="1">
      <c r="O3987" s="387"/>
      <c r="P3987" s="387"/>
      <c r="Q3987" s="387"/>
    </row>
    <row r="3988" spans="15:17" ht="20.100000000000001" customHeight="1">
      <c r="O3988" s="387"/>
      <c r="P3988" s="387"/>
      <c r="Q3988" s="387"/>
    </row>
    <row r="3989" spans="15:17" ht="20.100000000000001" customHeight="1">
      <c r="O3989" s="387"/>
      <c r="P3989" s="387"/>
      <c r="Q3989" s="387"/>
    </row>
    <row r="3990" spans="15:17" ht="20.100000000000001" customHeight="1">
      <c r="O3990" s="387"/>
      <c r="P3990" s="387"/>
      <c r="Q3990" s="387"/>
    </row>
    <row r="3991" spans="15:17" ht="20.100000000000001" customHeight="1">
      <c r="O3991" s="387"/>
      <c r="P3991" s="387"/>
      <c r="Q3991" s="387"/>
    </row>
    <row r="3992" spans="15:17" ht="20.100000000000001" customHeight="1">
      <c r="O3992" s="387"/>
      <c r="P3992" s="387"/>
      <c r="Q3992" s="387"/>
    </row>
    <row r="3993" spans="15:17" ht="20.100000000000001" customHeight="1">
      <c r="O3993" s="387"/>
      <c r="P3993" s="387"/>
      <c r="Q3993" s="387"/>
    </row>
    <row r="3994" spans="15:17" ht="20.100000000000001" customHeight="1">
      <c r="O3994" s="387"/>
      <c r="P3994" s="387"/>
      <c r="Q3994" s="387"/>
    </row>
    <row r="3995" spans="15:17" ht="20.100000000000001" customHeight="1">
      <c r="O3995" s="387"/>
      <c r="P3995" s="387"/>
      <c r="Q3995" s="387"/>
    </row>
    <row r="3996" spans="15:17" ht="20.100000000000001" customHeight="1">
      <c r="O3996" s="387"/>
      <c r="P3996" s="387"/>
      <c r="Q3996" s="387"/>
    </row>
    <row r="3997" spans="15:17" ht="20.100000000000001" customHeight="1">
      <c r="O3997" s="387"/>
      <c r="P3997" s="387"/>
      <c r="Q3997" s="387"/>
    </row>
    <row r="3998" spans="15:17" ht="20.100000000000001" customHeight="1">
      <c r="O3998" s="387"/>
      <c r="P3998" s="387"/>
      <c r="Q3998" s="387"/>
    </row>
    <row r="3999" spans="15:17" ht="20.100000000000001" customHeight="1">
      <c r="O3999" s="387"/>
      <c r="P3999" s="387"/>
      <c r="Q3999" s="387"/>
    </row>
    <row r="4000" spans="15:17" ht="20.100000000000001" customHeight="1">
      <c r="O4000" s="387"/>
      <c r="P4000" s="387"/>
      <c r="Q4000" s="387"/>
    </row>
    <row r="4001" spans="15:17" ht="20.100000000000001" customHeight="1">
      <c r="O4001" s="387"/>
      <c r="P4001" s="387"/>
      <c r="Q4001" s="387"/>
    </row>
    <row r="4002" spans="15:17" ht="20.100000000000001" customHeight="1">
      <c r="O4002" s="387"/>
      <c r="P4002" s="387"/>
      <c r="Q4002" s="387"/>
    </row>
    <row r="4003" spans="15:17" ht="20.100000000000001" customHeight="1">
      <c r="O4003" s="387"/>
      <c r="P4003" s="387"/>
      <c r="Q4003" s="387"/>
    </row>
    <row r="4004" spans="15:17" ht="20.100000000000001" customHeight="1">
      <c r="O4004" s="387"/>
      <c r="P4004" s="387"/>
      <c r="Q4004" s="387"/>
    </row>
    <row r="4005" spans="15:17" ht="20.100000000000001" customHeight="1">
      <c r="O4005" s="387"/>
      <c r="P4005" s="387"/>
      <c r="Q4005" s="387"/>
    </row>
    <row r="4006" spans="15:17" ht="20.100000000000001" customHeight="1">
      <c r="O4006" s="387"/>
      <c r="P4006" s="387"/>
      <c r="Q4006" s="387"/>
    </row>
    <row r="4007" spans="15:17" ht="20.100000000000001" customHeight="1">
      <c r="O4007" s="387"/>
      <c r="P4007" s="387"/>
      <c r="Q4007" s="387"/>
    </row>
    <row r="4008" spans="15:17" ht="20.100000000000001" customHeight="1">
      <c r="O4008" s="387"/>
      <c r="P4008" s="387"/>
      <c r="Q4008" s="387"/>
    </row>
    <row r="4009" spans="15:17" ht="20.100000000000001" customHeight="1">
      <c r="O4009" s="387"/>
      <c r="P4009" s="387"/>
      <c r="Q4009" s="387"/>
    </row>
    <row r="4010" spans="15:17" ht="20.100000000000001" customHeight="1">
      <c r="O4010" s="387"/>
      <c r="P4010" s="387"/>
      <c r="Q4010" s="387"/>
    </row>
    <row r="4011" spans="15:17" ht="20.100000000000001" customHeight="1">
      <c r="O4011" s="387"/>
      <c r="P4011" s="387"/>
      <c r="Q4011" s="387"/>
    </row>
    <row r="4012" spans="15:17" ht="20.100000000000001" customHeight="1">
      <c r="O4012" s="387"/>
      <c r="P4012" s="387"/>
      <c r="Q4012" s="387"/>
    </row>
    <row r="4013" spans="15:17" ht="20.100000000000001" customHeight="1">
      <c r="O4013" s="387"/>
      <c r="P4013" s="387"/>
      <c r="Q4013" s="387"/>
    </row>
    <row r="4014" spans="15:17" ht="20.100000000000001" customHeight="1">
      <c r="O4014" s="387"/>
      <c r="P4014" s="387"/>
      <c r="Q4014" s="387"/>
    </row>
    <row r="4015" spans="15:17" ht="20.100000000000001" customHeight="1">
      <c r="O4015" s="387"/>
      <c r="P4015" s="387"/>
      <c r="Q4015" s="387"/>
    </row>
    <row r="4016" spans="15:17" ht="20.100000000000001" customHeight="1">
      <c r="O4016" s="387"/>
      <c r="P4016" s="387"/>
      <c r="Q4016" s="387"/>
    </row>
    <row r="4017" spans="15:17" ht="20.100000000000001" customHeight="1">
      <c r="O4017" s="387"/>
      <c r="P4017" s="387"/>
      <c r="Q4017" s="387"/>
    </row>
    <row r="4018" spans="15:17" ht="20.100000000000001" customHeight="1">
      <c r="O4018" s="387"/>
      <c r="P4018" s="387"/>
      <c r="Q4018" s="387"/>
    </row>
    <row r="4019" spans="15:17" ht="20.100000000000001" customHeight="1">
      <c r="O4019" s="387"/>
      <c r="P4019" s="387"/>
      <c r="Q4019" s="387"/>
    </row>
    <row r="4020" spans="15:17" ht="20.100000000000001" customHeight="1">
      <c r="O4020" s="387"/>
      <c r="P4020" s="387"/>
      <c r="Q4020" s="387"/>
    </row>
    <row r="4021" spans="15:17" ht="20.100000000000001" customHeight="1">
      <c r="O4021" s="387"/>
      <c r="P4021" s="387"/>
      <c r="Q4021" s="387"/>
    </row>
    <row r="4022" spans="15:17" ht="20.100000000000001" customHeight="1">
      <c r="O4022" s="387"/>
      <c r="P4022" s="387"/>
      <c r="Q4022" s="387"/>
    </row>
    <row r="4023" spans="15:17" ht="20.100000000000001" customHeight="1">
      <c r="O4023" s="387"/>
      <c r="P4023" s="387"/>
      <c r="Q4023" s="387"/>
    </row>
    <row r="4024" spans="15:17" ht="20.100000000000001" customHeight="1">
      <c r="O4024" s="387"/>
      <c r="P4024" s="387"/>
      <c r="Q4024" s="387"/>
    </row>
    <row r="4025" spans="15:17" ht="20.100000000000001" customHeight="1">
      <c r="O4025" s="387"/>
      <c r="P4025" s="387"/>
      <c r="Q4025" s="387"/>
    </row>
    <row r="4026" spans="15:17" ht="20.100000000000001" customHeight="1">
      <c r="O4026" s="387"/>
      <c r="P4026" s="387"/>
      <c r="Q4026" s="387"/>
    </row>
    <row r="4027" spans="15:17" ht="20.100000000000001" customHeight="1">
      <c r="O4027" s="387"/>
      <c r="P4027" s="387"/>
      <c r="Q4027" s="387"/>
    </row>
    <row r="4028" spans="15:17" ht="20.100000000000001" customHeight="1">
      <c r="O4028" s="387"/>
      <c r="P4028" s="387"/>
      <c r="Q4028" s="387"/>
    </row>
    <row r="4029" spans="15:17" ht="20.100000000000001" customHeight="1">
      <c r="O4029" s="387"/>
      <c r="P4029" s="387"/>
      <c r="Q4029" s="387"/>
    </row>
    <row r="4030" spans="15:17" ht="20.100000000000001" customHeight="1">
      <c r="O4030" s="387"/>
      <c r="P4030" s="387"/>
      <c r="Q4030" s="387"/>
    </row>
    <row r="4031" spans="15:17" ht="20.100000000000001" customHeight="1">
      <c r="O4031" s="387"/>
      <c r="P4031" s="387"/>
      <c r="Q4031" s="387"/>
    </row>
    <row r="4032" spans="15:17" ht="20.100000000000001" customHeight="1">
      <c r="O4032" s="387"/>
      <c r="P4032" s="387"/>
      <c r="Q4032" s="387"/>
    </row>
    <row r="4033" spans="15:17" ht="20.100000000000001" customHeight="1">
      <c r="O4033" s="387"/>
      <c r="P4033" s="387"/>
      <c r="Q4033" s="387"/>
    </row>
    <row r="4034" spans="15:17" ht="20.100000000000001" customHeight="1">
      <c r="O4034" s="387"/>
      <c r="P4034" s="387"/>
      <c r="Q4034" s="387"/>
    </row>
    <row r="4035" spans="15:17" ht="20.100000000000001" customHeight="1">
      <c r="O4035" s="387"/>
      <c r="P4035" s="387"/>
      <c r="Q4035" s="387"/>
    </row>
    <row r="4036" spans="15:17" ht="20.100000000000001" customHeight="1">
      <c r="O4036" s="387"/>
      <c r="P4036" s="387"/>
      <c r="Q4036" s="387"/>
    </row>
    <row r="4037" spans="15:17" ht="20.100000000000001" customHeight="1">
      <c r="O4037" s="387"/>
      <c r="P4037" s="387"/>
      <c r="Q4037" s="387"/>
    </row>
    <row r="4038" spans="15:17" ht="20.100000000000001" customHeight="1">
      <c r="O4038" s="387"/>
      <c r="P4038" s="387"/>
      <c r="Q4038" s="387"/>
    </row>
    <row r="4039" spans="15:17" ht="20.100000000000001" customHeight="1">
      <c r="O4039" s="387"/>
      <c r="P4039" s="387"/>
      <c r="Q4039" s="387"/>
    </row>
    <row r="4040" spans="15:17" ht="20.100000000000001" customHeight="1">
      <c r="O4040" s="387"/>
      <c r="P4040" s="387"/>
      <c r="Q4040" s="387"/>
    </row>
    <row r="4041" spans="15:17" ht="20.100000000000001" customHeight="1">
      <c r="O4041" s="387"/>
      <c r="P4041" s="387"/>
      <c r="Q4041" s="387"/>
    </row>
    <row r="4042" spans="15:17" ht="20.100000000000001" customHeight="1">
      <c r="O4042" s="387"/>
      <c r="P4042" s="387"/>
      <c r="Q4042" s="387"/>
    </row>
    <row r="4043" spans="15:17" ht="20.100000000000001" customHeight="1">
      <c r="O4043" s="387"/>
      <c r="P4043" s="387"/>
      <c r="Q4043" s="387"/>
    </row>
    <row r="4044" spans="15:17" ht="20.100000000000001" customHeight="1">
      <c r="O4044" s="387"/>
      <c r="P4044" s="387"/>
      <c r="Q4044" s="387"/>
    </row>
    <row r="4045" spans="15:17" ht="20.100000000000001" customHeight="1">
      <c r="O4045" s="387"/>
      <c r="P4045" s="387"/>
      <c r="Q4045" s="387"/>
    </row>
    <row r="4046" spans="15:17" ht="20.100000000000001" customHeight="1">
      <c r="O4046" s="387"/>
      <c r="P4046" s="387"/>
      <c r="Q4046" s="387"/>
    </row>
    <row r="4047" spans="15:17" ht="20.100000000000001" customHeight="1">
      <c r="O4047" s="387"/>
      <c r="P4047" s="387"/>
      <c r="Q4047" s="387"/>
    </row>
    <row r="4048" spans="15:17" ht="20.100000000000001" customHeight="1">
      <c r="O4048" s="387"/>
      <c r="P4048" s="387"/>
      <c r="Q4048" s="387"/>
    </row>
    <row r="4049" spans="15:17" ht="20.100000000000001" customHeight="1">
      <c r="O4049" s="387"/>
      <c r="P4049" s="387"/>
      <c r="Q4049" s="387"/>
    </row>
    <row r="4050" spans="15:17" ht="20.100000000000001" customHeight="1">
      <c r="O4050" s="387"/>
      <c r="P4050" s="387"/>
      <c r="Q4050" s="387"/>
    </row>
    <row r="4051" spans="15:17" ht="20.100000000000001" customHeight="1">
      <c r="O4051" s="387"/>
      <c r="P4051" s="387"/>
      <c r="Q4051" s="387"/>
    </row>
    <row r="4052" spans="15:17" ht="20.100000000000001" customHeight="1">
      <c r="O4052" s="387"/>
      <c r="P4052" s="387"/>
      <c r="Q4052" s="387"/>
    </row>
    <row r="4053" spans="15:17" ht="20.100000000000001" customHeight="1">
      <c r="O4053" s="387"/>
      <c r="P4053" s="387"/>
      <c r="Q4053" s="387"/>
    </row>
    <row r="4054" spans="15:17" ht="20.100000000000001" customHeight="1">
      <c r="O4054" s="387"/>
      <c r="P4054" s="387"/>
      <c r="Q4054" s="387"/>
    </row>
    <row r="4055" spans="15:17" ht="20.100000000000001" customHeight="1">
      <c r="O4055" s="387"/>
      <c r="P4055" s="387"/>
      <c r="Q4055" s="387"/>
    </row>
    <row r="4056" spans="15:17" ht="20.100000000000001" customHeight="1">
      <c r="O4056" s="387"/>
      <c r="P4056" s="387"/>
      <c r="Q4056" s="387"/>
    </row>
    <row r="4057" spans="15:17" ht="20.100000000000001" customHeight="1">
      <c r="O4057" s="387"/>
      <c r="P4057" s="387"/>
      <c r="Q4057" s="387"/>
    </row>
    <row r="4058" spans="15:17" ht="20.100000000000001" customHeight="1">
      <c r="O4058" s="387"/>
      <c r="P4058" s="387"/>
      <c r="Q4058" s="387"/>
    </row>
    <row r="4059" spans="15:17" ht="20.100000000000001" customHeight="1">
      <c r="O4059" s="387"/>
      <c r="P4059" s="387"/>
      <c r="Q4059" s="387"/>
    </row>
    <row r="4060" spans="15:17" ht="20.100000000000001" customHeight="1">
      <c r="O4060" s="387"/>
      <c r="P4060" s="387"/>
      <c r="Q4060" s="387"/>
    </row>
    <row r="4061" spans="15:17" ht="20.100000000000001" customHeight="1">
      <c r="O4061" s="387"/>
      <c r="P4061" s="387"/>
      <c r="Q4061" s="387"/>
    </row>
    <row r="4062" spans="15:17" ht="20.100000000000001" customHeight="1">
      <c r="O4062" s="387"/>
      <c r="P4062" s="387"/>
      <c r="Q4062" s="387"/>
    </row>
    <row r="4063" spans="15:17" ht="20.100000000000001" customHeight="1">
      <c r="O4063" s="387"/>
      <c r="P4063" s="387"/>
      <c r="Q4063" s="387"/>
    </row>
    <row r="4064" spans="15:17" ht="20.100000000000001" customHeight="1">
      <c r="O4064" s="387"/>
      <c r="P4064" s="387"/>
      <c r="Q4064" s="387"/>
    </row>
    <row r="4065" spans="15:17" ht="20.100000000000001" customHeight="1">
      <c r="O4065" s="387"/>
      <c r="P4065" s="387"/>
      <c r="Q4065" s="387"/>
    </row>
    <row r="4066" spans="15:17" ht="20.100000000000001" customHeight="1">
      <c r="O4066" s="387"/>
      <c r="P4066" s="387"/>
      <c r="Q4066" s="387"/>
    </row>
    <row r="4067" spans="15:17" ht="20.100000000000001" customHeight="1">
      <c r="O4067" s="387"/>
      <c r="P4067" s="387"/>
      <c r="Q4067" s="387"/>
    </row>
    <row r="4068" spans="15:17" ht="20.100000000000001" customHeight="1">
      <c r="O4068" s="387"/>
      <c r="P4068" s="387"/>
      <c r="Q4068" s="387"/>
    </row>
    <row r="4069" spans="15:17" ht="20.100000000000001" customHeight="1">
      <c r="O4069" s="387"/>
      <c r="P4069" s="387"/>
      <c r="Q4069" s="387"/>
    </row>
    <row r="4070" spans="15:17" ht="20.100000000000001" customHeight="1">
      <c r="O4070" s="387"/>
      <c r="P4070" s="387"/>
      <c r="Q4070" s="387"/>
    </row>
    <row r="4071" spans="15:17" ht="20.100000000000001" customHeight="1">
      <c r="O4071" s="387"/>
      <c r="P4071" s="387"/>
      <c r="Q4071" s="387"/>
    </row>
    <row r="4072" spans="15:17" ht="20.100000000000001" customHeight="1">
      <c r="O4072" s="387"/>
      <c r="P4072" s="387"/>
      <c r="Q4072" s="387"/>
    </row>
    <row r="4073" spans="15:17" ht="20.100000000000001" customHeight="1">
      <c r="O4073" s="387"/>
      <c r="P4073" s="387"/>
      <c r="Q4073" s="387"/>
    </row>
    <row r="4074" spans="15:17" ht="20.100000000000001" customHeight="1">
      <c r="O4074" s="387"/>
      <c r="P4074" s="387"/>
      <c r="Q4074" s="387"/>
    </row>
    <row r="4075" spans="15:17" ht="20.100000000000001" customHeight="1">
      <c r="O4075" s="387"/>
      <c r="P4075" s="387"/>
      <c r="Q4075" s="387"/>
    </row>
    <row r="4076" spans="15:17" ht="20.100000000000001" customHeight="1">
      <c r="O4076" s="387"/>
      <c r="P4076" s="387"/>
      <c r="Q4076" s="387"/>
    </row>
    <row r="4077" spans="15:17" ht="20.100000000000001" customHeight="1">
      <c r="O4077" s="387"/>
      <c r="P4077" s="387"/>
      <c r="Q4077" s="387"/>
    </row>
    <row r="4078" spans="15:17" ht="20.100000000000001" customHeight="1">
      <c r="O4078" s="387"/>
      <c r="P4078" s="387"/>
      <c r="Q4078" s="387"/>
    </row>
    <row r="4079" spans="15:17" ht="20.100000000000001" customHeight="1">
      <c r="O4079" s="387"/>
      <c r="P4079" s="387"/>
      <c r="Q4079" s="387"/>
    </row>
    <row r="4080" spans="15:17" ht="20.100000000000001" customHeight="1">
      <c r="O4080" s="387"/>
      <c r="P4080" s="387"/>
      <c r="Q4080" s="387"/>
    </row>
    <row r="4081" spans="15:17" ht="20.100000000000001" customHeight="1">
      <c r="O4081" s="387"/>
      <c r="P4081" s="387"/>
      <c r="Q4081" s="387"/>
    </row>
    <row r="4082" spans="15:17" ht="20.100000000000001" customHeight="1">
      <c r="O4082" s="387"/>
      <c r="P4082" s="387"/>
      <c r="Q4082" s="387"/>
    </row>
    <row r="4083" spans="15:17" ht="20.100000000000001" customHeight="1">
      <c r="O4083" s="387"/>
      <c r="P4083" s="387"/>
      <c r="Q4083" s="387"/>
    </row>
    <row r="4084" spans="15:17" ht="20.100000000000001" customHeight="1">
      <c r="O4084" s="387"/>
      <c r="P4084" s="387"/>
      <c r="Q4084" s="387"/>
    </row>
    <row r="4085" spans="15:17" ht="20.100000000000001" customHeight="1">
      <c r="O4085" s="387"/>
      <c r="P4085" s="387"/>
      <c r="Q4085" s="387"/>
    </row>
    <row r="4086" spans="15:17" ht="20.100000000000001" customHeight="1">
      <c r="O4086" s="387"/>
      <c r="P4086" s="387"/>
      <c r="Q4086" s="387"/>
    </row>
    <row r="4087" spans="15:17" ht="20.100000000000001" customHeight="1">
      <c r="O4087" s="387"/>
      <c r="P4087" s="387"/>
      <c r="Q4087" s="387"/>
    </row>
    <row r="4088" spans="15:17" ht="20.100000000000001" customHeight="1">
      <c r="O4088" s="387"/>
      <c r="P4088" s="387"/>
      <c r="Q4088" s="387"/>
    </row>
    <row r="4089" spans="15:17" ht="20.100000000000001" customHeight="1">
      <c r="O4089" s="387"/>
      <c r="P4089" s="387"/>
      <c r="Q4089" s="387"/>
    </row>
    <row r="4090" spans="15:17" ht="20.100000000000001" customHeight="1">
      <c r="O4090" s="387"/>
      <c r="P4090" s="387"/>
      <c r="Q4090" s="387"/>
    </row>
    <row r="4091" spans="15:17" ht="20.100000000000001" customHeight="1">
      <c r="O4091" s="387"/>
      <c r="P4091" s="387"/>
      <c r="Q4091" s="387"/>
    </row>
    <row r="4092" spans="15:17" ht="20.100000000000001" customHeight="1">
      <c r="O4092" s="387"/>
      <c r="P4092" s="387"/>
      <c r="Q4092" s="387"/>
    </row>
    <row r="4093" spans="15:17" ht="20.100000000000001" customHeight="1">
      <c r="O4093" s="387"/>
      <c r="P4093" s="387"/>
      <c r="Q4093" s="387"/>
    </row>
    <row r="4094" spans="15:17" ht="20.100000000000001" customHeight="1">
      <c r="O4094" s="387"/>
      <c r="P4094" s="387"/>
      <c r="Q4094" s="387"/>
    </row>
    <row r="4095" spans="15:17" ht="20.100000000000001" customHeight="1">
      <c r="O4095" s="387"/>
      <c r="P4095" s="387"/>
      <c r="Q4095" s="387"/>
    </row>
    <row r="4096" spans="15:17" ht="20.100000000000001" customHeight="1">
      <c r="O4096" s="387"/>
      <c r="P4096" s="387"/>
      <c r="Q4096" s="387"/>
    </row>
    <row r="4097" spans="15:17" ht="20.100000000000001" customHeight="1">
      <c r="O4097" s="387"/>
      <c r="P4097" s="387"/>
      <c r="Q4097" s="387"/>
    </row>
    <row r="4098" spans="15:17" ht="20.100000000000001" customHeight="1">
      <c r="O4098" s="387"/>
      <c r="P4098" s="387"/>
      <c r="Q4098" s="387"/>
    </row>
    <row r="4099" spans="15:17" ht="20.100000000000001" customHeight="1">
      <c r="O4099" s="387"/>
      <c r="P4099" s="387"/>
      <c r="Q4099" s="387"/>
    </row>
    <row r="4100" spans="15:17" ht="20.100000000000001" customHeight="1">
      <c r="O4100" s="387"/>
      <c r="P4100" s="387"/>
      <c r="Q4100" s="387"/>
    </row>
    <row r="4101" spans="15:17" ht="20.100000000000001" customHeight="1">
      <c r="O4101" s="387"/>
      <c r="P4101" s="387"/>
      <c r="Q4101" s="387"/>
    </row>
    <row r="4102" spans="15:17" ht="20.100000000000001" customHeight="1">
      <c r="O4102" s="387"/>
      <c r="P4102" s="387"/>
      <c r="Q4102" s="387"/>
    </row>
    <row r="4103" spans="15:17" ht="20.100000000000001" customHeight="1">
      <c r="O4103" s="387"/>
      <c r="P4103" s="387"/>
      <c r="Q4103" s="387"/>
    </row>
    <row r="4104" spans="15:17" ht="20.100000000000001" customHeight="1">
      <c r="O4104" s="387"/>
      <c r="P4104" s="387"/>
      <c r="Q4104" s="387"/>
    </row>
    <row r="4105" spans="15:17" ht="20.100000000000001" customHeight="1">
      <c r="O4105" s="387"/>
      <c r="P4105" s="387"/>
      <c r="Q4105" s="387"/>
    </row>
    <row r="4106" spans="15:17" ht="20.100000000000001" customHeight="1">
      <c r="O4106" s="387"/>
      <c r="P4106" s="387"/>
      <c r="Q4106" s="387"/>
    </row>
    <row r="4107" spans="15:17" ht="20.100000000000001" customHeight="1">
      <c r="O4107" s="387"/>
      <c r="P4107" s="387"/>
      <c r="Q4107" s="387"/>
    </row>
    <row r="4108" spans="15:17" ht="20.100000000000001" customHeight="1">
      <c r="O4108" s="387"/>
      <c r="P4108" s="387"/>
      <c r="Q4108" s="387"/>
    </row>
    <row r="4109" spans="15:17" ht="20.100000000000001" customHeight="1">
      <c r="O4109" s="387"/>
      <c r="P4109" s="387"/>
      <c r="Q4109" s="387"/>
    </row>
    <row r="4110" spans="15:17" ht="20.100000000000001" customHeight="1">
      <c r="O4110" s="387"/>
      <c r="P4110" s="387"/>
      <c r="Q4110" s="387"/>
    </row>
    <row r="4111" spans="15:17" ht="20.100000000000001" customHeight="1">
      <c r="O4111" s="387"/>
      <c r="P4111" s="387"/>
      <c r="Q4111" s="387"/>
    </row>
    <row r="4112" spans="15:17" ht="20.100000000000001" customHeight="1">
      <c r="O4112" s="387"/>
      <c r="P4112" s="387"/>
      <c r="Q4112" s="387"/>
    </row>
    <row r="4113" spans="15:17" ht="20.100000000000001" customHeight="1">
      <c r="O4113" s="387"/>
      <c r="P4113" s="387"/>
      <c r="Q4113" s="387"/>
    </row>
    <row r="4114" spans="15:17" ht="20.100000000000001" customHeight="1">
      <c r="O4114" s="387"/>
      <c r="P4114" s="387"/>
      <c r="Q4114" s="387"/>
    </row>
    <row r="4115" spans="15:17" ht="20.100000000000001" customHeight="1">
      <c r="O4115" s="387"/>
      <c r="P4115" s="387"/>
      <c r="Q4115" s="387"/>
    </row>
    <row r="4116" spans="15:17" ht="20.100000000000001" customHeight="1">
      <c r="O4116" s="387"/>
      <c r="P4116" s="387"/>
      <c r="Q4116" s="387"/>
    </row>
    <row r="4117" spans="15:17" ht="20.100000000000001" customHeight="1">
      <c r="O4117" s="387"/>
      <c r="P4117" s="387"/>
      <c r="Q4117" s="387"/>
    </row>
    <row r="4118" spans="15:17" ht="20.100000000000001" customHeight="1">
      <c r="O4118" s="387"/>
      <c r="P4118" s="387"/>
      <c r="Q4118" s="387"/>
    </row>
    <row r="4119" spans="15:17" ht="20.100000000000001" customHeight="1">
      <c r="O4119" s="387"/>
      <c r="P4119" s="387"/>
      <c r="Q4119" s="387"/>
    </row>
    <row r="4120" spans="15:17" ht="20.100000000000001" customHeight="1">
      <c r="O4120" s="387"/>
      <c r="P4120" s="387"/>
      <c r="Q4120" s="387"/>
    </row>
    <row r="4121" spans="15:17" ht="20.100000000000001" customHeight="1">
      <c r="O4121" s="387"/>
      <c r="P4121" s="387"/>
      <c r="Q4121" s="387"/>
    </row>
    <row r="4122" spans="15:17" ht="20.100000000000001" customHeight="1">
      <c r="O4122" s="387"/>
      <c r="P4122" s="387"/>
      <c r="Q4122" s="387"/>
    </row>
    <row r="4123" spans="15:17" ht="20.100000000000001" customHeight="1">
      <c r="O4123" s="387"/>
      <c r="P4123" s="387"/>
      <c r="Q4123" s="387"/>
    </row>
    <row r="4124" spans="15:17" ht="20.100000000000001" customHeight="1">
      <c r="O4124" s="387"/>
      <c r="P4124" s="387"/>
      <c r="Q4124" s="387"/>
    </row>
    <row r="4125" spans="15:17" ht="20.100000000000001" customHeight="1">
      <c r="O4125" s="387"/>
      <c r="P4125" s="387"/>
      <c r="Q4125" s="387"/>
    </row>
    <row r="4126" spans="15:17" ht="20.100000000000001" customHeight="1">
      <c r="O4126" s="387"/>
      <c r="P4126" s="387"/>
      <c r="Q4126" s="387"/>
    </row>
    <row r="4127" spans="15:17" ht="20.100000000000001" customHeight="1">
      <c r="O4127" s="387"/>
      <c r="P4127" s="387"/>
      <c r="Q4127" s="387"/>
    </row>
    <row r="4128" spans="15:17" ht="20.100000000000001" customHeight="1">
      <c r="O4128" s="387"/>
      <c r="P4128" s="387"/>
      <c r="Q4128" s="387"/>
    </row>
    <row r="4129" spans="15:17" ht="20.100000000000001" customHeight="1">
      <c r="O4129" s="387"/>
      <c r="P4129" s="387"/>
      <c r="Q4129" s="387"/>
    </row>
    <row r="4130" spans="15:17" ht="20.100000000000001" customHeight="1">
      <c r="O4130" s="387"/>
      <c r="P4130" s="387"/>
      <c r="Q4130" s="387"/>
    </row>
    <row r="4131" spans="15:17" ht="20.100000000000001" customHeight="1">
      <c r="O4131" s="387"/>
      <c r="P4131" s="387"/>
      <c r="Q4131" s="387"/>
    </row>
    <row r="4132" spans="15:17" ht="20.100000000000001" customHeight="1">
      <c r="O4132" s="387"/>
      <c r="P4132" s="387"/>
      <c r="Q4132" s="387"/>
    </row>
    <row r="4133" spans="15:17" ht="20.100000000000001" customHeight="1">
      <c r="O4133" s="387"/>
      <c r="P4133" s="387"/>
      <c r="Q4133" s="387"/>
    </row>
    <row r="4134" spans="15:17" ht="20.100000000000001" customHeight="1">
      <c r="O4134" s="387"/>
      <c r="P4134" s="387"/>
      <c r="Q4134" s="387"/>
    </row>
    <row r="4135" spans="15:17" ht="20.100000000000001" customHeight="1">
      <c r="O4135" s="387"/>
      <c r="P4135" s="387"/>
      <c r="Q4135" s="387"/>
    </row>
    <row r="4136" spans="15:17" ht="20.100000000000001" customHeight="1">
      <c r="O4136" s="387"/>
      <c r="P4136" s="387"/>
      <c r="Q4136" s="387"/>
    </row>
    <row r="4137" spans="15:17" ht="20.100000000000001" customHeight="1">
      <c r="O4137" s="387"/>
      <c r="P4137" s="387"/>
      <c r="Q4137" s="387"/>
    </row>
    <row r="4138" spans="15:17" ht="20.100000000000001" customHeight="1">
      <c r="O4138" s="387"/>
      <c r="P4138" s="387"/>
      <c r="Q4138" s="387"/>
    </row>
    <row r="4139" spans="15:17" ht="20.100000000000001" customHeight="1">
      <c r="O4139" s="387"/>
      <c r="P4139" s="387"/>
      <c r="Q4139" s="387"/>
    </row>
    <row r="4140" spans="15:17" ht="20.100000000000001" customHeight="1">
      <c r="O4140" s="387"/>
      <c r="P4140" s="387"/>
      <c r="Q4140" s="387"/>
    </row>
    <row r="4141" spans="15:17" ht="20.100000000000001" customHeight="1">
      <c r="O4141" s="387"/>
      <c r="P4141" s="387"/>
      <c r="Q4141" s="387"/>
    </row>
    <row r="4142" spans="15:17" ht="20.100000000000001" customHeight="1">
      <c r="O4142" s="387"/>
      <c r="P4142" s="387"/>
      <c r="Q4142" s="387"/>
    </row>
    <row r="4143" spans="15:17" ht="20.100000000000001" customHeight="1">
      <c r="O4143" s="387"/>
      <c r="P4143" s="387"/>
      <c r="Q4143" s="387"/>
    </row>
    <row r="4144" spans="15:17" ht="20.100000000000001" customHeight="1">
      <c r="O4144" s="387"/>
      <c r="P4144" s="387"/>
      <c r="Q4144" s="387"/>
    </row>
    <row r="4145" spans="15:17" ht="20.100000000000001" customHeight="1">
      <c r="O4145" s="387"/>
      <c r="P4145" s="387"/>
      <c r="Q4145" s="387"/>
    </row>
    <row r="4146" spans="15:17" ht="20.100000000000001" customHeight="1">
      <c r="O4146" s="387"/>
      <c r="P4146" s="387"/>
      <c r="Q4146" s="387"/>
    </row>
    <row r="4147" spans="15:17" ht="20.100000000000001" customHeight="1">
      <c r="O4147" s="387"/>
      <c r="P4147" s="387"/>
      <c r="Q4147" s="387"/>
    </row>
    <row r="4148" spans="15:17" ht="20.100000000000001" customHeight="1">
      <c r="O4148" s="387"/>
      <c r="P4148" s="387"/>
      <c r="Q4148" s="387"/>
    </row>
    <row r="4149" spans="15:17" ht="20.100000000000001" customHeight="1">
      <c r="O4149" s="387"/>
      <c r="P4149" s="387"/>
      <c r="Q4149" s="387"/>
    </row>
    <row r="4150" spans="15:17" ht="20.100000000000001" customHeight="1">
      <c r="O4150" s="387"/>
      <c r="P4150" s="387"/>
      <c r="Q4150" s="387"/>
    </row>
    <row r="4151" spans="15:17" ht="20.100000000000001" customHeight="1">
      <c r="O4151" s="387"/>
      <c r="P4151" s="387"/>
      <c r="Q4151" s="387"/>
    </row>
    <row r="4152" spans="15:17" ht="20.100000000000001" customHeight="1">
      <c r="O4152" s="387"/>
      <c r="P4152" s="387"/>
      <c r="Q4152" s="387"/>
    </row>
    <row r="4153" spans="15:17" ht="20.100000000000001" customHeight="1">
      <c r="O4153" s="387"/>
      <c r="P4153" s="387"/>
      <c r="Q4153" s="387"/>
    </row>
    <row r="4154" spans="15:17" ht="20.100000000000001" customHeight="1">
      <c r="O4154" s="387"/>
      <c r="P4154" s="387"/>
      <c r="Q4154" s="387"/>
    </row>
    <row r="4155" spans="15:17" ht="20.100000000000001" customHeight="1">
      <c r="O4155" s="387"/>
      <c r="P4155" s="387"/>
      <c r="Q4155" s="387"/>
    </row>
    <row r="4156" spans="15:17" ht="20.100000000000001" customHeight="1">
      <c r="O4156" s="387"/>
      <c r="P4156" s="387"/>
      <c r="Q4156" s="387"/>
    </row>
    <row r="4157" spans="15:17" ht="20.100000000000001" customHeight="1">
      <c r="O4157" s="387"/>
      <c r="P4157" s="387"/>
      <c r="Q4157" s="387"/>
    </row>
    <row r="4158" spans="15:17" ht="20.100000000000001" customHeight="1">
      <c r="O4158" s="387"/>
      <c r="P4158" s="387"/>
      <c r="Q4158" s="387"/>
    </row>
    <row r="4159" spans="15:17" ht="20.100000000000001" customHeight="1">
      <c r="O4159" s="387"/>
      <c r="P4159" s="387"/>
      <c r="Q4159" s="387"/>
    </row>
    <row r="4160" spans="15:17" ht="20.100000000000001" customHeight="1">
      <c r="O4160" s="387"/>
      <c r="P4160" s="387"/>
      <c r="Q4160" s="387"/>
    </row>
    <row r="4161" spans="15:17" ht="20.100000000000001" customHeight="1">
      <c r="O4161" s="387"/>
      <c r="P4161" s="387"/>
      <c r="Q4161" s="387"/>
    </row>
    <row r="4162" spans="15:17" ht="20.100000000000001" customHeight="1">
      <c r="O4162" s="387"/>
      <c r="P4162" s="387"/>
      <c r="Q4162" s="387"/>
    </row>
    <row r="4163" spans="15:17" ht="20.100000000000001" customHeight="1">
      <c r="O4163" s="387"/>
      <c r="P4163" s="387"/>
      <c r="Q4163" s="387"/>
    </row>
    <row r="4164" spans="15:17" ht="20.100000000000001" customHeight="1">
      <c r="O4164" s="387"/>
      <c r="P4164" s="387"/>
      <c r="Q4164" s="387"/>
    </row>
    <row r="4165" spans="15:17" ht="20.100000000000001" customHeight="1">
      <c r="O4165" s="387"/>
      <c r="P4165" s="387"/>
      <c r="Q4165" s="387"/>
    </row>
    <row r="4166" spans="15:17" ht="20.100000000000001" customHeight="1">
      <c r="O4166" s="387"/>
      <c r="P4166" s="387"/>
      <c r="Q4166" s="387"/>
    </row>
    <row r="4167" spans="15:17" ht="20.100000000000001" customHeight="1">
      <c r="O4167" s="387"/>
      <c r="P4167" s="387"/>
      <c r="Q4167" s="387"/>
    </row>
    <row r="4168" spans="15:17" ht="20.100000000000001" customHeight="1">
      <c r="O4168" s="387"/>
      <c r="P4168" s="387"/>
      <c r="Q4168" s="387"/>
    </row>
    <row r="4169" spans="15:17" ht="20.100000000000001" customHeight="1">
      <c r="O4169" s="387"/>
      <c r="P4169" s="387"/>
      <c r="Q4169" s="387"/>
    </row>
    <row r="4170" spans="15:17" ht="20.100000000000001" customHeight="1">
      <c r="O4170" s="387"/>
      <c r="P4170" s="387"/>
      <c r="Q4170" s="387"/>
    </row>
    <row r="4171" spans="15:17" ht="20.100000000000001" customHeight="1">
      <c r="O4171" s="387"/>
      <c r="P4171" s="387"/>
      <c r="Q4171" s="387"/>
    </row>
    <row r="4172" spans="15:17" ht="20.100000000000001" customHeight="1">
      <c r="O4172" s="387"/>
      <c r="P4172" s="387"/>
      <c r="Q4172" s="387"/>
    </row>
    <row r="4173" spans="15:17" ht="20.100000000000001" customHeight="1">
      <c r="O4173" s="387"/>
      <c r="P4173" s="387"/>
      <c r="Q4173" s="387"/>
    </row>
    <row r="4174" spans="15:17" ht="20.100000000000001" customHeight="1">
      <c r="O4174" s="387"/>
      <c r="P4174" s="387"/>
      <c r="Q4174" s="387"/>
    </row>
    <row r="4175" spans="15:17" ht="20.100000000000001" customHeight="1">
      <c r="O4175" s="387"/>
      <c r="P4175" s="387"/>
      <c r="Q4175" s="387"/>
    </row>
    <row r="4176" spans="15:17" ht="20.100000000000001" customHeight="1">
      <c r="O4176" s="387"/>
      <c r="P4176" s="387"/>
      <c r="Q4176" s="387"/>
    </row>
    <row r="4177" spans="15:17" ht="20.100000000000001" customHeight="1">
      <c r="O4177" s="387"/>
      <c r="P4177" s="387"/>
      <c r="Q4177" s="387"/>
    </row>
    <row r="4178" spans="15:17" ht="20.100000000000001" customHeight="1">
      <c r="O4178" s="387"/>
      <c r="P4178" s="387"/>
      <c r="Q4178" s="387"/>
    </row>
    <row r="4179" spans="15:17" ht="20.100000000000001" customHeight="1">
      <c r="O4179" s="387"/>
      <c r="P4179" s="387"/>
      <c r="Q4179" s="387"/>
    </row>
    <row r="4180" spans="15:17" ht="20.100000000000001" customHeight="1">
      <c r="O4180" s="387"/>
      <c r="P4180" s="387"/>
      <c r="Q4180" s="387"/>
    </row>
    <row r="4181" spans="15:17" ht="20.100000000000001" customHeight="1">
      <c r="O4181" s="387"/>
      <c r="P4181" s="387"/>
      <c r="Q4181" s="387"/>
    </row>
    <row r="4182" spans="15:17" ht="20.100000000000001" customHeight="1">
      <c r="O4182" s="387"/>
      <c r="P4182" s="387"/>
      <c r="Q4182" s="387"/>
    </row>
    <row r="4183" spans="15:17" ht="20.100000000000001" customHeight="1">
      <c r="O4183" s="387"/>
      <c r="P4183" s="387"/>
      <c r="Q4183" s="387"/>
    </row>
    <row r="4184" spans="15:17" ht="20.100000000000001" customHeight="1">
      <c r="O4184" s="387"/>
      <c r="P4184" s="387"/>
      <c r="Q4184" s="387"/>
    </row>
    <row r="4185" spans="15:17" ht="20.100000000000001" customHeight="1">
      <c r="O4185" s="387"/>
      <c r="P4185" s="387"/>
      <c r="Q4185" s="387"/>
    </row>
    <row r="4186" spans="15:17" ht="20.100000000000001" customHeight="1">
      <c r="O4186" s="387"/>
      <c r="P4186" s="387"/>
      <c r="Q4186" s="387"/>
    </row>
    <row r="4187" spans="15:17" ht="20.100000000000001" customHeight="1">
      <c r="O4187" s="387"/>
      <c r="P4187" s="387"/>
      <c r="Q4187" s="387"/>
    </row>
    <row r="4188" spans="15:17" ht="20.100000000000001" customHeight="1">
      <c r="O4188" s="387"/>
      <c r="P4188" s="387"/>
      <c r="Q4188" s="387"/>
    </row>
    <row r="4189" spans="15:17" ht="20.100000000000001" customHeight="1">
      <c r="O4189" s="387"/>
      <c r="P4189" s="387"/>
      <c r="Q4189" s="387"/>
    </row>
    <row r="4190" spans="15:17" ht="20.100000000000001" customHeight="1">
      <c r="O4190" s="387"/>
      <c r="P4190" s="387"/>
      <c r="Q4190" s="387"/>
    </row>
    <row r="4191" spans="15:17" ht="20.100000000000001" customHeight="1">
      <c r="O4191" s="387"/>
      <c r="P4191" s="387"/>
      <c r="Q4191" s="387"/>
    </row>
    <row r="4192" spans="15:17" ht="20.100000000000001" customHeight="1">
      <c r="O4192" s="387"/>
      <c r="P4192" s="387"/>
      <c r="Q4192" s="387"/>
    </row>
    <row r="4193" spans="15:17" ht="20.100000000000001" customHeight="1">
      <c r="O4193" s="387"/>
      <c r="P4193" s="387"/>
      <c r="Q4193" s="387"/>
    </row>
    <row r="4194" spans="15:17" ht="20.100000000000001" customHeight="1">
      <c r="O4194" s="387"/>
      <c r="P4194" s="387"/>
      <c r="Q4194" s="387"/>
    </row>
    <row r="4195" spans="15:17" ht="20.100000000000001" customHeight="1">
      <c r="O4195" s="387"/>
      <c r="P4195" s="387"/>
      <c r="Q4195" s="387"/>
    </row>
    <row r="4196" spans="15:17" ht="20.100000000000001" customHeight="1">
      <c r="O4196" s="387"/>
      <c r="P4196" s="387"/>
      <c r="Q4196" s="387"/>
    </row>
    <row r="4197" spans="15:17" ht="20.100000000000001" customHeight="1">
      <c r="O4197" s="387"/>
      <c r="P4197" s="387"/>
      <c r="Q4197" s="387"/>
    </row>
    <row r="4198" spans="15:17" ht="20.100000000000001" customHeight="1">
      <c r="O4198" s="387"/>
      <c r="P4198" s="387"/>
      <c r="Q4198" s="387"/>
    </row>
    <row r="4199" spans="15:17" ht="20.100000000000001" customHeight="1">
      <c r="O4199" s="387"/>
      <c r="P4199" s="387"/>
      <c r="Q4199" s="387"/>
    </row>
    <row r="4200" spans="15:17" ht="20.100000000000001" customHeight="1">
      <c r="O4200" s="387"/>
      <c r="P4200" s="387"/>
      <c r="Q4200" s="387"/>
    </row>
    <row r="4201" spans="15:17" ht="20.100000000000001" customHeight="1">
      <c r="O4201" s="387"/>
      <c r="P4201" s="387"/>
      <c r="Q4201" s="387"/>
    </row>
    <row r="4202" spans="15:17" ht="20.100000000000001" customHeight="1">
      <c r="O4202" s="387"/>
      <c r="P4202" s="387"/>
      <c r="Q4202" s="387"/>
    </row>
    <row r="4203" spans="15:17" ht="20.100000000000001" customHeight="1">
      <c r="O4203" s="387"/>
      <c r="P4203" s="387"/>
      <c r="Q4203" s="387"/>
    </row>
    <row r="4204" spans="15:17" ht="20.100000000000001" customHeight="1">
      <c r="O4204" s="387"/>
      <c r="P4204" s="387"/>
      <c r="Q4204" s="387"/>
    </row>
    <row r="4205" spans="15:17" ht="20.100000000000001" customHeight="1">
      <c r="O4205" s="387"/>
      <c r="P4205" s="387"/>
      <c r="Q4205" s="387"/>
    </row>
    <row r="4206" spans="15:17" ht="20.100000000000001" customHeight="1">
      <c r="O4206" s="387"/>
      <c r="P4206" s="387"/>
      <c r="Q4206" s="387"/>
    </row>
    <row r="4207" spans="15:17" ht="20.100000000000001" customHeight="1">
      <c r="O4207" s="387"/>
      <c r="P4207" s="387"/>
      <c r="Q4207" s="387"/>
    </row>
    <row r="4208" spans="15:17" ht="20.100000000000001" customHeight="1">
      <c r="O4208" s="387"/>
      <c r="P4208" s="387"/>
      <c r="Q4208" s="387"/>
    </row>
    <row r="4209" spans="15:17" ht="20.100000000000001" customHeight="1">
      <c r="O4209" s="387"/>
      <c r="P4209" s="387"/>
      <c r="Q4209" s="387"/>
    </row>
    <row r="4210" spans="15:17" ht="20.100000000000001" customHeight="1">
      <c r="O4210" s="387"/>
      <c r="P4210" s="387"/>
      <c r="Q4210" s="387"/>
    </row>
    <row r="4211" spans="15:17" ht="20.100000000000001" customHeight="1">
      <c r="O4211" s="387"/>
      <c r="P4211" s="387"/>
      <c r="Q4211" s="387"/>
    </row>
    <row r="4212" spans="15:17" ht="20.100000000000001" customHeight="1">
      <c r="O4212" s="387"/>
      <c r="P4212" s="387"/>
      <c r="Q4212" s="387"/>
    </row>
    <row r="4213" spans="15:17" ht="20.100000000000001" customHeight="1">
      <c r="O4213" s="387"/>
      <c r="P4213" s="387"/>
      <c r="Q4213" s="387"/>
    </row>
    <row r="4214" spans="15:17" ht="20.100000000000001" customHeight="1">
      <c r="O4214" s="387"/>
      <c r="P4214" s="387"/>
      <c r="Q4214" s="387"/>
    </row>
    <row r="4215" spans="15:17" ht="20.100000000000001" customHeight="1">
      <c r="O4215" s="387"/>
      <c r="P4215" s="387"/>
      <c r="Q4215" s="387"/>
    </row>
    <row r="4216" spans="15:17" ht="20.100000000000001" customHeight="1">
      <c r="O4216" s="387"/>
      <c r="P4216" s="387"/>
      <c r="Q4216" s="387"/>
    </row>
    <row r="4217" spans="15:17" ht="20.100000000000001" customHeight="1">
      <c r="O4217" s="387"/>
      <c r="P4217" s="387"/>
      <c r="Q4217" s="387"/>
    </row>
    <row r="4218" spans="15:17" ht="20.100000000000001" customHeight="1">
      <c r="O4218" s="387"/>
      <c r="P4218" s="387"/>
      <c r="Q4218" s="387"/>
    </row>
    <row r="4219" spans="15:17" ht="20.100000000000001" customHeight="1">
      <c r="O4219" s="387"/>
      <c r="P4219" s="387"/>
      <c r="Q4219" s="387"/>
    </row>
    <row r="4220" spans="15:17" ht="20.100000000000001" customHeight="1">
      <c r="O4220" s="387"/>
      <c r="P4220" s="387"/>
      <c r="Q4220" s="387"/>
    </row>
    <row r="4221" spans="15:17" ht="20.100000000000001" customHeight="1">
      <c r="O4221" s="387"/>
      <c r="P4221" s="387"/>
      <c r="Q4221" s="387"/>
    </row>
    <row r="4222" spans="15:17" ht="20.100000000000001" customHeight="1">
      <c r="O4222" s="387"/>
      <c r="P4222" s="387"/>
      <c r="Q4222" s="387"/>
    </row>
    <row r="4223" spans="15:17" ht="20.100000000000001" customHeight="1">
      <c r="O4223" s="387"/>
      <c r="P4223" s="387"/>
      <c r="Q4223" s="387"/>
    </row>
    <row r="4224" spans="15:17" ht="20.100000000000001" customHeight="1">
      <c r="O4224" s="387"/>
      <c r="P4224" s="387"/>
      <c r="Q4224" s="387"/>
    </row>
    <row r="4225" spans="15:17" ht="20.100000000000001" customHeight="1">
      <c r="O4225" s="387"/>
      <c r="P4225" s="387"/>
      <c r="Q4225" s="387"/>
    </row>
    <row r="4226" spans="15:17" ht="20.100000000000001" customHeight="1">
      <c r="O4226" s="387"/>
      <c r="P4226" s="387"/>
      <c r="Q4226" s="387"/>
    </row>
    <row r="4227" spans="15:17" ht="20.100000000000001" customHeight="1">
      <c r="O4227" s="387"/>
      <c r="P4227" s="387"/>
      <c r="Q4227" s="387"/>
    </row>
    <row r="4228" spans="15:17" ht="20.100000000000001" customHeight="1">
      <c r="O4228" s="387"/>
      <c r="P4228" s="387"/>
      <c r="Q4228" s="387"/>
    </row>
    <row r="4229" spans="15:17" ht="20.100000000000001" customHeight="1">
      <c r="O4229" s="387"/>
      <c r="P4229" s="387"/>
      <c r="Q4229" s="387"/>
    </row>
    <row r="4230" spans="15:17" ht="20.100000000000001" customHeight="1">
      <c r="O4230" s="387"/>
      <c r="P4230" s="387"/>
      <c r="Q4230" s="387"/>
    </row>
    <row r="4231" spans="15:17" ht="20.100000000000001" customHeight="1">
      <c r="O4231" s="387"/>
      <c r="P4231" s="387"/>
      <c r="Q4231" s="387"/>
    </row>
    <row r="4232" spans="15:17" ht="20.100000000000001" customHeight="1">
      <c r="O4232" s="387"/>
      <c r="P4232" s="387"/>
      <c r="Q4232" s="387"/>
    </row>
    <row r="4233" spans="15:17" ht="20.100000000000001" customHeight="1">
      <c r="O4233" s="387"/>
      <c r="P4233" s="387"/>
      <c r="Q4233" s="387"/>
    </row>
    <row r="4234" spans="15:17" ht="20.100000000000001" customHeight="1">
      <c r="O4234" s="387"/>
      <c r="P4234" s="387"/>
      <c r="Q4234" s="387"/>
    </row>
    <row r="4235" spans="15:17" ht="20.100000000000001" customHeight="1">
      <c r="O4235" s="387"/>
      <c r="P4235" s="387"/>
      <c r="Q4235" s="387"/>
    </row>
    <row r="4236" spans="15:17" ht="20.100000000000001" customHeight="1">
      <c r="O4236" s="387"/>
      <c r="P4236" s="387"/>
      <c r="Q4236" s="387"/>
    </row>
    <row r="4237" spans="15:17" ht="20.100000000000001" customHeight="1">
      <c r="O4237" s="387"/>
      <c r="P4237" s="387"/>
      <c r="Q4237" s="387"/>
    </row>
    <row r="4238" spans="15:17" ht="20.100000000000001" customHeight="1">
      <c r="O4238" s="387"/>
      <c r="P4238" s="387"/>
      <c r="Q4238" s="387"/>
    </row>
    <row r="4239" spans="15:17" ht="20.100000000000001" customHeight="1">
      <c r="O4239" s="387"/>
      <c r="P4239" s="387"/>
      <c r="Q4239" s="387"/>
    </row>
    <row r="4240" spans="15:17" ht="20.100000000000001" customHeight="1">
      <c r="O4240" s="387"/>
      <c r="P4240" s="387"/>
      <c r="Q4240" s="387"/>
    </row>
    <row r="4241" spans="15:17" ht="20.100000000000001" customHeight="1">
      <c r="O4241" s="387"/>
      <c r="P4241" s="387"/>
      <c r="Q4241" s="387"/>
    </row>
    <row r="4242" spans="15:17" ht="20.100000000000001" customHeight="1">
      <c r="O4242" s="387"/>
      <c r="P4242" s="387"/>
      <c r="Q4242" s="387"/>
    </row>
    <row r="4243" spans="15:17" ht="20.100000000000001" customHeight="1">
      <c r="O4243" s="387"/>
      <c r="P4243" s="387"/>
      <c r="Q4243" s="387"/>
    </row>
    <row r="4244" spans="15:17" ht="20.100000000000001" customHeight="1">
      <c r="O4244" s="387"/>
      <c r="P4244" s="387"/>
      <c r="Q4244" s="387"/>
    </row>
    <row r="4245" spans="15:17" ht="20.100000000000001" customHeight="1">
      <c r="O4245" s="387"/>
      <c r="P4245" s="387"/>
      <c r="Q4245" s="387"/>
    </row>
    <row r="4246" spans="15:17" ht="20.100000000000001" customHeight="1">
      <c r="O4246" s="387"/>
      <c r="P4246" s="387"/>
      <c r="Q4246" s="387"/>
    </row>
    <row r="4247" spans="15:17" ht="20.100000000000001" customHeight="1">
      <c r="O4247" s="387"/>
      <c r="P4247" s="387"/>
      <c r="Q4247" s="387"/>
    </row>
    <row r="4248" spans="15:17" ht="20.100000000000001" customHeight="1">
      <c r="O4248" s="387"/>
      <c r="P4248" s="387"/>
      <c r="Q4248" s="387"/>
    </row>
    <row r="4249" spans="15:17" ht="20.100000000000001" customHeight="1">
      <c r="O4249" s="387"/>
      <c r="P4249" s="387"/>
      <c r="Q4249" s="387"/>
    </row>
    <row r="4250" spans="15:17" ht="20.100000000000001" customHeight="1">
      <c r="O4250" s="387"/>
      <c r="P4250" s="387"/>
      <c r="Q4250" s="387"/>
    </row>
    <row r="4251" spans="15:17" ht="20.100000000000001" customHeight="1">
      <c r="O4251" s="387"/>
      <c r="P4251" s="387"/>
      <c r="Q4251" s="387"/>
    </row>
    <row r="4252" spans="15:17" ht="20.100000000000001" customHeight="1">
      <c r="O4252" s="387"/>
      <c r="P4252" s="387"/>
      <c r="Q4252" s="387"/>
    </row>
    <row r="4253" spans="15:17" ht="20.100000000000001" customHeight="1">
      <c r="O4253" s="387"/>
      <c r="P4253" s="387"/>
      <c r="Q4253" s="387"/>
    </row>
    <row r="4254" spans="15:17" ht="20.100000000000001" customHeight="1">
      <c r="O4254" s="387"/>
      <c r="P4254" s="387"/>
      <c r="Q4254" s="387"/>
    </row>
    <row r="4255" spans="15:17" ht="20.100000000000001" customHeight="1">
      <c r="O4255" s="387"/>
      <c r="P4255" s="387"/>
      <c r="Q4255" s="387"/>
    </row>
    <row r="4256" spans="15:17" ht="20.100000000000001" customHeight="1">
      <c r="O4256" s="387"/>
      <c r="P4256" s="387"/>
      <c r="Q4256" s="387"/>
    </row>
    <row r="4257" spans="15:17" ht="20.100000000000001" customHeight="1">
      <c r="O4257" s="387"/>
      <c r="P4257" s="387"/>
      <c r="Q4257" s="387"/>
    </row>
    <row r="4258" spans="15:17" ht="20.100000000000001" customHeight="1">
      <c r="O4258" s="387"/>
      <c r="P4258" s="387"/>
      <c r="Q4258" s="387"/>
    </row>
    <row r="4259" spans="15:17" ht="20.100000000000001" customHeight="1">
      <c r="O4259" s="387"/>
      <c r="P4259" s="387"/>
      <c r="Q4259" s="387"/>
    </row>
    <row r="4260" spans="15:17" ht="20.100000000000001" customHeight="1">
      <c r="O4260" s="387"/>
      <c r="P4260" s="387"/>
      <c r="Q4260" s="387"/>
    </row>
    <row r="4261" spans="15:17" ht="20.100000000000001" customHeight="1">
      <c r="O4261" s="387"/>
      <c r="P4261" s="387"/>
      <c r="Q4261" s="387"/>
    </row>
    <row r="4262" spans="15:17" ht="20.100000000000001" customHeight="1">
      <c r="O4262" s="387"/>
      <c r="P4262" s="387"/>
      <c r="Q4262" s="387"/>
    </row>
    <row r="4263" spans="15:17" ht="20.100000000000001" customHeight="1">
      <c r="O4263" s="387"/>
      <c r="P4263" s="387"/>
      <c r="Q4263" s="387"/>
    </row>
    <row r="4264" spans="15:17" ht="20.100000000000001" customHeight="1">
      <c r="O4264" s="387"/>
      <c r="P4264" s="387"/>
      <c r="Q4264" s="387"/>
    </row>
    <row r="4265" spans="15:17" ht="20.100000000000001" customHeight="1">
      <c r="O4265" s="387"/>
      <c r="P4265" s="387"/>
      <c r="Q4265" s="387"/>
    </row>
    <row r="4266" spans="15:17" ht="20.100000000000001" customHeight="1">
      <c r="O4266" s="387"/>
      <c r="P4266" s="387"/>
      <c r="Q4266" s="387"/>
    </row>
    <row r="4267" spans="15:17" ht="20.100000000000001" customHeight="1">
      <c r="O4267" s="387"/>
      <c r="P4267" s="387"/>
      <c r="Q4267" s="387"/>
    </row>
    <row r="4268" spans="15:17" ht="20.100000000000001" customHeight="1">
      <c r="O4268" s="387"/>
      <c r="P4268" s="387"/>
      <c r="Q4268" s="387"/>
    </row>
    <row r="4269" spans="15:17" ht="20.100000000000001" customHeight="1">
      <c r="O4269" s="387"/>
      <c r="P4269" s="387"/>
      <c r="Q4269" s="387"/>
    </row>
    <row r="4270" spans="15:17" ht="20.100000000000001" customHeight="1">
      <c r="O4270" s="387"/>
      <c r="P4270" s="387"/>
      <c r="Q4270" s="387"/>
    </row>
    <row r="4271" spans="15:17" ht="20.100000000000001" customHeight="1">
      <c r="O4271" s="387"/>
      <c r="P4271" s="387"/>
      <c r="Q4271" s="387"/>
    </row>
    <row r="4272" spans="15:17" ht="20.100000000000001" customHeight="1">
      <c r="O4272" s="387"/>
      <c r="P4272" s="387"/>
      <c r="Q4272" s="387"/>
    </row>
    <row r="4273" spans="15:17" ht="20.100000000000001" customHeight="1">
      <c r="O4273" s="387"/>
      <c r="P4273" s="387"/>
      <c r="Q4273" s="387"/>
    </row>
    <row r="4274" spans="15:17" ht="20.100000000000001" customHeight="1">
      <c r="O4274" s="387"/>
      <c r="P4274" s="387"/>
      <c r="Q4274" s="387"/>
    </row>
    <row r="4275" spans="15:17" ht="20.100000000000001" customHeight="1">
      <c r="O4275" s="387"/>
      <c r="P4275" s="387"/>
      <c r="Q4275" s="387"/>
    </row>
    <row r="4276" spans="15:17" ht="20.100000000000001" customHeight="1">
      <c r="O4276" s="387"/>
      <c r="P4276" s="387"/>
      <c r="Q4276" s="387"/>
    </row>
    <row r="4277" spans="15:17" ht="20.100000000000001" customHeight="1">
      <c r="O4277" s="387"/>
      <c r="P4277" s="387"/>
      <c r="Q4277" s="387"/>
    </row>
    <row r="4278" spans="15:17" ht="20.100000000000001" customHeight="1">
      <c r="O4278" s="387"/>
      <c r="P4278" s="387"/>
      <c r="Q4278" s="387"/>
    </row>
    <row r="4279" spans="15:17" ht="20.100000000000001" customHeight="1">
      <c r="O4279" s="387"/>
      <c r="P4279" s="387"/>
      <c r="Q4279" s="387"/>
    </row>
    <row r="4280" spans="15:17" ht="20.100000000000001" customHeight="1">
      <c r="O4280" s="387"/>
      <c r="P4280" s="387"/>
      <c r="Q4280" s="387"/>
    </row>
    <row r="4281" spans="15:17" ht="20.100000000000001" customHeight="1">
      <c r="O4281" s="387"/>
      <c r="P4281" s="387"/>
      <c r="Q4281" s="387"/>
    </row>
    <row r="4282" spans="15:17" ht="20.100000000000001" customHeight="1">
      <c r="O4282" s="387"/>
      <c r="P4282" s="387"/>
      <c r="Q4282" s="387"/>
    </row>
    <row r="4283" spans="15:17" ht="20.100000000000001" customHeight="1">
      <c r="O4283" s="387"/>
      <c r="P4283" s="387"/>
      <c r="Q4283" s="387"/>
    </row>
    <row r="4284" spans="15:17" ht="20.100000000000001" customHeight="1">
      <c r="O4284" s="387"/>
      <c r="P4284" s="387"/>
      <c r="Q4284" s="387"/>
    </row>
    <row r="4285" spans="15:17" ht="20.100000000000001" customHeight="1">
      <c r="O4285" s="387"/>
      <c r="P4285" s="387"/>
      <c r="Q4285" s="387"/>
    </row>
    <row r="4286" spans="15:17" ht="20.100000000000001" customHeight="1">
      <c r="O4286" s="387"/>
      <c r="P4286" s="387"/>
      <c r="Q4286" s="387"/>
    </row>
    <row r="4287" spans="15:17" ht="20.100000000000001" customHeight="1">
      <c r="O4287" s="387"/>
      <c r="P4287" s="387"/>
      <c r="Q4287" s="387"/>
    </row>
    <row r="4288" spans="15:17" ht="20.100000000000001" customHeight="1">
      <c r="O4288" s="387"/>
      <c r="P4288" s="387"/>
      <c r="Q4288" s="387"/>
    </row>
    <row r="4289" spans="15:17" ht="20.100000000000001" customHeight="1">
      <c r="O4289" s="387"/>
      <c r="P4289" s="387"/>
      <c r="Q4289" s="387"/>
    </row>
    <row r="4290" spans="15:17" ht="20.100000000000001" customHeight="1">
      <c r="O4290" s="387"/>
      <c r="P4290" s="387"/>
      <c r="Q4290" s="387"/>
    </row>
    <row r="4291" spans="15:17" ht="20.100000000000001" customHeight="1">
      <c r="O4291" s="387"/>
      <c r="P4291" s="387"/>
      <c r="Q4291" s="387"/>
    </row>
    <row r="4292" spans="15:17" ht="20.100000000000001" customHeight="1">
      <c r="O4292" s="387"/>
      <c r="P4292" s="387"/>
      <c r="Q4292" s="387"/>
    </row>
    <row r="4293" spans="15:17" ht="20.100000000000001" customHeight="1">
      <c r="O4293" s="387"/>
      <c r="P4293" s="387"/>
      <c r="Q4293" s="387"/>
    </row>
    <row r="4294" spans="15:17" ht="20.100000000000001" customHeight="1">
      <c r="O4294" s="387"/>
      <c r="P4294" s="387"/>
      <c r="Q4294" s="387"/>
    </row>
    <row r="4295" spans="15:17" ht="20.100000000000001" customHeight="1">
      <c r="O4295" s="387"/>
      <c r="P4295" s="387"/>
      <c r="Q4295" s="387"/>
    </row>
    <row r="4296" spans="15:17" ht="20.100000000000001" customHeight="1">
      <c r="O4296" s="387"/>
      <c r="P4296" s="387"/>
      <c r="Q4296" s="387"/>
    </row>
    <row r="4297" spans="15:17" ht="20.100000000000001" customHeight="1">
      <c r="O4297" s="387"/>
      <c r="P4297" s="387"/>
      <c r="Q4297" s="387"/>
    </row>
    <row r="4298" spans="15:17" ht="20.100000000000001" customHeight="1">
      <c r="O4298" s="387"/>
      <c r="P4298" s="387"/>
      <c r="Q4298" s="387"/>
    </row>
    <row r="4299" spans="15:17" ht="20.100000000000001" customHeight="1">
      <c r="O4299" s="387"/>
      <c r="P4299" s="387"/>
      <c r="Q4299" s="387"/>
    </row>
    <row r="4300" spans="15:17" ht="20.100000000000001" customHeight="1">
      <c r="O4300" s="387"/>
      <c r="P4300" s="387"/>
      <c r="Q4300" s="387"/>
    </row>
    <row r="4301" spans="15:17" ht="20.100000000000001" customHeight="1">
      <c r="O4301" s="387"/>
      <c r="P4301" s="387"/>
      <c r="Q4301" s="387"/>
    </row>
    <row r="4302" spans="15:17" ht="20.100000000000001" customHeight="1">
      <c r="O4302" s="387"/>
      <c r="P4302" s="387"/>
      <c r="Q4302" s="387"/>
    </row>
    <row r="4303" spans="15:17" ht="20.100000000000001" customHeight="1">
      <c r="O4303" s="387"/>
      <c r="P4303" s="387"/>
      <c r="Q4303" s="387"/>
    </row>
    <row r="4304" spans="15:17" ht="20.100000000000001" customHeight="1">
      <c r="O4304" s="387"/>
      <c r="P4304" s="387"/>
      <c r="Q4304" s="387"/>
    </row>
    <row r="4305" spans="15:17" ht="20.100000000000001" customHeight="1">
      <c r="O4305" s="387"/>
      <c r="P4305" s="387"/>
      <c r="Q4305" s="387"/>
    </row>
    <row r="4306" spans="15:17" ht="20.100000000000001" customHeight="1">
      <c r="O4306" s="387"/>
      <c r="P4306" s="387"/>
      <c r="Q4306" s="387"/>
    </row>
    <row r="4307" spans="15:17" ht="20.100000000000001" customHeight="1">
      <c r="O4307" s="387"/>
      <c r="P4307" s="387"/>
      <c r="Q4307" s="387"/>
    </row>
    <row r="4308" spans="15:17" ht="20.100000000000001" customHeight="1">
      <c r="O4308" s="387"/>
      <c r="P4308" s="387"/>
      <c r="Q4308" s="387"/>
    </row>
    <row r="4309" spans="15:17" ht="20.100000000000001" customHeight="1">
      <c r="O4309" s="387"/>
      <c r="P4309" s="387"/>
      <c r="Q4309" s="387"/>
    </row>
    <row r="4310" spans="15:17" ht="20.100000000000001" customHeight="1">
      <c r="O4310" s="387"/>
      <c r="P4310" s="387"/>
      <c r="Q4310" s="387"/>
    </row>
    <row r="4311" spans="15:17" ht="20.100000000000001" customHeight="1">
      <c r="O4311" s="387"/>
      <c r="P4311" s="387"/>
      <c r="Q4311" s="387"/>
    </row>
    <row r="4312" spans="15:17" ht="20.100000000000001" customHeight="1">
      <c r="O4312" s="387"/>
      <c r="P4312" s="387"/>
      <c r="Q4312" s="387"/>
    </row>
    <row r="4313" spans="15:17" ht="20.100000000000001" customHeight="1">
      <c r="O4313" s="387"/>
      <c r="P4313" s="387"/>
      <c r="Q4313" s="387"/>
    </row>
    <row r="4314" spans="15:17" ht="20.100000000000001" customHeight="1">
      <c r="O4314" s="387"/>
      <c r="P4314" s="387"/>
      <c r="Q4314" s="387"/>
    </row>
    <row r="4315" spans="15:17" ht="20.100000000000001" customHeight="1">
      <c r="O4315" s="387"/>
      <c r="P4315" s="387"/>
      <c r="Q4315" s="387"/>
    </row>
    <row r="4316" spans="15:17" ht="20.100000000000001" customHeight="1">
      <c r="O4316" s="387"/>
      <c r="P4316" s="387"/>
      <c r="Q4316" s="387"/>
    </row>
    <row r="4317" spans="15:17" ht="20.100000000000001" customHeight="1">
      <c r="O4317" s="387"/>
      <c r="P4317" s="387"/>
      <c r="Q4317" s="387"/>
    </row>
    <row r="4318" spans="15:17" ht="20.100000000000001" customHeight="1">
      <c r="O4318" s="387"/>
      <c r="P4318" s="387"/>
      <c r="Q4318" s="387"/>
    </row>
    <row r="4319" spans="15:17" ht="20.100000000000001" customHeight="1">
      <c r="O4319" s="387"/>
      <c r="P4319" s="387"/>
      <c r="Q4319" s="387"/>
    </row>
    <row r="4320" spans="15:17" ht="20.100000000000001" customHeight="1">
      <c r="O4320" s="387"/>
      <c r="P4320" s="387"/>
      <c r="Q4320" s="387"/>
    </row>
    <row r="4321" spans="15:17" ht="20.100000000000001" customHeight="1">
      <c r="O4321" s="387"/>
      <c r="P4321" s="387"/>
      <c r="Q4321" s="387"/>
    </row>
    <row r="4322" spans="15:17" ht="20.100000000000001" customHeight="1">
      <c r="O4322" s="387"/>
      <c r="P4322" s="387"/>
      <c r="Q4322" s="387"/>
    </row>
    <row r="4323" spans="15:17" ht="20.100000000000001" customHeight="1">
      <c r="O4323" s="387"/>
      <c r="P4323" s="387"/>
      <c r="Q4323" s="387"/>
    </row>
    <row r="4324" spans="15:17" ht="20.100000000000001" customHeight="1">
      <c r="O4324" s="387"/>
      <c r="P4324" s="387"/>
      <c r="Q4324" s="387"/>
    </row>
    <row r="4325" spans="15:17" ht="20.100000000000001" customHeight="1">
      <c r="O4325" s="387"/>
      <c r="P4325" s="387"/>
      <c r="Q4325" s="387"/>
    </row>
    <row r="4326" spans="15:17" ht="20.100000000000001" customHeight="1">
      <c r="O4326" s="387"/>
      <c r="P4326" s="387"/>
      <c r="Q4326" s="387"/>
    </row>
    <row r="4327" spans="15:17" ht="20.100000000000001" customHeight="1">
      <c r="O4327" s="387"/>
      <c r="P4327" s="387"/>
      <c r="Q4327" s="387"/>
    </row>
    <row r="4328" spans="15:17" ht="20.100000000000001" customHeight="1">
      <c r="O4328" s="387"/>
      <c r="P4328" s="387"/>
      <c r="Q4328" s="387"/>
    </row>
    <row r="4329" spans="15:17" ht="20.100000000000001" customHeight="1">
      <c r="O4329" s="387"/>
      <c r="P4329" s="387"/>
      <c r="Q4329" s="387"/>
    </row>
    <row r="4330" spans="15:17" ht="20.100000000000001" customHeight="1">
      <c r="O4330" s="387"/>
      <c r="P4330" s="387"/>
      <c r="Q4330" s="387"/>
    </row>
    <row r="4331" spans="15:17" ht="20.100000000000001" customHeight="1">
      <c r="O4331" s="387"/>
      <c r="P4331" s="387"/>
      <c r="Q4331" s="387"/>
    </row>
    <row r="4332" spans="15:17" ht="20.100000000000001" customHeight="1">
      <c r="O4332" s="387"/>
      <c r="P4332" s="387"/>
      <c r="Q4332" s="387"/>
    </row>
    <row r="4333" spans="15:17" ht="20.100000000000001" customHeight="1">
      <c r="O4333" s="387"/>
      <c r="P4333" s="387"/>
      <c r="Q4333" s="387"/>
    </row>
    <row r="4334" spans="15:17" ht="20.100000000000001" customHeight="1">
      <c r="O4334" s="387"/>
      <c r="P4334" s="387"/>
      <c r="Q4334" s="387"/>
    </row>
    <row r="4335" spans="15:17" ht="20.100000000000001" customHeight="1">
      <c r="O4335" s="387"/>
      <c r="P4335" s="387"/>
      <c r="Q4335" s="387"/>
    </row>
    <row r="4336" spans="15:17" ht="20.100000000000001" customHeight="1">
      <c r="O4336" s="387"/>
      <c r="P4336" s="387"/>
      <c r="Q4336" s="387"/>
    </row>
    <row r="4337" spans="15:17" ht="20.100000000000001" customHeight="1">
      <c r="O4337" s="387"/>
      <c r="P4337" s="387"/>
      <c r="Q4337" s="387"/>
    </row>
    <row r="4338" spans="15:17" ht="20.100000000000001" customHeight="1">
      <c r="O4338" s="387"/>
      <c r="P4338" s="387"/>
      <c r="Q4338" s="387"/>
    </row>
    <row r="4339" spans="15:17" ht="20.100000000000001" customHeight="1">
      <c r="O4339" s="387"/>
      <c r="P4339" s="387"/>
      <c r="Q4339" s="387"/>
    </row>
    <row r="4340" spans="15:17" ht="20.100000000000001" customHeight="1">
      <c r="O4340" s="387"/>
      <c r="P4340" s="387"/>
      <c r="Q4340" s="387"/>
    </row>
    <row r="4341" spans="15:17" ht="20.100000000000001" customHeight="1">
      <c r="O4341" s="387"/>
      <c r="P4341" s="387"/>
      <c r="Q4341" s="387"/>
    </row>
    <row r="4342" spans="15:17" ht="20.100000000000001" customHeight="1">
      <c r="O4342" s="387"/>
      <c r="P4342" s="387"/>
      <c r="Q4342" s="387"/>
    </row>
    <row r="4343" spans="15:17" ht="20.100000000000001" customHeight="1">
      <c r="O4343" s="387"/>
      <c r="P4343" s="387"/>
      <c r="Q4343" s="387"/>
    </row>
    <row r="4344" spans="15:17" ht="20.100000000000001" customHeight="1">
      <c r="O4344" s="387"/>
      <c r="P4344" s="387"/>
      <c r="Q4344" s="387"/>
    </row>
    <row r="4345" spans="15:17" ht="20.100000000000001" customHeight="1">
      <c r="O4345" s="387"/>
      <c r="P4345" s="387"/>
      <c r="Q4345" s="387"/>
    </row>
    <row r="4346" spans="15:17" ht="20.100000000000001" customHeight="1">
      <c r="O4346" s="387"/>
      <c r="P4346" s="387"/>
      <c r="Q4346" s="387"/>
    </row>
    <row r="4347" spans="15:17" ht="20.100000000000001" customHeight="1">
      <c r="O4347" s="387"/>
      <c r="P4347" s="387"/>
      <c r="Q4347" s="387"/>
    </row>
    <row r="4348" spans="15:17" ht="20.100000000000001" customHeight="1">
      <c r="O4348" s="387"/>
      <c r="P4348" s="387"/>
      <c r="Q4348" s="387"/>
    </row>
    <row r="4349" spans="15:17" ht="20.100000000000001" customHeight="1">
      <c r="O4349" s="387"/>
      <c r="P4349" s="387"/>
      <c r="Q4349" s="387"/>
    </row>
    <row r="4350" spans="15:17" ht="20.100000000000001" customHeight="1">
      <c r="O4350" s="387"/>
      <c r="P4350" s="387"/>
      <c r="Q4350" s="387"/>
    </row>
    <row r="4351" spans="15:17" ht="20.100000000000001" customHeight="1">
      <c r="O4351" s="387"/>
      <c r="P4351" s="387"/>
      <c r="Q4351" s="387"/>
    </row>
    <row r="4352" spans="15:17" ht="20.100000000000001" customHeight="1">
      <c r="O4352" s="387"/>
      <c r="P4352" s="387"/>
      <c r="Q4352" s="387"/>
    </row>
    <row r="4353" spans="15:17" ht="20.100000000000001" customHeight="1">
      <c r="O4353" s="387"/>
      <c r="P4353" s="387"/>
      <c r="Q4353" s="387"/>
    </row>
    <row r="4354" spans="15:17" ht="20.100000000000001" customHeight="1">
      <c r="O4354" s="387"/>
      <c r="P4354" s="387"/>
      <c r="Q4354" s="387"/>
    </row>
    <row r="4355" spans="15:17" ht="20.100000000000001" customHeight="1">
      <c r="O4355" s="387"/>
      <c r="P4355" s="387"/>
      <c r="Q4355" s="387"/>
    </row>
    <row r="4356" spans="15:17" ht="20.100000000000001" customHeight="1">
      <c r="O4356" s="387"/>
      <c r="P4356" s="387"/>
      <c r="Q4356" s="387"/>
    </row>
    <row r="4357" spans="15:17" ht="20.100000000000001" customHeight="1">
      <c r="O4357" s="387"/>
      <c r="P4357" s="387"/>
      <c r="Q4357" s="387"/>
    </row>
    <row r="4358" spans="15:17" ht="20.100000000000001" customHeight="1">
      <c r="O4358" s="387"/>
      <c r="P4358" s="387"/>
      <c r="Q4358" s="387"/>
    </row>
    <row r="4359" spans="15:17" ht="20.100000000000001" customHeight="1">
      <c r="O4359" s="387"/>
      <c r="P4359" s="387"/>
      <c r="Q4359" s="387"/>
    </row>
    <row r="4360" spans="15:17" ht="20.100000000000001" customHeight="1">
      <c r="O4360" s="387"/>
      <c r="P4360" s="387"/>
      <c r="Q4360" s="387"/>
    </row>
    <row r="4361" spans="15:17" ht="20.100000000000001" customHeight="1">
      <c r="O4361" s="387"/>
      <c r="P4361" s="387"/>
      <c r="Q4361" s="387"/>
    </row>
    <row r="4362" spans="15:17" ht="20.100000000000001" customHeight="1">
      <c r="O4362" s="387"/>
      <c r="P4362" s="387"/>
      <c r="Q4362" s="387"/>
    </row>
    <row r="4363" spans="15:17" ht="20.100000000000001" customHeight="1">
      <c r="O4363" s="387"/>
      <c r="P4363" s="387"/>
      <c r="Q4363" s="387"/>
    </row>
    <row r="4364" spans="15:17" ht="20.100000000000001" customHeight="1">
      <c r="O4364" s="387"/>
      <c r="P4364" s="387"/>
      <c r="Q4364" s="387"/>
    </row>
    <row r="4365" spans="15:17" ht="20.100000000000001" customHeight="1">
      <c r="O4365" s="387"/>
      <c r="P4365" s="387"/>
      <c r="Q4365" s="387"/>
    </row>
    <row r="4366" spans="15:17" ht="20.100000000000001" customHeight="1">
      <c r="O4366" s="387"/>
      <c r="P4366" s="387"/>
      <c r="Q4366" s="387"/>
    </row>
    <row r="4367" spans="15:17" ht="20.100000000000001" customHeight="1">
      <c r="O4367" s="387"/>
      <c r="P4367" s="387"/>
      <c r="Q4367" s="387"/>
    </row>
    <row r="4368" spans="15:17" ht="20.100000000000001" customHeight="1">
      <c r="O4368" s="387"/>
      <c r="P4368" s="387"/>
      <c r="Q4368" s="387"/>
    </row>
    <row r="4369" spans="15:17" ht="20.100000000000001" customHeight="1">
      <c r="O4369" s="387"/>
      <c r="P4369" s="387"/>
      <c r="Q4369" s="387"/>
    </row>
    <row r="4370" spans="15:17" ht="20.100000000000001" customHeight="1">
      <c r="O4370" s="387"/>
      <c r="P4370" s="387"/>
      <c r="Q4370" s="387"/>
    </row>
    <row r="4371" spans="15:17" ht="20.100000000000001" customHeight="1">
      <c r="O4371" s="387"/>
      <c r="P4371" s="387"/>
      <c r="Q4371" s="387"/>
    </row>
    <row r="4372" spans="15:17" ht="20.100000000000001" customHeight="1">
      <c r="O4372" s="387"/>
      <c r="P4372" s="387"/>
      <c r="Q4372" s="387"/>
    </row>
    <row r="4373" spans="15:17" ht="20.100000000000001" customHeight="1">
      <c r="O4373" s="387"/>
      <c r="P4373" s="387"/>
      <c r="Q4373" s="387"/>
    </row>
    <row r="4374" spans="15:17" ht="20.100000000000001" customHeight="1">
      <c r="O4374" s="387"/>
      <c r="P4374" s="387"/>
      <c r="Q4374" s="387"/>
    </row>
    <row r="4375" spans="15:17" ht="20.100000000000001" customHeight="1">
      <c r="O4375" s="387"/>
      <c r="P4375" s="387"/>
      <c r="Q4375" s="387"/>
    </row>
    <row r="4376" spans="15:17" ht="20.100000000000001" customHeight="1">
      <c r="O4376" s="387"/>
      <c r="P4376" s="387"/>
      <c r="Q4376" s="387"/>
    </row>
    <row r="4377" spans="15:17" ht="20.100000000000001" customHeight="1">
      <c r="O4377" s="387"/>
      <c r="P4377" s="387"/>
      <c r="Q4377" s="387"/>
    </row>
    <row r="4378" spans="15:17" ht="20.100000000000001" customHeight="1">
      <c r="O4378" s="387"/>
      <c r="P4378" s="387"/>
      <c r="Q4378" s="387"/>
    </row>
    <row r="4379" spans="15:17" ht="20.100000000000001" customHeight="1">
      <c r="O4379" s="387"/>
      <c r="P4379" s="387"/>
      <c r="Q4379" s="387"/>
    </row>
    <row r="4380" spans="15:17" ht="20.100000000000001" customHeight="1">
      <c r="O4380" s="387"/>
      <c r="P4380" s="387"/>
      <c r="Q4380" s="387"/>
    </row>
    <row r="4381" spans="15:17" ht="20.100000000000001" customHeight="1">
      <c r="O4381" s="387"/>
      <c r="P4381" s="387"/>
      <c r="Q4381" s="387"/>
    </row>
    <row r="4382" spans="15:17" ht="20.100000000000001" customHeight="1">
      <c r="O4382" s="387"/>
      <c r="P4382" s="387"/>
      <c r="Q4382" s="387"/>
    </row>
    <row r="4383" spans="15:17" ht="20.100000000000001" customHeight="1">
      <c r="O4383" s="387"/>
      <c r="P4383" s="387"/>
      <c r="Q4383" s="387"/>
    </row>
    <row r="4384" spans="15:17" ht="20.100000000000001" customHeight="1">
      <c r="O4384" s="387"/>
      <c r="P4384" s="387"/>
      <c r="Q4384" s="387"/>
    </row>
    <row r="4385" spans="15:17" ht="20.100000000000001" customHeight="1">
      <c r="O4385" s="387"/>
      <c r="P4385" s="387"/>
      <c r="Q4385" s="387"/>
    </row>
    <row r="4386" spans="15:17" ht="20.100000000000001" customHeight="1">
      <c r="O4386" s="387"/>
      <c r="P4386" s="387"/>
      <c r="Q4386" s="387"/>
    </row>
    <row r="4387" spans="15:17" ht="20.100000000000001" customHeight="1">
      <c r="O4387" s="387"/>
      <c r="P4387" s="387"/>
      <c r="Q4387" s="387"/>
    </row>
    <row r="4388" spans="15:17" ht="20.100000000000001" customHeight="1">
      <c r="O4388" s="387"/>
      <c r="P4388" s="387"/>
      <c r="Q4388" s="387"/>
    </row>
    <row r="4389" spans="15:17" ht="20.100000000000001" customHeight="1">
      <c r="O4389" s="387"/>
      <c r="P4389" s="387"/>
      <c r="Q4389" s="387"/>
    </row>
    <row r="4390" spans="15:17" ht="20.100000000000001" customHeight="1">
      <c r="O4390" s="387"/>
      <c r="P4390" s="387"/>
      <c r="Q4390" s="387"/>
    </row>
    <row r="4391" spans="15:17" ht="20.100000000000001" customHeight="1">
      <c r="O4391" s="387"/>
      <c r="P4391" s="387"/>
      <c r="Q4391" s="387"/>
    </row>
    <row r="4392" spans="15:17" ht="20.100000000000001" customHeight="1">
      <c r="O4392" s="387"/>
      <c r="P4392" s="387"/>
      <c r="Q4392" s="387"/>
    </row>
    <row r="4393" spans="15:17" ht="20.100000000000001" customHeight="1">
      <c r="O4393" s="387"/>
      <c r="P4393" s="387"/>
      <c r="Q4393" s="387"/>
    </row>
    <row r="4394" spans="15:17" ht="20.100000000000001" customHeight="1">
      <c r="O4394" s="387"/>
      <c r="P4394" s="387"/>
      <c r="Q4394" s="387"/>
    </row>
    <row r="4395" spans="15:17" ht="20.100000000000001" customHeight="1">
      <c r="O4395" s="387"/>
      <c r="P4395" s="387"/>
      <c r="Q4395" s="387"/>
    </row>
    <row r="4396" spans="15:17" ht="20.100000000000001" customHeight="1">
      <c r="O4396" s="387"/>
      <c r="P4396" s="387"/>
      <c r="Q4396" s="387"/>
    </row>
    <row r="4397" spans="15:17" ht="20.100000000000001" customHeight="1">
      <c r="O4397" s="387"/>
      <c r="P4397" s="387"/>
      <c r="Q4397" s="387"/>
    </row>
    <row r="4398" spans="15:17" ht="20.100000000000001" customHeight="1">
      <c r="O4398" s="387"/>
      <c r="P4398" s="387"/>
      <c r="Q4398" s="387"/>
    </row>
    <row r="4399" spans="15:17" ht="20.100000000000001" customHeight="1">
      <c r="O4399" s="387"/>
      <c r="P4399" s="387"/>
      <c r="Q4399" s="387"/>
    </row>
    <row r="4400" spans="15:17" ht="20.100000000000001" customHeight="1">
      <c r="O4400" s="387"/>
      <c r="P4400" s="387"/>
      <c r="Q4400" s="387"/>
    </row>
    <row r="4401" spans="15:17" ht="20.100000000000001" customHeight="1">
      <c r="O4401" s="387"/>
      <c r="P4401" s="387"/>
      <c r="Q4401" s="387"/>
    </row>
    <row r="4402" spans="15:17" ht="20.100000000000001" customHeight="1">
      <c r="O4402" s="387"/>
      <c r="P4402" s="387"/>
      <c r="Q4402" s="387"/>
    </row>
    <row r="4403" spans="15:17" ht="20.100000000000001" customHeight="1">
      <c r="O4403" s="387"/>
      <c r="P4403" s="387"/>
      <c r="Q4403" s="387"/>
    </row>
    <row r="4404" spans="15:17" ht="20.100000000000001" customHeight="1">
      <c r="O4404" s="387"/>
      <c r="P4404" s="387"/>
      <c r="Q4404" s="387"/>
    </row>
    <row r="4405" spans="15:17" ht="20.100000000000001" customHeight="1">
      <c r="O4405" s="387"/>
      <c r="P4405" s="387"/>
      <c r="Q4405" s="387"/>
    </row>
    <row r="4406" spans="15:17" ht="20.100000000000001" customHeight="1">
      <c r="O4406" s="387"/>
      <c r="P4406" s="387"/>
      <c r="Q4406" s="387"/>
    </row>
    <row r="4407" spans="15:17" ht="20.100000000000001" customHeight="1">
      <c r="O4407" s="387"/>
      <c r="P4407" s="387"/>
      <c r="Q4407" s="387"/>
    </row>
    <row r="4408" spans="15:17" ht="20.100000000000001" customHeight="1">
      <c r="O4408" s="387"/>
      <c r="P4408" s="387"/>
      <c r="Q4408" s="387"/>
    </row>
    <row r="4409" spans="15:17" ht="20.100000000000001" customHeight="1">
      <c r="O4409" s="387"/>
      <c r="P4409" s="387"/>
      <c r="Q4409" s="387"/>
    </row>
    <row r="4410" spans="15:17" ht="20.100000000000001" customHeight="1">
      <c r="O4410" s="387"/>
      <c r="P4410" s="387"/>
      <c r="Q4410" s="387"/>
    </row>
    <row r="4411" spans="15:17" ht="20.100000000000001" customHeight="1">
      <c r="O4411" s="387"/>
      <c r="P4411" s="387"/>
      <c r="Q4411" s="387"/>
    </row>
    <row r="4412" spans="15:17" ht="20.100000000000001" customHeight="1">
      <c r="O4412" s="387"/>
      <c r="P4412" s="387"/>
      <c r="Q4412" s="387"/>
    </row>
    <row r="4413" spans="15:17" ht="20.100000000000001" customHeight="1">
      <c r="O4413" s="387"/>
      <c r="P4413" s="387"/>
      <c r="Q4413" s="387"/>
    </row>
    <row r="4414" spans="15:17" ht="20.100000000000001" customHeight="1">
      <c r="O4414" s="387"/>
      <c r="P4414" s="387"/>
      <c r="Q4414" s="387"/>
    </row>
    <row r="4415" spans="15:17" ht="20.100000000000001" customHeight="1">
      <c r="O4415" s="387"/>
      <c r="P4415" s="387"/>
      <c r="Q4415" s="387"/>
    </row>
    <row r="4416" spans="15:17" ht="20.100000000000001" customHeight="1">
      <c r="O4416" s="387"/>
      <c r="P4416" s="387"/>
      <c r="Q4416" s="387"/>
    </row>
    <row r="4417" spans="15:17" ht="20.100000000000001" customHeight="1">
      <c r="O4417" s="387"/>
      <c r="P4417" s="387"/>
      <c r="Q4417" s="387"/>
    </row>
    <row r="4418" spans="15:17" ht="20.100000000000001" customHeight="1">
      <c r="O4418" s="387"/>
      <c r="P4418" s="387"/>
      <c r="Q4418" s="387"/>
    </row>
    <row r="4419" spans="15:17" ht="20.100000000000001" customHeight="1">
      <c r="O4419" s="387"/>
      <c r="P4419" s="387"/>
      <c r="Q4419" s="387"/>
    </row>
    <row r="4420" spans="15:17" ht="20.100000000000001" customHeight="1">
      <c r="O4420" s="387"/>
      <c r="P4420" s="387"/>
      <c r="Q4420" s="387"/>
    </row>
    <row r="4421" spans="15:17" ht="20.100000000000001" customHeight="1">
      <c r="O4421" s="387"/>
      <c r="P4421" s="387"/>
      <c r="Q4421" s="387"/>
    </row>
    <row r="4422" spans="15:17" ht="20.100000000000001" customHeight="1">
      <c r="O4422" s="387"/>
      <c r="P4422" s="387"/>
      <c r="Q4422" s="387"/>
    </row>
    <row r="4423" spans="15:17" ht="20.100000000000001" customHeight="1">
      <c r="O4423" s="387"/>
      <c r="P4423" s="387"/>
      <c r="Q4423" s="387"/>
    </row>
    <row r="4424" spans="15:17" ht="20.100000000000001" customHeight="1">
      <c r="O4424" s="387"/>
      <c r="P4424" s="387"/>
      <c r="Q4424" s="387"/>
    </row>
    <row r="4425" spans="15:17" ht="20.100000000000001" customHeight="1">
      <c r="O4425" s="387"/>
      <c r="P4425" s="387"/>
      <c r="Q4425" s="387"/>
    </row>
    <row r="4426" spans="15:17" ht="20.100000000000001" customHeight="1">
      <c r="O4426" s="387"/>
      <c r="P4426" s="387"/>
      <c r="Q4426" s="387"/>
    </row>
    <row r="4427" spans="15:17" ht="20.100000000000001" customHeight="1">
      <c r="O4427" s="387"/>
      <c r="P4427" s="387"/>
      <c r="Q4427" s="387"/>
    </row>
    <row r="4428" spans="15:17" ht="20.100000000000001" customHeight="1">
      <c r="O4428" s="387"/>
      <c r="P4428" s="387"/>
      <c r="Q4428" s="387"/>
    </row>
    <row r="4429" spans="15:17" ht="20.100000000000001" customHeight="1">
      <c r="O4429" s="387"/>
      <c r="P4429" s="387"/>
      <c r="Q4429" s="387"/>
    </row>
    <row r="4430" spans="15:17" ht="20.100000000000001" customHeight="1">
      <c r="O4430" s="387"/>
      <c r="P4430" s="387"/>
      <c r="Q4430" s="387"/>
    </row>
    <row r="4431" spans="15:17" ht="20.100000000000001" customHeight="1">
      <c r="O4431" s="387"/>
      <c r="P4431" s="387"/>
      <c r="Q4431" s="387"/>
    </row>
    <row r="4432" spans="15:17" ht="20.100000000000001" customHeight="1">
      <c r="O4432" s="387"/>
      <c r="P4432" s="387"/>
      <c r="Q4432" s="387"/>
    </row>
    <row r="4433" spans="15:17" ht="20.100000000000001" customHeight="1">
      <c r="O4433" s="387"/>
      <c r="P4433" s="387"/>
      <c r="Q4433" s="387"/>
    </row>
    <row r="4434" spans="15:17" ht="20.100000000000001" customHeight="1">
      <c r="O4434" s="387"/>
      <c r="P4434" s="387"/>
      <c r="Q4434" s="387"/>
    </row>
    <row r="4435" spans="15:17" ht="20.100000000000001" customHeight="1">
      <c r="O4435" s="387"/>
      <c r="P4435" s="387"/>
      <c r="Q4435" s="387"/>
    </row>
    <row r="4436" spans="15:17" ht="20.100000000000001" customHeight="1">
      <c r="O4436" s="387"/>
      <c r="P4436" s="387"/>
      <c r="Q4436" s="387"/>
    </row>
    <row r="4437" spans="15:17" ht="20.100000000000001" customHeight="1">
      <c r="O4437" s="387"/>
      <c r="P4437" s="387"/>
      <c r="Q4437" s="387"/>
    </row>
    <row r="4438" spans="15:17" ht="20.100000000000001" customHeight="1">
      <c r="O4438" s="387"/>
      <c r="P4438" s="387"/>
      <c r="Q4438" s="387"/>
    </row>
    <row r="4439" spans="15:17" ht="20.100000000000001" customHeight="1">
      <c r="O4439" s="387"/>
      <c r="P4439" s="387"/>
      <c r="Q4439" s="387"/>
    </row>
    <row r="4440" spans="15:17" ht="20.100000000000001" customHeight="1">
      <c r="O4440" s="387"/>
      <c r="P4440" s="387"/>
      <c r="Q4440" s="387"/>
    </row>
    <row r="4441" spans="15:17" ht="20.100000000000001" customHeight="1">
      <c r="O4441" s="387"/>
      <c r="P4441" s="387"/>
      <c r="Q4441" s="387"/>
    </row>
    <row r="4442" spans="15:17" ht="20.100000000000001" customHeight="1">
      <c r="O4442" s="387"/>
      <c r="P4442" s="387"/>
      <c r="Q4442" s="387"/>
    </row>
    <row r="4443" spans="15:17" ht="20.100000000000001" customHeight="1">
      <c r="O4443" s="387"/>
      <c r="P4443" s="387"/>
      <c r="Q4443" s="387"/>
    </row>
    <row r="4444" spans="15:17" ht="20.100000000000001" customHeight="1">
      <c r="O4444" s="387"/>
      <c r="P4444" s="387"/>
      <c r="Q4444" s="387"/>
    </row>
    <row r="4445" spans="15:17" ht="20.100000000000001" customHeight="1">
      <c r="O4445" s="387"/>
      <c r="P4445" s="387"/>
      <c r="Q4445" s="387"/>
    </row>
    <row r="4446" spans="15:17" ht="20.100000000000001" customHeight="1">
      <c r="O4446" s="387"/>
      <c r="P4446" s="387"/>
      <c r="Q4446" s="387"/>
    </row>
    <row r="4447" spans="15:17" ht="20.100000000000001" customHeight="1">
      <c r="O4447" s="387"/>
      <c r="P4447" s="387"/>
      <c r="Q4447" s="387"/>
    </row>
    <row r="4448" spans="15:17" ht="20.100000000000001" customHeight="1">
      <c r="O4448" s="387"/>
      <c r="P4448" s="387"/>
      <c r="Q4448" s="387"/>
    </row>
    <row r="4449" spans="15:17" ht="20.100000000000001" customHeight="1">
      <c r="O4449" s="387"/>
      <c r="P4449" s="387"/>
      <c r="Q4449" s="387"/>
    </row>
    <row r="4450" spans="15:17" ht="20.100000000000001" customHeight="1">
      <c r="O4450" s="387"/>
      <c r="P4450" s="387"/>
      <c r="Q4450" s="387"/>
    </row>
    <row r="4451" spans="15:17" ht="20.100000000000001" customHeight="1">
      <c r="O4451" s="387"/>
      <c r="P4451" s="387"/>
      <c r="Q4451" s="387"/>
    </row>
    <row r="4452" spans="15:17" ht="20.100000000000001" customHeight="1">
      <c r="O4452" s="387"/>
      <c r="P4452" s="387"/>
      <c r="Q4452" s="387"/>
    </row>
    <row r="4453" spans="15:17" ht="20.100000000000001" customHeight="1">
      <c r="O4453" s="387"/>
      <c r="P4453" s="387"/>
      <c r="Q4453" s="387"/>
    </row>
    <row r="4454" spans="15:17" ht="20.100000000000001" customHeight="1">
      <c r="O4454" s="387"/>
      <c r="P4454" s="387"/>
      <c r="Q4454" s="387"/>
    </row>
    <row r="4455" spans="15:17" ht="20.100000000000001" customHeight="1">
      <c r="O4455" s="387"/>
      <c r="P4455" s="387"/>
      <c r="Q4455" s="387"/>
    </row>
    <row r="4456" spans="15:17" ht="20.100000000000001" customHeight="1">
      <c r="O4456" s="387"/>
      <c r="P4456" s="387"/>
      <c r="Q4456" s="387"/>
    </row>
    <row r="4457" spans="15:17" ht="20.100000000000001" customHeight="1">
      <c r="O4457" s="387"/>
      <c r="P4457" s="387"/>
      <c r="Q4457" s="387"/>
    </row>
    <row r="4458" spans="15:17" ht="20.100000000000001" customHeight="1">
      <c r="O4458" s="387"/>
      <c r="P4458" s="387"/>
      <c r="Q4458" s="387"/>
    </row>
    <row r="4459" spans="15:17" ht="20.100000000000001" customHeight="1">
      <c r="O4459" s="387"/>
      <c r="P4459" s="387"/>
      <c r="Q4459" s="387"/>
    </row>
    <row r="4460" spans="15:17" ht="20.100000000000001" customHeight="1">
      <c r="O4460" s="387"/>
      <c r="P4460" s="387"/>
      <c r="Q4460" s="387"/>
    </row>
    <row r="4461" spans="15:17" ht="20.100000000000001" customHeight="1">
      <c r="O4461" s="387"/>
      <c r="P4461" s="387"/>
      <c r="Q4461" s="387"/>
    </row>
    <row r="4462" spans="15:17" ht="20.100000000000001" customHeight="1">
      <c r="O4462" s="387"/>
      <c r="P4462" s="387"/>
      <c r="Q4462" s="387"/>
    </row>
    <row r="4463" spans="15:17" ht="20.100000000000001" customHeight="1">
      <c r="O4463" s="387"/>
      <c r="P4463" s="387"/>
      <c r="Q4463" s="387"/>
    </row>
    <row r="4464" spans="15:17" ht="20.100000000000001" customHeight="1">
      <c r="O4464" s="387"/>
      <c r="P4464" s="387"/>
      <c r="Q4464" s="387"/>
    </row>
    <row r="4465" spans="15:17" ht="20.100000000000001" customHeight="1">
      <c r="O4465" s="387"/>
      <c r="P4465" s="387"/>
      <c r="Q4465" s="387"/>
    </row>
    <row r="4466" spans="15:17" ht="20.100000000000001" customHeight="1">
      <c r="O4466" s="387"/>
      <c r="P4466" s="387"/>
      <c r="Q4466" s="387"/>
    </row>
    <row r="4467" spans="15:17" ht="20.100000000000001" customHeight="1">
      <c r="O4467" s="387"/>
      <c r="P4467" s="387"/>
      <c r="Q4467" s="387"/>
    </row>
    <row r="4468" spans="15:17" ht="20.100000000000001" customHeight="1">
      <c r="O4468" s="387"/>
      <c r="P4468" s="387"/>
      <c r="Q4468" s="387"/>
    </row>
    <row r="4469" spans="15:17" ht="20.100000000000001" customHeight="1">
      <c r="O4469" s="387"/>
      <c r="P4469" s="387"/>
      <c r="Q4469" s="387"/>
    </row>
    <row r="4470" spans="15:17" ht="20.100000000000001" customHeight="1">
      <c r="O4470" s="387"/>
      <c r="P4470" s="387"/>
      <c r="Q4470" s="387"/>
    </row>
    <row r="4471" spans="15:17" ht="20.100000000000001" customHeight="1">
      <c r="O4471" s="387"/>
      <c r="P4471" s="387"/>
      <c r="Q4471" s="387"/>
    </row>
    <row r="4472" spans="15:17" ht="20.100000000000001" customHeight="1">
      <c r="O4472" s="387"/>
      <c r="P4472" s="387"/>
      <c r="Q4472" s="387"/>
    </row>
    <row r="4473" spans="15:17" ht="20.100000000000001" customHeight="1">
      <c r="O4473" s="387"/>
      <c r="P4473" s="387"/>
      <c r="Q4473" s="387"/>
    </row>
    <row r="4474" spans="15:17" ht="20.100000000000001" customHeight="1">
      <c r="O4474" s="387"/>
      <c r="P4474" s="387"/>
      <c r="Q4474" s="387"/>
    </row>
    <row r="4475" spans="15:17" ht="20.100000000000001" customHeight="1">
      <c r="O4475" s="387"/>
      <c r="P4475" s="387"/>
      <c r="Q4475" s="387"/>
    </row>
    <row r="4476" spans="15:17" ht="20.100000000000001" customHeight="1">
      <c r="O4476" s="387"/>
      <c r="P4476" s="387"/>
      <c r="Q4476" s="387"/>
    </row>
    <row r="4477" spans="15:17" ht="20.100000000000001" customHeight="1">
      <c r="O4477" s="387"/>
      <c r="P4477" s="387"/>
      <c r="Q4477" s="387"/>
    </row>
    <row r="4478" spans="15:17" ht="20.100000000000001" customHeight="1">
      <c r="O4478" s="387"/>
      <c r="P4478" s="387"/>
      <c r="Q4478" s="387"/>
    </row>
    <row r="4479" spans="15:17" ht="20.100000000000001" customHeight="1">
      <c r="O4479" s="387"/>
      <c r="P4479" s="387"/>
      <c r="Q4479" s="387"/>
    </row>
    <row r="4480" spans="15:17" ht="20.100000000000001" customHeight="1">
      <c r="O4480" s="387"/>
      <c r="P4480" s="387"/>
      <c r="Q4480" s="387"/>
    </row>
    <row r="4481" spans="15:17" ht="20.100000000000001" customHeight="1">
      <c r="O4481" s="387"/>
      <c r="P4481" s="387"/>
      <c r="Q4481" s="387"/>
    </row>
    <row r="4482" spans="15:17" ht="20.100000000000001" customHeight="1">
      <c r="O4482" s="387"/>
      <c r="P4482" s="387"/>
      <c r="Q4482" s="387"/>
    </row>
    <row r="4483" spans="15:17" ht="20.100000000000001" customHeight="1">
      <c r="O4483" s="387"/>
      <c r="P4483" s="387"/>
      <c r="Q4483" s="387"/>
    </row>
    <row r="4484" spans="15:17" ht="20.100000000000001" customHeight="1">
      <c r="O4484" s="387"/>
      <c r="P4484" s="387"/>
      <c r="Q4484" s="387"/>
    </row>
    <row r="4485" spans="15:17" ht="20.100000000000001" customHeight="1">
      <c r="O4485" s="387"/>
      <c r="P4485" s="387"/>
      <c r="Q4485" s="387"/>
    </row>
    <row r="4486" spans="15:17" ht="20.100000000000001" customHeight="1">
      <c r="O4486" s="387"/>
      <c r="P4486" s="387"/>
      <c r="Q4486" s="387"/>
    </row>
    <row r="4487" spans="15:17" ht="20.100000000000001" customHeight="1">
      <c r="O4487" s="387"/>
      <c r="P4487" s="387"/>
      <c r="Q4487" s="387"/>
    </row>
    <row r="4488" spans="15:17" ht="20.100000000000001" customHeight="1">
      <c r="O4488" s="387"/>
      <c r="P4488" s="387"/>
      <c r="Q4488" s="387"/>
    </row>
    <row r="4489" spans="15:17" ht="20.100000000000001" customHeight="1">
      <c r="O4489" s="387"/>
      <c r="P4489" s="387"/>
      <c r="Q4489" s="387"/>
    </row>
    <row r="4490" spans="15:17" ht="20.100000000000001" customHeight="1">
      <c r="O4490" s="387"/>
      <c r="P4490" s="387"/>
      <c r="Q4490" s="387"/>
    </row>
    <row r="4491" spans="15:17" ht="20.100000000000001" customHeight="1">
      <c r="O4491" s="387"/>
      <c r="P4491" s="387"/>
      <c r="Q4491" s="387"/>
    </row>
    <row r="4492" spans="15:17" ht="20.100000000000001" customHeight="1">
      <c r="O4492" s="387"/>
      <c r="P4492" s="387"/>
      <c r="Q4492" s="387"/>
    </row>
    <row r="4493" spans="15:17" ht="20.100000000000001" customHeight="1">
      <c r="O4493" s="387"/>
      <c r="P4493" s="387"/>
      <c r="Q4493" s="387"/>
    </row>
    <row r="4494" spans="15:17" ht="20.100000000000001" customHeight="1">
      <c r="O4494" s="387"/>
      <c r="P4494" s="387"/>
      <c r="Q4494" s="387"/>
    </row>
    <row r="4495" spans="15:17" ht="20.100000000000001" customHeight="1">
      <c r="O4495" s="387"/>
      <c r="P4495" s="387"/>
      <c r="Q4495" s="387"/>
    </row>
    <row r="4496" spans="15:17" ht="20.100000000000001" customHeight="1">
      <c r="O4496" s="387"/>
      <c r="P4496" s="387"/>
      <c r="Q4496" s="387"/>
    </row>
    <row r="4497" spans="15:17" ht="20.100000000000001" customHeight="1">
      <c r="O4497" s="387"/>
      <c r="P4497" s="387"/>
      <c r="Q4497" s="387"/>
    </row>
    <row r="4498" spans="15:17" ht="20.100000000000001" customHeight="1">
      <c r="O4498" s="387"/>
      <c r="P4498" s="387"/>
      <c r="Q4498" s="387"/>
    </row>
    <row r="4499" spans="15:17" ht="20.100000000000001" customHeight="1">
      <c r="O4499" s="387"/>
      <c r="P4499" s="387"/>
      <c r="Q4499" s="387"/>
    </row>
    <row r="4500" spans="15:17" ht="20.100000000000001" customHeight="1">
      <c r="O4500" s="387"/>
      <c r="P4500" s="387"/>
      <c r="Q4500" s="387"/>
    </row>
    <row r="4501" spans="15:17" ht="20.100000000000001" customHeight="1">
      <c r="O4501" s="387"/>
      <c r="P4501" s="387"/>
      <c r="Q4501" s="387"/>
    </row>
    <row r="4502" spans="15:17" ht="20.100000000000001" customHeight="1">
      <c r="O4502" s="387"/>
      <c r="P4502" s="387"/>
      <c r="Q4502" s="387"/>
    </row>
    <row r="4503" spans="15:17" ht="20.100000000000001" customHeight="1">
      <c r="O4503" s="387"/>
      <c r="P4503" s="387"/>
      <c r="Q4503" s="387"/>
    </row>
    <row r="4504" spans="15:17" ht="20.100000000000001" customHeight="1">
      <c r="O4504" s="387"/>
      <c r="P4504" s="387"/>
      <c r="Q4504" s="387"/>
    </row>
    <row r="4505" spans="15:17" ht="20.100000000000001" customHeight="1">
      <c r="O4505" s="387"/>
      <c r="P4505" s="387"/>
      <c r="Q4505" s="387"/>
    </row>
    <row r="4506" spans="15:17" ht="20.100000000000001" customHeight="1">
      <c r="O4506" s="387"/>
      <c r="P4506" s="387"/>
      <c r="Q4506" s="387"/>
    </row>
    <row r="4507" spans="15:17" ht="20.100000000000001" customHeight="1">
      <c r="O4507" s="387"/>
      <c r="P4507" s="387"/>
      <c r="Q4507" s="387"/>
    </row>
    <row r="4508" spans="15:17" ht="20.100000000000001" customHeight="1">
      <c r="O4508" s="387"/>
      <c r="P4508" s="387"/>
      <c r="Q4508" s="387"/>
    </row>
    <row r="4509" spans="15:17" ht="20.100000000000001" customHeight="1">
      <c r="O4509" s="387"/>
      <c r="P4509" s="387"/>
      <c r="Q4509" s="387"/>
    </row>
    <row r="4510" spans="15:17" ht="20.100000000000001" customHeight="1">
      <c r="O4510" s="387"/>
      <c r="P4510" s="387"/>
      <c r="Q4510" s="387"/>
    </row>
    <row r="4511" spans="15:17" ht="20.100000000000001" customHeight="1">
      <c r="O4511" s="387"/>
      <c r="P4511" s="387"/>
      <c r="Q4511" s="387"/>
    </row>
    <row r="4512" spans="15:17" ht="20.100000000000001" customHeight="1">
      <c r="O4512" s="387"/>
      <c r="P4512" s="387"/>
      <c r="Q4512" s="387"/>
    </row>
    <row r="4513" spans="15:17" ht="20.100000000000001" customHeight="1">
      <c r="O4513" s="387"/>
      <c r="P4513" s="387"/>
      <c r="Q4513" s="387"/>
    </row>
    <row r="4514" spans="15:17" ht="20.100000000000001" customHeight="1">
      <c r="O4514" s="387"/>
      <c r="P4514" s="387"/>
      <c r="Q4514" s="387"/>
    </row>
    <row r="4515" spans="15:17" ht="20.100000000000001" customHeight="1">
      <c r="O4515" s="387"/>
      <c r="P4515" s="387"/>
      <c r="Q4515" s="387"/>
    </row>
    <row r="4516" spans="15:17" ht="20.100000000000001" customHeight="1">
      <c r="O4516" s="387"/>
      <c r="P4516" s="387"/>
      <c r="Q4516" s="387"/>
    </row>
    <row r="4517" spans="15:17" ht="20.100000000000001" customHeight="1">
      <c r="O4517" s="387"/>
      <c r="P4517" s="387"/>
      <c r="Q4517" s="387"/>
    </row>
    <row r="4518" spans="15:17" ht="20.100000000000001" customHeight="1">
      <c r="O4518" s="387"/>
      <c r="P4518" s="387"/>
      <c r="Q4518" s="387"/>
    </row>
    <row r="4519" spans="15:17" ht="20.100000000000001" customHeight="1">
      <c r="O4519" s="387"/>
      <c r="P4519" s="387"/>
      <c r="Q4519" s="387"/>
    </row>
    <row r="4520" spans="15:17" ht="20.100000000000001" customHeight="1">
      <c r="O4520" s="387"/>
      <c r="P4520" s="387"/>
      <c r="Q4520" s="387"/>
    </row>
    <row r="4521" spans="15:17" ht="20.100000000000001" customHeight="1">
      <c r="O4521" s="387"/>
      <c r="P4521" s="387"/>
      <c r="Q4521" s="387"/>
    </row>
    <row r="4522" spans="15:17" ht="20.100000000000001" customHeight="1">
      <c r="O4522" s="387"/>
      <c r="P4522" s="387"/>
      <c r="Q4522" s="387"/>
    </row>
    <row r="4523" spans="15:17" ht="20.100000000000001" customHeight="1">
      <c r="O4523" s="387"/>
      <c r="P4523" s="387"/>
      <c r="Q4523" s="387"/>
    </row>
    <row r="4524" spans="15:17" ht="20.100000000000001" customHeight="1">
      <c r="O4524" s="387"/>
      <c r="P4524" s="387"/>
      <c r="Q4524" s="387"/>
    </row>
    <row r="4525" spans="15:17" ht="20.100000000000001" customHeight="1">
      <c r="O4525" s="387"/>
      <c r="P4525" s="387"/>
      <c r="Q4525" s="387"/>
    </row>
    <row r="4526" spans="15:17" ht="20.100000000000001" customHeight="1">
      <c r="O4526" s="387"/>
      <c r="P4526" s="387"/>
      <c r="Q4526" s="387"/>
    </row>
    <row r="4527" spans="15:17" ht="20.100000000000001" customHeight="1">
      <c r="O4527" s="387"/>
      <c r="P4527" s="387"/>
      <c r="Q4527" s="387"/>
    </row>
    <row r="4528" spans="15:17" ht="20.100000000000001" customHeight="1">
      <c r="O4528" s="387"/>
      <c r="P4528" s="387"/>
      <c r="Q4528" s="387"/>
    </row>
    <row r="4529" spans="15:17" ht="20.100000000000001" customHeight="1">
      <c r="O4529" s="387"/>
      <c r="P4529" s="387"/>
      <c r="Q4529" s="387"/>
    </row>
    <row r="4530" spans="15:17" ht="20.100000000000001" customHeight="1">
      <c r="O4530" s="387"/>
      <c r="P4530" s="387"/>
      <c r="Q4530" s="387"/>
    </row>
    <row r="4531" spans="15:17" ht="20.100000000000001" customHeight="1">
      <c r="O4531" s="387"/>
      <c r="P4531" s="387"/>
      <c r="Q4531" s="387"/>
    </row>
    <row r="4532" spans="15:17" ht="20.100000000000001" customHeight="1">
      <c r="O4532" s="387"/>
      <c r="P4532" s="387"/>
      <c r="Q4532" s="387"/>
    </row>
    <row r="4533" spans="15:17" ht="20.100000000000001" customHeight="1">
      <c r="O4533" s="387"/>
      <c r="P4533" s="387"/>
      <c r="Q4533" s="387"/>
    </row>
    <row r="4534" spans="15:17" ht="20.100000000000001" customHeight="1">
      <c r="O4534" s="387"/>
      <c r="P4534" s="387"/>
      <c r="Q4534" s="387"/>
    </row>
    <row r="4535" spans="15:17" ht="20.100000000000001" customHeight="1">
      <c r="O4535" s="387"/>
      <c r="P4535" s="387"/>
      <c r="Q4535" s="387"/>
    </row>
    <row r="4536" spans="15:17" ht="20.100000000000001" customHeight="1">
      <c r="O4536" s="387"/>
      <c r="P4536" s="387"/>
      <c r="Q4536" s="387"/>
    </row>
    <row r="4537" spans="15:17" ht="20.100000000000001" customHeight="1">
      <c r="O4537" s="387"/>
      <c r="P4537" s="387"/>
      <c r="Q4537" s="387"/>
    </row>
    <row r="4538" spans="15:17" ht="20.100000000000001" customHeight="1">
      <c r="O4538" s="387"/>
      <c r="P4538" s="387"/>
      <c r="Q4538" s="387"/>
    </row>
    <row r="4539" spans="15:17" ht="20.100000000000001" customHeight="1">
      <c r="O4539" s="387"/>
      <c r="P4539" s="387"/>
      <c r="Q4539" s="387"/>
    </row>
    <row r="4540" spans="15:17" ht="20.100000000000001" customHeight="1">
      <c r="O4540" s="387"/>
      <c r="P4540" s="387"/>
      <c r="Q4540" s="387"/>
    </row>
    <row r="4541" spans="15:17" ht="20.100000000000001" customHeight="1">
      <c r="O4541" s="387"/>
      <c r="P4541" s="387"/>
      <c r="Q4541" s="387"/>
    </row>
    <row r="4542" spans="15:17" ht="20.100000000000001" customHeight="1">
      <c r="O4542" s="387"/>
      <c r="P4542" s="387"/>
      <c r="Q4542" s="387"/>
    </row>
    <row r="4543" spans="15:17" ht="20.100000000000001" customHeight="1">
      <c r="O4543" s="387"/>
      <c r="P4543" s="387"/>
      <c r="Q4543" s="387"/>
    </row>
    <row r="4544" spans="15:17" ht="20.100000000000001" customHeight="1">
      <c r="O4544" s="387"/>
      <c r="P4544" s="387"/>
      <c r="Q4544" s="387"/>
    </row>
    <row r="4545" spans="15:17" ht="20.100000000000001" customHeight="1">
      <c r="O4545" s="387"/>
      <c r="P4545" s="387"/>
      <c r="Q4545" s="387"/>
    </row>
    <row r="4546" spans="15:17" ht="20.100000000000001" customHeight="1">
      <c r="O4546" s="387"/>
      <c r="P4546" s="387"/>
      <c r="Q4546" s="387"/>
    </row>
    <row r="4547" spans="15:17" ht="20.100000000000001" customHeight="1">
      <c r="O4547" s="387"/>
      <c r="P4547" s="387"/>
      <c r="Q4547" s="387"/>
    </row>
    <row r="4548" spans="15:17" ht="20.100000000000001" customHeight="1">
      <c r="O4548" s="387"/>
      <c r="P4548" s="387"/>
      <c r="Q4548" s="387"/>
    </row>
    <row r="4549" spans="15:17" ht="20.100000000000001" customHeight="1">
      <c r="O4549" s="387"/>
      <c r="P4549" s="387"/>
      <c r="Q4549" s="387"/>
    </row>
    <row r="4550" spans="15:17" ht="20.100000000000001" customHeight="1">
      <c r="O4550" s="387"/>
      <c r="P4550" s="387"/>
      <c r="Q4550" s="387"/>
    </row>
    <row r="4551" spans="15:17" ht="20.100000000000001" customHeight="1">
      <c r="O4551" s="387"/>
      <c r="P4551" s="387"/>
      <c r="Q4551" s="387"/>
    </row>
    <row r="4552" spans="15:17" ht="20.100000000000001" customHeight="1">
      <c r="O4552" s="387"/>
      <c r="P4552" s="387"/>
      <c r="Q4552" s="387"/>
    </row>
    <row r="4553" spans="15:17" ht="20.100000000000001" customHeight="1">
      <c r="O4553" s="387"/>
      <c r="P4553" s="387"/>
      <c r="Q4553" s="387"/>
    </row>
    <row r="4554" spans="15:17" ht="20.100000000000001" customHeight="1">
      <c r="O4554" s="387"/>
      <c r="P4554" s="387"/>
      <c r="Q4554" s="387"/>
    </row>
    <row r="4555" spans="15:17" ht="20.100000000000001" customHeight="1">
      <c r="O4555" s="387"/>
      <c r="P4555" s="387"/>
      <c r="Q4555" s="387"/>
    </row>
    <row r="4556" spans="15:17" ht="20.100000000000001" customHeight="1">
      <c r="O4556" s="387"/>
      <c r="P4556" s="387"/>
      <c r="Q4556" s="387"/>
    </row>
    <row r="4557" spans="15:17" ht="20.100000000000001" customHeight="1">
      <c r="O4557" s="387"/>
      <c r="P4557" s="387"/>
      <c r="Q4557" s="387"/>
    </row>
    <row r="4558" spans="15:17" ht="20.100000000000001" customHeight="1">
      <c r="O4558" s="387"/>
      <c r="P4558" s="387"/>
      <c r="Q4558" s="387"/>
    </row>
    <row r="4559" spans="15:17" ht="20.100000000000001" customHeight="1">
      <c r="O4559" s="387"/>
      <c r="P4559" s="387"/>
      <c r="Q4559" s="387"/>
    </row>
    <row r="4560" spans="15:17" ht="20.100000000000001" customHeight="1">
      <c r="O4560" s="387"/>
      <c r="P4560" s="387"/>
      <c r="Q4560" s="387"/>
    </row>
    <row r="4561" spans="15:17" ht="20.100000000000001" customHeight="1">
      <c r="O4561" s="387"/>
      <c r="P4561" s="387"/>
      <c r="Q4561" s="387"/>
    </row>
    <row r="4562" spans="15:17" ht="20.100000000000001" customHeight="1">
      <c r="O4562" s="387"/>
      <c r="P4562" s="387"/>
      <c r="Q4562" s="387"/>
    </row>
    <row r="4563" spans="15:17" ht="20.100000000000001" customHeight="1">
      <c r="O4563" s="387"/>
      <c r="P4563" s="387"/>
      <c r="Q4563" s="387"/>
    </row>
    <row r="4564" spans="15:17" ht="20.100000000000001" customHeight="1">
      <c r="O4564" s="387"/>
      <c r="P4564" s="387"/>
      <c r="Q4564" s="387"/>
    </row>
    <row r="4565" spans="15:17" ht="20.100000000000001" customHeight="1">
      <c r="O4565" s="387"/>
      <c r="P4565" s="387"/>
      <c r="Q4565" s="387"/>
    </row>
    <row r="4566" spans="15:17" ht="20.100000000000001" customHeight="1">
      <c r="O4566" s="387"/>
      <c r="P4566" s="387"/>
      <c r="Q4566" s="387"/>
    </row>
    <row r="4567" spans="15:17" ht="20.100000000000001" customHeight="1">
      <c r="O4567" s="387"/>
      <c r="P4567" s="387"/>
      <c r="Q4567" s="387"/>
    </row>
    <row r="4568" spans="15:17" ht="20.100000000000001" customHeight="1">
      <c r="O4568" s="387"/>
      <c r="P4568" s="387"/>
      <c r="Q4568" s="387"/>
    </row>
    <row r="4569" spans="15:17" ht="20.100000000000001" customHeight="1">
      <c r="O4569" s="387"/>
      <c r="P4569" s="387"/>
      <c r="Q4569" s="387"/>
    </row>
    <row r="4570" spans="15:17" ht="20.100000000000001" customHeight="1">
      <c r="O4570" s="387"/>
      <c r="P4570" s="387"/>
      <c r="Q4570" s="387"/>
    </row>
    <row r="4571" spans="15:17" ht="20.100000000000001" customHeight="1">
      <c r="O4571" s="387"/>
      <c r="P4571" s="387"/>
      <c r="Q4571" s="387"/>
    </row>
    <row r="4572" spans="15:17" ht="20.100000000000001" customHeight="1">
      <c r="O4572" s="387"/>
      <c r="P4572" s="387"/>
      <c r="Q4572" s="387"/>
    </row>
    <row r="4573" spans="15:17" ht="20.100000000000001" customHeight="1">
      <c r="O4573" s="387"/>
      <c r="P4573" s="387"/>
      <c r="Q4573" s="387"/>
    </row>
    <row r="4574" spans="15:17" ht="20.100000000000001" customHeight="1">
      <c r="O4574" s="387"/>
      <c r="P4574" s="387"/>
      <c r="Q4574" s="387"/>
    </row>
    <row r="4575" spans="15:17" ht="20.100000000000001" customHeight="1">
      <c r="O4575" s="387"/>
      <c r="P4575" s="387"/>
      <c r="Q4575" s="387"/>
    </row>
    <row r="4576" spans="15:17" ht="20.100000000000001" customHeight="1">
      <c r="O4576" s="387"/>
      <c r="P4576" s="387"/>
      <c r="Q4576" s="387"/>
    </row>
    <row r="4577" spans="15:17" ht="20.100000000000001" customHeight="1">
      <c r="O4577" s="387"/>
      <c r="P4577" s="387"/>
      <c r="Q4577" s="387"/>
    </row>
    <row r="4578" spans="15:17" ht="20.100000000000001" customHeight="1">
      <c r="O4578" s="387"/>
      <c r="P4578" s="387"/>
      <c r="Q4578" s="387"/>
    </row>
    <row r="4579" spans="15:17" ht="20.100000000000001" customHeight="1">
      <c r="O4579" s="387"/>
      <c r="P4579" s="387"/>
      <c r="Q4579" s="387"/>
    </row>
    <row r="4580" spans="15:17" ht="20.100000000000001" customHeight="1">
      <c r="O4580" s="387"/>
      <c r="P4580" s="387"/>
      <c r="Q4580" s="387"/>
    </row>
    <row r="4581" spans="15:17" ht="20.100000000000001" customHeight="1">
      <c r="O4581" s="387"/>
      <c r="P4581" s="387"/>
      <c r="Q4581" s="387"/>
    </row>
    <row r="4582" spans="15:17" ht="20.100000000000001" customHeight="1">
      <c r="O4582" s="387"/>
      <c r="P4582" s="387"/>
      <c r="Q4582" s="387"/>
    </row>
    <row r="4583" spans="15:17" ht="20.100000000000001" customHeight="1">
      <c r="O4583" s="387"/>
      <c r="P4583" s="387"/>
      <c r="Q4583" s="387"/>
    </row>
    <row r="4584" spans="15:17" ht="20.100000000000001" customHeight="1">
      <c r="O4584" s="387"/>
      <c r="P4584" s="387"/>
      <c r="Q4584" s="387"/>
    </row>
    <row r="4585" spans="15:17" ht="20.100000000000001" customHeight="1">
      <c r="O4585" s="387"/>
      <c r="P4585" s="387"/>
      <c r="Q4585" s="387"/>
    </row>
    <row r="4586" spans="15:17" ht="20.100000000000001" customHeight="1">
      <c r="O4586" s="387"/>
      <c r="P4586" s="387"/>
      <c r="Q4586" s="387"/>
    </row>
    <row r="4587" spans="15:17" ht="20.100000000000001" customHeight="1">
      <c r="O4587" s="387"/>
      <c r="P4587" s="387"/>
      <c r="Q4587" s="387"/>
    </row>
    <row r="4588" spans="15:17" ht="20.100000000000001" customHeight="1">
      <c r="O4588" s="387"/>
      <c r="P4588" s="387"/>
      <c r="Q4588" s="387"/>
    </row>
    <row r="4589" spans="15:17" ht="20.100000000000001" customHeight="1">
      <c r="O4589" s="387"/>
      <c r="P4589" s="387"/>
      <c r="Q4589" s="387"/>
    </row>
    <row r="4590" spans="15:17" ht="20.100000000000001" customHeight="1">
      <c r="O4590" s="387"/>
      <c r="P4590" s="387"/>
      <c r="Q4590" s="387"/>
    </row>
    <row r="4591" spans="15:17" ht="20.100000000000001" customHeight="1">
      <c r="O4591" s="387"/>
      <c r="P4591" s="387"/>
      <c r="Q4591" s="387"/>
    </row>
    <row r="4592" spans="15:17" ht="20.100000000000001" customHeight="1">
      <c r="O4592" s="387"/>
      <c r="P4592" s="387"/>
      <c r="Q4592" s="387"/>
    </row>
    <row r="4593" spans="15:17" ht="20.100000000000001" customHeight="1">
      <c r="O4593" s="387"/>
      <c r="P4593" s="387"/>
      <c r="Q4593" s="387"/>
    </row>
    <row r="4594" spans="15:17" ht="20.100000000000001" customHeight="1">
      <c r="O4594" s="387"/>
      <c r="P4594" s="387"/>
      <c r="Q4594" s="387"/>
    </row>
    <row r="4595" spans="15:17" ht="20.100000000000001" customHeight="1">
      <c r="O4595" s="387"/>
      <c r="P4595" s="387"/>
      <c r="Q4595" s="387"/>
    </row>
    <row r="4596" spans="15:17" ht="20.100000000000001" customHeight="1">
      <c r="O4596" s="387"/>
      <c r="P4596" s="387"/>
      <c r="Q4596" s="387"/>
    </row>
    <row r="4597" spans="15:17" ht="20.100000000000001" customHeight="1">
      <c r="O4597" s="387"/>
      <c r="P4597" s="387"/>
      <c r="Q4597" s="387"/>
    </row>
    <row r="4598" spans="15:17" ht="20.100000000000001" customHeight="1">
      <c r="O4598" s="387"/>
      <c r="P4598" s="387"/>
      <c r="Q4598" s="387"/>
    </row>
    <row r="4599" spans="15:17" ht="20.100000000000001" customHeight="1">
      <c r="O4599" s="387"/>
      <c r="P4599" s="387"/>
      <c r="Q4599" s="387"/>
    </row>
    <row r="4600" spans="15:17" ht="20.100000000000001" customHeight="1">
      <c r="O4600" s="387"/>
      <c r="P4600" s="387"/>
      <c r="Q4600" s="387"/>
    </row>
    <row r="4601" spans="15:17" ht="20.100000000000001" customHeight="1">
      <c r="O4601" s="387"/>
      <c r="P4601" s="387"/>
      <c r="Q4601" s="387"/>
    </row>
    <row r="4602" spans="15:17" ht="20.100000000000001" customHeight="1">
      <c r="O4602" s="387"/>
      <c r="P4602" s="387"/>
      <c r="Q4602" s="387"/>
    </row>
    <row r="4603" spans="15:17" ht="20.100000000000001" customHeight="1">
      <c r="O4603" s="387"/>
      <c r="P4603" s="387"/>
      <c r="Q4603" s="387"/>
    </row>
    <row r="4604" spans="15:17" ht="20.100000000000001" customHeight="1">
      <c r="O4604" s="387"/>
      <c r="P4604" s="387"/>
      <c r="Q4604" s="387"/>
    </row>
    <row r="4605" spans="15:17" ht="20.100000000000001" customHeight="1">
      <c r="O4605" s="387"/>
      <c r="P4605" s="387"/>
      <c r="Q4605" s="387"/>
    </row>
    <row r="4606" spans="15:17" ht="20.100000000000001" customHeight="1">
      <c r="O4606" s="387"/>
      <c r="P4606" s="387"/>
      <c r="Q4606" s="387"/>
    </row>
    <row r="4607" spans="15:17" ht="20.100000000000001" customHeight="1">
      <c r="O4607" s="387"/>
      <c r="P4607" s="387"/>
      <c r="Q4607" s="387"/>
    </row>
    <row r="4608" spans="15:17" ht="20.100000000000001" customHeight="1">
      <c r="O4608" s="387"/>
      <c r="P4608" s="387"/>
      <c r="Q4608" s="387"/>
    </row>
    <row r="4609" spans="15:17" ht="20.100000000000001" customHeight="1">
      <c r="O4609" s="387"/>
      <c r="P4609" s="387"/>
      <c r="Q4609" s="387"/>
    </row>
    <row r="4610" spans="15:17" ht="20.100000000000001" customHeight="1">
      <c r="O4610" s="387"/>
      <c r="P4610" s="387"/>
      <c r="Q4610" s="387"/>
    </row>
    <row r="4611" spans="15:17" ht="20.100000000000001" customHeight="1">
      <c r="O4611" s="387"/>
      <c r="P4611" s="387"/>
      <c r="Q4611" s="387"/>
    </row>
    <row r="4612" spans="15:17" ht="20.100000000000001" customHeight="1">
      <c r="O4612" s="387"/>
      <c r="P4612" s="387"/>
      <c r="Q4612" s="387"/>
    </row>
    <row r="4613" spans="15:17" ht="20.100000000000001" customHeight="1">
      <c r="O4613" s="387"/>
      <c r="P4613" s="387"/>
      <c r="Q4613" s="387"/>
    </row>
    <row r="4614" spans="15:17" ht="20.100000000000001" customHeight="1">
      <c r="O4614" s="387"/>
      <c r="P4614" s="387"/>
      <c r="Q4614" s="387"/>
    </row>
    <row r="4615" spans="15:17" ht="20.100000000000001" customHeight="1">
      <c r="O4615" s="387"/>
      <c r="P4615" s="387"/>
      <c r="Q4615" s="387"/>
    </row>
    <row r="4616" spans="15:17" ht="20.100000000000001" customHeight="1">
      <c r="O4616" s="387"/>
      <c r="P4616" s="387"/>
      <c r="Q4616" s="387"/>
    </row>
    <row r="4617" spans="15:17" ht="20.100000000000001" customHeight="1">
      <c r="O4617" s="387"/>
      <c r="P4617" s="387"/>
      <c r="Q4617" s="387"/>
    </row>
    <row r="4618" spans="15:17" ht="20.100000000000001" customHeight="1">
      <c r="O4618" s="387"/>
      <c r="P4618" s="387"/>
      <c r="Q4618" s="387"/>
    </row>
    <row r="4619" spans="15:17" ht="20.100000000000001" customHeight="1">
      <c r="O4619" s="387"/>
      <c r="P4619" s="387"/>
      <c r="Q4619" s="387"/>
    </row>
    <row r="4620" spans="15:17" ht="20.100000000000001" customHeight="1">
      <c r="O4620" s="387"/>
      <c r="P4620" s="387"/>
      <c r="Q4620" s="387"/>
    </row>
    <row r="4621" spans="15:17" ht="20.100000000000001" customHeight="1">
      <c r="O4621" s="387"/>
      <c r="P4621" s="387"/>
      <c r="Q4621" s="387"/>
    </row>
    <row r="4622" spans="15:17" ht="20.100000000000001" customHeight="1">
      <c r="O4622" s="387"/>
      <c r="P4622" s="387"/>
      <c r="Q4622" s="387"/>
    </row>
    <row r="4623" spans="15:17" ht="20.100000000000001" customHeight="1">
      <c r="O4623" s="387"/>
      <c r="P4623" s="387"/>
      <c r="Q4623" s="387"/>
    </row>
    <row r="4624" spans="15:17" ht="20.100000000000001" customHeight="1">
      <c r="O4624" s="387"/>
      <c r="P4624" s="387"/>
      <c r="Q4624" s="387"/>
    </row>
    <row r="4625" spans="15:17" ht="20.100000000000001" customHeight="1">
      <c r="O4625" s="387"/>
      <c r="P4625" s="387"/>
      <c r="Q4625" s="387"/>
    </row>
    <row r="4626" spans="15:17" ht="20.100000000000001" customHeight="1">
      <c r="O4626" s="387"/>
      <c r="P4626" s="387"/>
      <c r="Q4626" s="387"/>
    </row>
    <row r="4627" spans="15:17" ht="20.100000000000001" customHeight="1">
      <c r="O4627" s="387"/>
      <c r="P4627" s="387"/>
      <c r="Q4627" s="387"/>
    </row>
    <row r="4628" spans="15:17" ht="20.100000000000001" customHeight="1">
      <c r="O4628" s="387"/>
      <c r="P4628" s="387"/>
      <c r="Q4628" s="387"/>
    </row>
    <row r="4629" spans="15:17" ht="20.100000000000001" customHeight="1">
      <c r="O4629" s="387"/>
      <c r="P4629" s="387"/>
      <c r="Q4629" s="387"/>
    </row>
    <row r="4630" spans="15:17" ht="20.100000000000001" customHeight="1">
      <c r="O4630" s="387"/>
      <c r="P4630" s="387"/>
      <c r="Q4630" s="387"/>
    </row>
    <row r="4631" spans="15:17" ht="20.100000000000001" customHeight="1">
      <c r="O4631" s="387"/>
      <c r="P4631" s="387"/>
      <c r="Q4631" s="387"/>
    </row>
    <row r="4632" spans="15:17" ht="20.100000000000001" customHeight="1">
      <c r="O4632" s="387"/>
      <c r="P4632" s="387"/>
      <c r="Q4632" s="387"/>
    </row>
    <row r="4633" spans="15:17" ht="20.100000000000001" customHeight="1">
      <c r="O4633" s="387"/>
      <c r="P4633" s="387"/>
      <c r="Q4633" s="387"/>
    </row>
    <row r="4634" spans="15:17" ht="20.100000000000001" customHeight="1">
      <c r="O4634" s="387"/>
      <c r="P4634" s="387"/>
      <c r="Q4634" s="387"/>
    </row>
    <row r="4635" spans="15:17" ht="20.100000000000001" customHeight="1">
      <c r="O4635" s="387"/>
      <c r="P4635" s="387"/>
      <c r="Q4635" s="387"/>
    </row>
    <row r="4636" spans="15:17" ht="20.100000000000001" customHeight="1">
      <c r="O4636" s="387"/>
      <c r="P4636" s="387"/>
      <c r="Q4636" s="387"/>
    </row>
    <row r="4637" spans="15:17" ht="20.100000000000001" customHeight="1">
      <c r="O4637" s="387"/>
      <c r="P4637" s="387"/>
      <c r="Q4637" s="387"/>
    </row>
    <row r="4638" spans="15:17" ht="20.100000000000001" customHeight="1">
      <c r="O4638" s="387"/>
      <c r="P4638" s="387"/>
      <c r="Q4638" s="387"/>
    </row>
    <row r="4639" spans="15:17" ht="20.100000000000001" customHeight="1">
      <c r="O4639" s="387"/>
      <c r="P4639" s="387"/>
      <c r="Q4639" s="387"/>
    </row>
    <row r="4640" spans="15:17" ht="20.100000000000001" customHeight="1">
      <c r="O4640" s="387"/>
      <c r="P4640" s="387"/>
      <c r="Q4640" s="387"/>
    </row>
    <row r="4641" spans="15:17" ht="20.100000000000001" customHeight="1">
      <c r="O4641" s="387"/>
      <c r="P4641" s="387"/>
      <c r="Q4641" s="387"/>
    </row>
    <row r="4642" spans="15:17" ht="20.100000000000001" customHeight="1">
      <c r="O4642" s="387"/>
      <c r="P4642" s="387"/>
      <c r="Q4642" s="387"/>
    </row>
    <row r="4643" spans="15:17" ht="20.100000000000001" customHeight="1">
      <c r="O4643" s="387"/>
      <c r="P4643" s="387"/>
      <c r="Q4643" s="387"/>
    </row>
    <row r="4644" spans="15:17" ht="20.100000000000001" customHeight="1">
      <c r="O4644" s="387"/>
      <c r="P4644" s="387"/>
      <c r="Q4644" s="387"/>
    </row>
    <row r="4645" spans="15:17" ht="20.100000000000001" customHeight="1">
      <c r="O4645" s="387"/>
      <c r="P4645" s="387"/>
      <c r="Q4645" s="387"/>
    </row>
    <row r="4646" spans="15:17" ht="20.100000000000001" customHeight="1">
      <c r="O4646" s="387"/>
      <c r="P4646" s="387"/>
      <c r="Q4646" s="387"/>
    </row>
    <row r="4647" spans="15:17" ht="20.100000000000001" customHeight="1">
      <c r="O4647" s="387"/>
      <c r="P4647" s="387"/>
      <c r="Q4647" s="387"/>
    </row>
    <row r="4648" spans="15:17" ht="20.100000000000001" customHeight="1">
      <c r="O4648" s="387"/>
      <c r="P4648" s="387"/>
      <c r="Q4648" s="387"/>
    </row>
    <row r="4649" spans="15:17" ht="20.100000000000001" customHeight="1">
      <c r="O4649" s="387"/>
      <c r="P4649" s="387"/>
      <c r="Q4649" s="387"/>
    </row>
    <row r="4650" spans="15:17" ht="20.100000000000001" customHeight="1">
      <c r="O4650" s="387"/>
      <c r="P4650" s="387"/>
      <c r="Q4650" s="387"/>
    </row>
    <row r="4651" spans="15:17" ht="20.100000000000001" customHeight="1">
      <c r="O4651" s="387"/>
      <c r="P4651" s="387"/>
      <c r="Q4651" s="387"/>
    </row>
    <row r="4652" spans="15:17" ht="20.100000000000001" customHeight="1">
      <c r="O4652" s="387"/>
      <c r="P4652" s="387"/>
      <c r="Q4652" s="387"/>
    </row>
    <row r="4653" spans="15:17" ht="20.100000000000001" customHeight="1">
      <c r="O4653" s="387"/>
      <c r="P4653" s="387"/>
      <c r="Q4653" s="387"/>
    </row>
    <row r="4654" spans="15:17" ht="20.100000000000001" customHeight="1">
      <c r="O4654" s="387"/>
      <c r="P4654" s="387"/>
      <c r="Q4654" s="387"/>
    </row>
    <row r="4655" spans="15:17" ht="20.100000000000001" customHeight="1">
      <c r="O4655" s="387"/>
      <c r="P4655" s="387"/>
      <c r="Q4655" s="387"/>
    </row>
    <row r="4656" spans="15:17" ht="20.100000000000001" customHeight="1">
      <c r="O4656" s="387"/>
      <c r="P4656" s="387"/>
      <c r="Q4656" s="387"/>
    </row>
    <row r="4657" spans="15:17" ht="20.100000000000001" customHeight="1">
      <c r="O4657" s="387"/>
      <c r="P4657" s="387"/>
      <c r="Q4657" s="387"/>
    </row>
    <row r="4658" spans="15:17" ht="20.100000000000001" customHeight="1">
      <c r="O4658" s="387"/>
      <c r="P4658" s="387"/>
      <c r="Q4658" s="387"/>
    </row>
    <row r="4659" spans="15:17" ht="20.100000000000001" customHeight="1">
      <c r="O4659" s="387"/>
      <c r="P4659" s="387"/>
      <c r="Q4659" s="387"/>
    </row>
    <row r="4660" spans="15:17" ht="20.100000000000001" customHeight="1">
      <c r="O4660" s="387"/>
      <c r="P4660" s="387"/>
      <c r="Q4660" s="387"/>
    </row>
    <row r="4661" spans="15:17" ht="20.100000000000001" customHeight="1">
      <c r="O4661" s="387"/>
      <c r="P4661" s="387"/>
      <c r="Q4661" s="387"/>
    </row>
    <row r="4662" spans="15:17" ht="20.100000000000001" customHeight="1">
      <c r="O4662" s="387"/>
      <c r="P4662" s="387"/>
      <c r="Q4662" s="387"/>
    </row>
    <row r="4663" spans="15:17" ht="20.100000000000001" customHeight="1">
      <c r="O4663" s="387"/>
      <c r="P4663" s="387"/>
      <c r="Q4663" s="387"/>
    </row>
    <row r="4664" spans="15:17" ht="20.100000000000001" customHeight="1">
      <c r="O4664" s="387"/>
      <c r="P4664" s="387"/>
      <c r="Q4664" s="387"/>
    </row>
    <row r="4665" spans="15:17" ht="20.100000000000001" customHeight="1">
      <c r="O4665" s="387"/>
      <c r="P4665" s="387"/>
      <c r="Q4665" s="387"/>
    </row>
    <row r="4666" spans="15:17" ht="20.100000000000001" customHeight="1">
      <c r="O4666" s="387"/>
      <c r="P4666" s="387"/>
      <c r="Q4666" s="387"/>
    </row>
    <row r="4667" spans="15:17" ht="20.100000000000001" customHeight="1">
      <c r="O4667" s="387"/>
      <c r="P4667" s="387"/>
      <c r="Q4667" s="387"/>
    </row>
    <row r="4668" spans="15:17" ht="20.100000000000001" customHeight="1">
      <c r="O4668" s="387"/>
      <c r="P4668" s="387"/>
      <c r="Q4668" s="387"/>
    </row>
    <row r="4669" spans="15:17" ht="20.100000000000001" customHeight="1">
      <c r="O4669" s="387"/>
      <c r="P4669" s="387"/>
      <c r="Q4669" s="387"/>
    </row>
    <row r="4670" spans="15:17" ht="20.100000000000001" customHeight="1">
      <c r="O4670" s="387"/>
      <c r="P4670" s="387"/>
      <c r="Q4670" s="387"/>
    </row>
    <row r="4671" spans="15:17" ht="20.100000000000001" customHeight="1">
      <c r="O4671" s="387"/>
      <c r="P4671" s="387"/>
      <c r="Q4671" s="387"/>
    </row>
    <row r="4672" spans="15:17" ht="20.100000000000001" customHeight="1">
      <c r="O4672" s="387"/>
      <c r="P4672" s="387"/>
      <c r="Q4672" s="387"/>
    </row>
    <row r="4673" spans="15:17" ht="20.100000000000001" customHeight="1">
      <c r="O4673" s="387"/>
      <c r="P4673" s="387"/>
      <c r="Q4673" s="387"/>
    </row>
    <row r="4674" spans="15:17" ht="20.100000000000001" customHeight="1">
      <c r="O4674" s="387"/>
      <c r="P4674" s="387"/>
      <c r="Q4674" s="387"/>
    </row>
    <row r="4675" spans="15:17" ht="20.100000000000001" customHeight="1">
      <c r="O4675" s="387"/>
      <c r="P4675" s="387"/>
      <c r="Q4675" s="387"/>
    </row>
    <row r="4676" spans="15:17" ht="20.100000000000001" customHeight="1">
      <c r="O4676" s="387"/>
      <c r="P4676" s="387"/>
      <c r="Q4676" s="387"/>
    </row>
    <row r="4677" spans="15:17" ht="20.100000000000001" customHeight="1">
      <c r="O4677" s="387"/>
      <c r="P4677" s="387"/>
      <c r="Q4677" s="387"/>
    </row>
    <row r="4678" spans="15:17" ht="20.100000000000001" customHeight="1">
      <c r="O4678" s="387"/>
      <c r="P4678" s="387"/>
      <c r="Q4678" s="387"/>
    </row>
    <row r="4679" spans="15:17" ht="20.100000000000001" customHeight="1">
      <c r="O4679" s="387"/>
      <c r="P4679" s="387"/>
      <c r="Q4679" s="387"/>
    </row>
    <row r="4680" spans="15:17" ht="20.100000000000001" customHeight="1">
      <c r="O4680" s="387"/>
      <c r="P4680" s="387"/>
      <c r="Q4680" s="387"/>
    </row>
    <row r="4681" spans="15:17" ht="20.100000000000001" customHeight="1">
      <c r="O4681" s="387"/>
      <c r="P4681" s="387"/>
      <c r="Q4681" s="387"/>
    </row>
    <row r="4682" spans="15:17" ht="20.100000000000001" customHeight="1">
      <c r="O4682" s="387"/>
      <c r="P4682" s="387"/>
      <c r="Q4682" s="387"/>
    </row>
    <row r="4683" spans="15:17" ht="20.100000000000001" customHeight="1">
      <c r="O4683" s="387"/>
      <c r="P4683" s="387"/>
      <c r="Q4683" s="387"/>
    </row>
    <row r="4684" spans="15:17" ht="20.100000000000001" customHeight="1">
      <c r="O4684" s="387"/>
      <c r="P4684" s="387"/>
      <c r="Q4684" s="387"/>
    </row>
    <row r="4685" spans="15:17" ht="20.100000000000001" customHeight="1">
      <c r="O4685" s="387"/>
      <c r="P4685" s="387"/>
      <c r="Q4685" s="387"/>
    </row>
    <row r="4686" spans="15:17" ht="20.100000000000001" customHeight="1">
      <c r="O4686" s="387"/>
      <c r="P4686" s="387"/>
      <c r="Q4686" s="387"/>
    </row>
    <row r="4687" spans="15:17" ht="20.100000000000001" customHeight="1">
      <c r="O4687" s="387"/>
      <c r="P4687" s="387"/>
      <c r="Q4687" s="387"/>
    </row>
    <row r="4688" spans="15:17" ht="20.100000000000001" customHeight="1">
      <c r="O4688" s="387"/>
      <c r="P4688" s="387"/>
      <c r="Q4688" s="387"/>
    </row>
    <row r="4689" spans="15:17" ht="20.100000000000001" customHeight="1">
      <c r="O4689" s="387"/>
      <c r="P4689" s="387"/>
      <c r="Q4689" s="387"/>
    </row>
    <row r="4690" spans="15:17" ht="20.100000000000001" customHeight="1">
      <c r="O4690" s="387"/>
      <c r="P4690" s="387"/>
      <c r="Q4690" s="387"/>
    </row>
    <row r="4691" spans="15:17" ht="20.100000000000001" customHeight="1">
      <c r="O4691" s="387"/>
      <c r="P4691" s="387"/>
      <c r="Q4691" s="387"/>
    </row>
    <row r="4692" spans="15:17" ht="20.100000000000001" customHeight="1">
      <c r="O4692" s="387"/>
      <c r="P4692" s="387"/>
      <c r="Q4692" s="387"/>
    </row>
    <row r="4693" spans="15:17" ht="20.100000000000001" customHeight="1">
      <c r="O4693" s="387"/>
      <c r="P4693" s="387"/>
      <c r="Q4693" s="387"/>
    </row>
    <row r="4694" spans="15:17" ht="20.100000000000001" customHeight="1">
      <c r="O4694" s="387"/>
      <c r="P4694" s="387"/>
      <c r="Q4694" s="387"/>
    </row>
    <row r="4695" spans="15:17" ht="20.100000000000001" customHeight="1">
      <c r="O4695" s="387"/>
      <c r="P4695" s="387"/>
      <c r="Q4695" s="387"/>
    </row>
    <row r="4696" spans="15:17" ht="20.100000000000001" customHeight="1">
      <c r="O4696" s="387"/>
      <c r="P4696" s="387"/>
      <c r="Q4696" s="387"/>
    </row>
    <row r="4697" spans="15:17" ht="20.100000000000001" customHeight="1">
      <c r="O4697" s="387"/>
      <c r="P4697" s="387"/>
      <c r="Q4697" s="387"/>
    </row>
    <row r="4698" spans="15:17" ht="20.100000000000001" customHeight="1">
      <c r="O4698" s="387"/>
      <c r="P4698" s="387"/>
      <c r="Q4698" s="387"/>
    </row>
    <row r="4699" spans="15:17" ht="20.100000000000001" customHeight="1">
      <c r="O4699" s="387"/>
      <c r="P4699" s="387"/>
      <c r="Q4699" s="387"/>
    </row>
    <row r="4700" spans="15:17" ht="20.100000000000001" customHeight="1">
      <c r="O4700" s="387"/>
      <c r="P4700" s="387"/>
      <c r="Q4700" s="387"/>
    </row>
    <row r="4701" spans="15:17" ht="20.100000000000001" customHeight="1">
      <c r="O4701" s="387"/>
      <c r="P4701" s="387"/>
      <c r="Q4701" s="387"/>
    </row>
    <row r="4702" spans="15:17" ht="20.100000000000001" customHeight="1">
      <c r="O4702" s="387"/>
      <c r="P4702" s="387"/>
      <c r="Q4702" s="387"/>
    </row>
    <row r="4703" spans="15:17" ht="20.100000000000001" customHeight="1">
      <c r="O4703" s="387"/>
      <c r="P4703" s="387"/>
      <c r="Q4703" s="387"/>
    </row>
    <row r="4704" spans="15:17" ht="20.100000000000001" customHeight="1">
      <c r="O4704" s="387"/>
      <c r="P4704" s="387"/>
      <c r="Q4704" s="387"/>
    </row>
    <row r="4705" spans="15:17" ht="20.100000000000001" customHeight="1">
      <c r="O4705" s="387"/>
      <c r="P4705" s="387"/>
      <c r="Q4705" s="387"/>
    </row>
    <row r="4706" spans="15:17" ht="20.100000000000001" customHeight="1">
      <c r="O4706" s="387"/>
      <c r="P4706" s="387"/>
      <c r="Q4706" s="387"/>
    </row>
    <row r="4707" spans="15:17" ht="20.100000000000001" customHeight="1">
      <c r="O4707" s="387"/>
      <c r="P4707" s="387"/>
      <c r="Q4707" s="387"/>
    </row>
    <row r="4708" spans="15:17" ht="20.100000000000001" customHeight="1">
      <c r="O4708" s="387"/>
      <c r="P4708" s="387"/>
      <c r="Q4708" s="387"/>
    </row>
    <row r="4709" spans="15:17" ht="20.100000000000001" customHeight="1">
      <c r="O4709" s="387"/>
      <c r="P4709" s="387"/>
      <c r="Q4709" s="387"/>
    </row>
    <row r="4710" spans="15:17" ht="20.100000000000001" customHeight="1">
      <c r="O4710" s="387"/>
      <c r="P4710" s="387"/>
      <c r="Q4710" s="387"/>
    </row>
    <row r="4711" spans="15:17" ht="20.100000000000001" customHeight="1">
      <c r="O4711" s="387"/>
      <c r="P4711" s="387"/>
      <c r="Q4711" s="387"/>
    </row>
    <row r="4712" spans="15:17" ht="20.100000000000001" customHeight="1">
      <c r="O4712" s="387"/>
      <c r="P4712" s="387"/>
      <c r="Q4712" s="387"/>
    </row>
    <row r="4713" spans="15:17" ht="20.100000000000001" customHeight="1">
      <c r="O4713" s="387"/>
      <c r="P4713" s="387"/>
      <c r="Q4713" s="387"/>
    </row>
    <row r="4714" spans="15:17" ht="20.100000000000001" customHeight="1">
      <c r="O4714" s="387"/>
      <c r="P4714" s="387"/>
      <c r="Q4714" s="387"/>
    </row>
    <row r="4715" spans="15:17" ht="20.100000000000001" customHeight="1">
      <c r="O4715" s="387"/>
      <c r="P4715" s="387"/>
      <c r="Q4715" s="387"/>
    </row>
    <row r="4716" spans="15:17" ht="20.100000000000001" customHeight="1">
      <c r="O4716" s="387"/>
      <c r="P4716" s="387"/>
      <c r="Q4716" s="387"/>
    </row>
    <row r="4717" spans="15:17" ht="20.100000000000001" customHeight="1">
      <c r="O4717" s="387"/>
      <c r="P4717" s="387"/>
      <c r="Q4717" s="387"/>
    </row>
    <row r="4718" spans="15:17" ht="20.100000000000001" customHeight="1">
      <c r="O4718" s="387"/>
      <c r="P4718" s="387"/>
      <c r="Q4718" s="387"/>
    </row>
    <row r="4719" spans="15:17" ht="20.100000000000001" customHeight="1">
      <c r="O4719" s="387"/>
      <c r="P4719" s="387"/>
      <c r="Q4719" s="387"/>
    </row>
    <row r="4720" spans="15:17" ht="20.100000000000001" customHeight="1">
      <c r="O4720" s="387"/>
      <c r="P4720" s="387"/>
      <c r="Q4720" s="387"/>
    </row>
    <row r="4721" spans="15:17" ht="20.100000000000001" customHeight="1">
      <c r="O4721" s="387"/>
      <c r="P4721" s="387"/>
      <c r="Q4721" s="387"/>
    </row>
    <row r="4722" spans="15:17" ht="20.100000000000001" customHeight="1">
      <c r="O4722" s="387"/>
      <c r="P4722" s="387"/>
      <c r="Q4722" s="387"/>
    </row>
    <row r="4723" spans="15:17" ht="20.100000000000001" customHeight="1">
      <c r="O4723" s="387"/>
      <c r="P4723" s="387"/>
      <c r="Q4723" s="387"/>
    </row>
    <row r="4724" spans="15:17" ht="20.100000000000001" customHeight="1">
      <c r="O4724" s="387"/>
      <c r="P4724" s="387"/>
      <c r="Q4724" s="387"/>
    </row>
    <row r="4725" spans="15:17" ht="20.100000000000001" customHeight="1">
      <c r="O4725" s="387"/>
      <c r="P4725" s="387"/>
      <c r="Q4725" s="387"/>
    </row>
    <row r="4726" spans="15:17" ht="20.100000000000001" customHeight="1">
      <c r="O4726" s="387"/>
      <c r="P4726" s="387"/>
      <c r="Q4726" s="387"/>
    </row>
    <row r="4727" spans="15:17" ht="20.100000000000001" customHeight="1">
      <c r="O4727" s="387"/>
      <c r="P4727" s="387"/>
      <c r="Q4727" s="387"/>
    </row>
    <row r="4728" spans="15:17" ht="20.100000000000001" customHeight="1">
      <c r="O4728" s="387"/>
      <c r="P4728" s="387"/>
      <c r="Q4728" s="387"/>
    </row>
    <row r="4729" spans="15:17" ht="20.100000000000001" customHeight="1">
      <c r="O4729" s="387"/>
      <c r="P4729" s="387"/>
      <c r="Q4729" s="387"/>
    </row>
    <row r="4730" spans="15:17" ht="20.100000000000001" customHeight="1">
      <c r="O4730" s="387"/>
      <c r="P4730" s="387"/>
      <c r="Q4730" s="387"/>
    </row>
    <row r="4731" spans="15:17" ht="20.100000000000001" customHeight="1">
      <c r="O4731" s="387"/>
      <c r="P4731" s="387"/>
      <c r="Q4731" s="387"/>
    </row>
    <row r="4732" spans="15:17" ht="20.100000000000001" customHeight="1">
      <c r="O4732" s="387"/>
      <c r="P4732" s="387"/>
      <c r="Q4732" s="387"/>
    </row>
    <row r="4733" spans="15:17" ht="20.100000000000001" customHeight="1">
      <c r="O4733" s="387"/>
      <c r="P4733" s="387"/>
      <c r="Q4733" s="387"/>
    </row>
    <row r="4734" spans="15:17" ht="20.100000000000001" customHeight="1">
      <c r="O4734" s="387"/>
      <c r="P4734" s="387"/>
      <c r="Q4734" s="387"/>
    </row>
    <row r="4735" spans="15:17" ht="20.100000000000001" customHeight="1">
      <c r="O4735" s="387"/>
      <c r="P4735" s="387"/>
      <c r="Q4735" s="387"/>
    </row>
    <row r="4736" spans="15:17" ht="20.100000000000001" customHeight="1">
      <c r="O4736" s="387"/>
      <c r="P4736" s="387"/>
      <c r="Q4736" s="387"/>
    </row>
    <row r="4737" spans="15:17" ht="20.100000000000001" customHeight="1">
      <c r="O4737" s="387"/>
      <c r="P4737" s="387"/>
      <c r="Q4737" s="387"/>
    </row>
    <row r="4738" spans="15:17" ht="20.100000000000001" customHeight="1">
      <c r="O4738" s="387"/>
      <c r="P4738" s="387"/>
      <c r="Q4738" s="387"/>
    </row>
    <row r="4739" spans="15:17" ht="20.100000000000001" customHeight="1">
      <c r="O4739" s="387"/>
      <c r="P4739" s="387"/>
      <c r="Q4739" s="387"/>
    </row>
    <row r="4740" spans="15:17" ht="20.100000000000001" customHeight="1">
      <c r="O4740" s="387"/>
      <c r="P4740" s="387"/>
      <c r="Q4740" s="387"/>
    </row>
    <row r="4741" spans="15:17" ht="20.100000000000001" customHeight="1">
      <c r="O4741" s="387"/>
      <c r="P4741" s="387"/>
      <c r="Q4741" s="387"/>
    </row>
    <row r="4742" spans="15:17" ht="20.100000000000001" customHeight="1">
      <c r="O4742" s="387"/>
      <c r="P4742" s="387"/>
      <c r="Q4742" s="387"/>
    </row>
    <row r="4743" spans="15:17" ht="20.100000000000001" customHeight="1">
      <c r="O4743" s="387"/>
      <c r="P4743" s="387"/>
      <c r="Q4743" s="387"/>
    </row>
    <row r="4744" spans="15:17" ht="20.100000000000001" customHeight="1">
      <c r="O4744" s="387"/>
      <c r="P4744" s="387"/>
      <c r="Q4744" s="387"/>
    </row>
    <row r="4745" spans="15:17" ht="20.100000000000001" customHeight="1">
      <c r="O4745" s="387"/>
      <c r="P4745" s="387"/>
      <c r="Q4745" s="387"/>
    </row>
    <row r="4746" spans="15:17" ht="20.100000000000001" customHeight="1">
      <c r="O4746" s="387"/>
      <c r="P4746" s="387"/>
      <c r="Q4746" s="387"/>
    </row>
    <row r="4747" spans="15:17" ht="20.100000000000001" customHeight="1">
      <c r="O4747" s="387"/>
      <c r="P4747" s="387"/>
      <c r="Q4747" s="387"/>
    </row>
    <row r="4748" spans="15:17" ht="20.100000000000001" customHeight="1">
      <c r="O4748" s="387"/>
      <c r="P4748" s="387"/>
      <c r="Q4748" s="387"/>
    </row>
    <row r="4749" spans="15:17" ht="20.100000000000001" customHeight="1">
      <c r="O4749" s="387"/>
      <c r="P4749" s="387"/>
      <c r="Q4749" s="387"/>
    </row>
    <row r="4750" spans="15:17" ht="20.100000000000001" customHeight="1">
      <c r="O4750" s="387"/>
      <c r="P4750" s="387"/>
      <c r="Q4750" s="387"/>
    </row>
    <row r="4751" spans="15:17" ht="20.100000000000001" customHeight="1">
      <c r="O4751" s="387"/>
      <c r="P4751" s="387"/>
      <c r="Q4751" s="387"/>
    </row>
    <row r="4752" spans="15:17" ht="20.100000000000001" customHeight="1">
      <c r="O4752" s="387"/>
      <c r="P4752" s="387"/>
      <c r="Q4752" s="387"/>
    </row>
    <row r="4753" spans="15:17" ht="20.100000000000001" customHeight="1">
      <c r="O4753" s="387"/>
      <c r="P4753" s="387"/>
      <c r="Q4753" s="387"/>
    </row>
    <row r="4754" spans="15:17" ht="20.100000000000001" customHeight="1">
      <c r="O4754" s="387"/>
      <c r="P4754" s="387"/>
      <c r="Q4754" s="387"/>
    </row>
    <row r="4755" spans="15:17" ht="20.100000000000001" customHeight="1">
      <c r="O4755" s="387"/>
      <c r="P4755" s="387"/>
      <c r="Q4755" s="387"/>
    </row>
    <row r="4756" spans="15:17" ht="20.100000000000001" customHeight="1">
      <c r="O4756" s="387"/>
      <c r="P4756" s="387"/>
      <c r="Q4756" s="387"/>
    </row>
    <row r="4757" spans="15:17" ht="20.100000000000001" customHeight="1">
      <c r="O4757" s="387"/>
      <c r="P4757" s="387"/>
      <c r="Q4757" s="387"/>
    </row>
    <row r="4758" spans="15:17" ht="20.100000000000001" customHeight="1">
      <c r="O4758" s="387"/>
      <c r="P4758" s="387"/>
      <c r="Q4758" s="387"/>
    </row>
    <row r="4759" spans="15:17" ht="20.100000000000001" customHeight="1">
      <c r="O4759" s="387"/>
      <c r="P4759" s="387"/>
      <c r="Q4759" s="387"/>
    </row>
    <row r="4760" spans="15:17" ht="20.100000000000001" customHeight="1">
      <c r="O4760" s="387"/>
      <c r="P4760" s="387"/>
      <c r="Q4760" s="387"/>
    </row>
    <row r="4761" spans="15:17" ht="20.100000000000001" customHeight="1">
      <c r="O4761" s="387"/>
      <c r="P4761" s="387"/>
      <c r="Q4761" s="387"/>
    </row>
    <row r="4762" spans="15:17" ht="20.100000000000001" customHeight="1">
      <c r="O4762" s="387"/>
      <c r="P4762" s="387"/>
      <c r="Q4762" s="387"/>
    </row>
    <row r="4763" spans="15:17" ht="20.100000000000001" customHeight="1">
      <c r="O4763" s="387"/>
      <c r="P4763" s="387"/>
      <c r="Q4763" s="387"/>
    </row>
    <row r="4764" spans="15:17" ht="20.100000000000001" customHeight="1">
      <c r="O4764" s="387"/>
      <c r="P4764" s="387"/>
      <c r="Q4764" s="387"/>
    </row>
    <row r="4765" spans="15:17" ht="20.100000000000001" customHeight="1">
      <c r="O4765" s="387"/>
      <c r="P4765" s="387"/>
      <c r="Q4765" s="387"/>
    </row>
    <row r="4766" spans="15:17" ht="20.100000000000001" customHeight="1">
      <c r="O4766" s="387"/>
      <c r="P4766" s="387"/>
      <c r="Q4766" s="387"/>
    </row>
    <row r="4767" spans="15:17" ht="20.100000000000001" customHeight="1">
      <c r="O4767" s="387"/>
      <c r="P4767" s="387"/>
      <c r="Q4767" s="387"/>
    </row>
    <row r="4768" spans="15:17" ht="20.100000000000001" customHeight="1">
      <c r="O4768" s="387"/>
      <c r="P4768" s="387"/>
      <c r="Q4768" s="387"/>
    </row>
    <row r="4769" spans="15:17" ht="20.100000000000001" customHeight="1">
      <c r="O4769" s="387"/>
      <c r="P4769" s="387"/>
      <c r="Q4769" s="387"/>
    </row>
    <row r="4770" spans="15:17" ht="20.100000000000001" customHeight="1">
      <c r="O4770" s="387"/>
      <c r="P4770" s="387"/>
      <c r="Q4770" s="387"/>
    </row>
    <row r="4771" spans="15:17" ht="20.100000000000001" customHeight="1">
      <c r="O4771" s="387"/>
      <c r="P4771" s="387"/>
      <c r="Q4771" s="387"/>
    </row>
    <row r="4772" spans="15:17" ht="20.100000000000001" customHeight="1">
      <c r="O4772" s="387"/>
      <c r="P4772" s="387"/>
      <c r="Q4772" s="387"/>
    </row>
    <row r="4773" spans="15:17" ht="20.100000000000001" customHeight="1">
      <c r="O4773" s="387"/>
      <c r="P4773" s="387"/>
      <c r="Q4773" s="387"/>
    </row>
    <row r="4774" spans="15:17" ht="20.100000000000001" customHeight="1">
      <c r="O4774" s="387"/>
      <c r="P4774" s="387"/>
      <c r="Q4774" s="387"/>
    </row>
    <row r="4775" spans="15:17" ht="20.100000000000001" customHeight="1">
      <c r="O4775" s="387"/>
      <c r="P4775" s="387"/>
      <c r="Q4775" s="387"/>
    </row>
    <row r="4776" spans="15:17" ht="20.100000000000001" customHeight="1">
      <c r="O4776" s="387"/>
      <c r="P4776" s="387"/>
      <c r="Q4776" s="387"/>
    </row>
    <row r="4777" spans="15:17" ht="20.100000000000001" customHeight="1">
      <c r="O4777" s="387"/>
      <c r="P4777" s="387"/>
      <c r="Q4777" s="387"/>
    </row>
    <row r="4778" spans="15:17" ht="20.100000000000001" customHeight="1">
      <c r="O4778" s="387"/>
      <c r="P4778" s="387"/>
      <c r="Q4778" s="387"/>
    </row>
    <row r="4779" spans="15:17" ht="20.100000000000001" customHeight="1">
      <c r="O4779" s="387"/>
      <c r="P4779" s="387"/>
      <c r="Q4779" s="387"/>
    </row>
    <row r="4780" spans="15:17" ht="20.100000000000001" customHeight="1">
      <c r="O4780" s="387"/>
      <c r="P4780" s="387"/>
      <c r="Q4780" s="387"/>
    </row>
    <row r="4781" spans="15:17" ht="20.100000000000001" customHeight="1">
      <c r="O4781" s="387"/>
      <c r="P4781" s="387"/>
      <c r="Q4781" s="387"/>
    </row>
    <row r="4782" spans="15:17" ht="20.100000000000001" customHeight="1">
      <c r="O4782" s="387"/>
      <c r="P4782" s="387"/>
      <c r="Q4782" s="387"/>
    </row>
    <row r="4783" spans="15:17" ht="20.100000000000001" customHeight="1">
      <c r="O4783" s="387"/>
      <c r="P4783" s="387"/>
      <c r="Q4783" s="387"/>
    </row>
    <row r="4784" spans="15:17" ht="20.100000000000001" customHeight="1">
      <c r="O4784" s="387"/>
      <c r="P4784" s="387"/>
      <c r="Q4784" s="387"/>
    </row>
    <row r="4785" spans="15:17" ht="20.100000000000001" customHeight="1">
      <c r="O4785" s="387"/>
      <c r="P4785" s="387"/>
      <c r="Q4785" s="387"/>
    </row>
    <row r="4786" spans="15:17" ht="20.100000000000001" customHeight="1">
      <c r="O4786" s="387"/>
      <c r="P4786" s="387"/>
      <c r="Q4786" s="387"/>
    </row>
    <row r="4787" spans="15:17" ht="20.100000000000001" customHeight="1">
      <c r="O4787" s="387"/>
      <c r="P4787" s="387"/>
      <c r="Q4787" s="387"/>
    </row>
    <row r="4788" spans="15:17" ht="20.100000000000001" customHeight="1">
      <c r="O4788" s="387"/>
      <c r="P4788" s="387"/>
      <c r="Q4788" s="387"/>
    </row>
    <row r="4789" spans="15:17" ht="20.100000000000001" customHeight="1">
      <c r="O4789" s="387"/>
      <c r="P4789" s="387"/>
      <c r="Q4789" s="387"/>
    </row>
    <row r="4790" spans="15:17" ht="20.100000000000001" customHeight="1">
      <c r="O4790" s="387"/>
      <c r="P4790" s="387"/>
      <c r="Q4790" s="387"/>
    </row>
    <row r="4791" spans="15:17" ht="20.100000000000001" customHeight="1">
      <c r="O4791" s="387"/>
      <c r="P4791" s="387"/>
      <c r="Q4791" s="387"/>
    </row>
    <row r="4792" spans="15:17" ht="20.100000000000001" customHeight="1">
      <c r="O4792" s="387"/>
      <c r="P4792" s="387"/>
      <c r="Q4792" s="387"/>
    </row>
    <row r="4793" spans="15:17" ht="20.100000000000001" customHeight="1">
      <c r="O4793" s="387"/>
      <c r="P4793" s="387"/>
      <c r="Q4793" s="387"/>
    </row>
    <row r="4794" spans="15:17" ht="20.100000000000001" customHeight="1">
      <c r="O4794" s="387"/>
      <c r="P4794" s="387"/>
      <c r="Q4794" s="387"/>
    </row>
    <row r="4795" spans="15:17" ht="20.100000000000001" customHeight="1">
      <c r="O4795" s="387"/>
      <c r="P4795" s="387"/>
      <c r="Q4795" s="387"/>
    </row>
    <row r="4796" spans="15:17" ht="20.100000000000001" customHeight="1">
      <c r="O4796" s="387"/>
      <c r="P4796" s="387"/>
      <c r="Q4796" s="387"/>
    </row>
    <row r="4797" spans="15:17" ht="20.100000000000001" customHeight="1">
      <c r="O4797" s="387"/>
      <c r="P4797" s="387"/>
      <c r="Q4797" s="387"/>
    </row>
    <row r="4798" spans="15:17" ht="20.100000000000001" customHeight="1">
      <c r="O4798" s="387"/>
      <c r="P4798" s="387"/>
      <c r="Q4798" s="387"/>
    </row>
    <row r="4799" spans="15:17" ht="20.100000000000001" customHeight="1">
      <c r="O4799" s="387"/>
      <c r="P4799" s="387"/>
      <c r="Q4799" s="387"/>
    </row>
    <row r="4800" spans="15:17" ht="20.100000000000001" customHeight="1">
      <c r="O4800" s="387"/>
      <c r="P4800" s="387"/>
      <c r="Q4800" s="387"/>
    </row>
    <row r="4801" spans="15:17" ht="20.100000000000001" customHeight="1">
      <c r="O4801" s="387"/>
      <c r="P4801" s="387"/>
      <c r="Q4801" s="387"/>
    </row>
    <row r="4802" spans="15:17" ht="20.100000000000001" customHeight="1">
      <c r="O4802" s="387"/>
      <c r="P4802" s="387"/>
      <c r="Q4802" s="387"/>
    </row>
    <row r="4803" spans="15:17" ht="20.100000000000001" customHeight="1">
      <c r="O4803" s="387"/>
      <c r="P4803" s="387"/>
      <c r="Q4803" s="387"/>
    </row>
    <row r="4804" spans="15:17" ht="20.100000000000001" customHeight="1">
      <c r="O4804" s="387"/>
      <c r="P4804" s="387"/>
      <c r="Q4804" s="387"/>
    </row>
    <row r="4805" spans="15:17" ht="20.100000000000001" customHeight="1">
      <c r="O4805" s="387"/>
      <c r="P4805" s="387"/>
      <c r="Q4805" s="387"/>
    </row>
    <row r="4806" spans="15:17" ht="20.100000000000001" customHeight="1">
      <c r="O4806" s="387"/>
      <c r="P4806" s="387"/>
      <c r="Q4806" s="387"/>
    </row>
    <row r="4807" spans="15:17" ht="20.100000000000001" customHeight="1">
      <c r="O4807" s="387"/>
      <c r="P4807" s="387"/>
      <c r="Q4807" s="387"/>
    </row>
    <row r="4808" spans="15:17" ht="20.100000000000001" customHeight="1">
      <c r="O4808" s="387"/>
      <c r="P4808" s="387"/>
      <c r="Q4808" s="387"/>
    </row>
    <row r="4809" spans="15:17" ht="20.100000000000001" customHeight="1">
      <c r="O4809" s="387"/>
      <c r="P4809" s="387"/>
      <c r="Q4809" s="387"/>
    </row>
    <row r="4810" spans="15:17" ht="20.100000000000001" customHeight="1">
      <c r="O4810" s="387"/>
      <c r="P4810" s="387"/>
      <c r="Q4810" s="387"/>
    </row>
    <row r="4811" spans="15:17" ht="20.100000000000001" customHeight="1">
      <c r="O4811" s="387"/>
      <c r="P4811" s="387"/>
      <c r="Q4811" s="387"/>
    </row>
    <row r="4812" spans="15:17" ht="20.100000000000001" customHeight="1">
      <c r="O4812" s="387"/>
      <c r="P4812" s="387"/>
      <c r="Q4812" s="387"/>
    </row>
    <row r="4813" spans="15:17" ht="20.100000000000001" customHeight="1">
      <c r="O4813" s="387"/>
      <c r="P4813" s="387"/>
      <c r="Q4813" s="387"/>
    </row>
    <row r="4814" spans="15:17" ht="20.100000000000001" customHeight="1">
      <c r="O4814" s="387"/>
      <c r="P4814" s="387"/>
      <c r="Q4814" s="387"/>
    </row>
    <row r="4815" spans="15:17" ht="20.100000000000001" customHeight="1">
      <c r="O4815" s="387"/>
      <c r="P4815" s="387"/>
      <c r="Q4815" s="387"/>
    </row>
    <row r="4816" spans="15:17" ht="20.100000000000001" customHeight="1">
      <c r="O4816" s="387"/>
      <c r="P4816" s="387"/>
      <c r="Q4816" s="387"/>
    </row>
    <row r="4817" spans="15:17" ht="20.100000000000001" customHeight="1">
      <c r="O4817" s="387"/>
      <c r="P4817" s="387"/>
      <c r="Q4817" s="387"/>
    </row>
    <row r="4818" spans="15:17" ht="20.100000000000001" customHeight="1">
      <c r="O4818" s="387"/>
      <c r="P4818" s="387"/>
      <c r="Q4818" s="387"/>
    </row>
    <row r="4819" spans="15:17" ht="20.100000000000001" customHeight="1">
      <c r="O4819" s="387"/>
      <c r="P4819" s="387"/>
      <c r="Q4819" s="387"/>
    </row>
    <row r="4820" spans="15:17" ht="20.100000000000001" customHeight="1">
      <c r="O4820" s="387"/>
      <c r="P4820" s="387"/>
      <c r="Q4820" s="387"/>
    </row>
    <row r="4821" spans="15:17" ht="20.100000000000001" customHeight="1">
      <c r="O4821" s="387"/>
      <c r="P4821" s="387"/>
      <c r="Q4821" s="387"/>
    </row>
    <row r="4822" spans="15:17" ht="20.100000000000001" customHeight="1">
      <c r="O4822" s="387"/>
      <c r="P4822" s="387"/>
      <c r="Q4822" s="387"/>
    </row>
    <row r="4823" spans="15:17" ht="20.100000000000001" customHeight="1">
      <c r="O4823" s="387"/>
      <c r="P4823" s="387"/>
      <c r="Q4823" s="387"/>
    </row>
    <row r="4824" spans="15:17" ht="20.100000000000001" customHeight="1">
      <c r="O4824" s="387"/>
      <c r="P4824" s="387"/>
      <c r="Q4824" s="387"/>
    </row>
    <row r="4825" spans="15:17" ht="20.100000000000001" customHeight="1">
      <c r="O4825" s="387"/>
      <c r="P4825" s="387"/>
      <c r="Q4825" s="387"/>
    </row>
    <row r="4826" spans="15:17" ht="20.100000000000001" customHeight="1">
      <c r="O4826" s="387"/>
      <c r="P4826" s="387"/>
      <c r="Q4826" s="387"/>
    </row>
    <row r="4827" spans="15:17" ht="20.100000000000001" customHeight="1">
      <c r="O4827" s="387"/>
      <c r="P4827" s="387"/>
      <c r="Q4827" s="387"/>
    </row>
    <row r="4828" spans="15:17" ht="20.100000000000001" customHeight="1">
      <c r="O4828" s="387"/>
      <c r="P4828" s="387"/>
      <c r="Q4828" s="387"/>
    </row>
    <row r="4829" spans="15:17" ht="20.100000000000001" customHeight="1">
      <c r="O4829" s="387"/>
      <c r="P4829" s="387"/>
      <c r="Q4829" s="387"/>
    </row>
    <row r="4830" spans="15:17" ht="20.100000000000001" customHeight="1">
      <c r="O4830" s="387"/>
      <c r="P4830" s="387"/>
      <c r="Q4830" s="387"/>
    </row>
    <row r="4831" spans="15:17" ht="20.100000000000001" customHeight="1">
      <c r="O4831" s="387"/>
      <c r="P4831" s="387"/>
      <c r="Q4831" s="387"/>
    </row>
    <row r="4832" spans="15:17" ht="20.100000000000001" customHeight="1">
      <c r="O4832" s="387"/>
      <c r="P4832" s="387"/>
      <c r="Q4832" s="387"/>
    </row>
    <row r="4833" spans="15:17" ht="20.100000000000001" customHeight="1">
      <c r="O4833" s="387"/>
      <c r="P4833" s="387"/>
      <c r="Q4833" s="387"/>
    </row>
    <row r="4834" spans="15:17" ht="20.100000000000001" customHeight="1">
      <c r="O4834" s="387"/>
      <c r="P4834" s="387"/>
      <c r="Q4834" s="387"/>
    </row>
    <row r="4835" spans="15:17" ht="20.100000000000001" customHeight="1">
      <c r="O4835" s="387"/>
      <c r="P4835" s="387"/>
      <c r="Q4835" s="387"/>
    </row>
    <row r="4836" spans="15:17" ht="20.100000000000001" customHeight="1">
      <c r="O4836" s="387"/>
      <c r="P4836" s="387"/>
      <c r="Q4836" s="387"/>
    </row>
    <row r="4837" spans="15:17" ht="20.100000000000001" customHeight="1">
      <c r="O4837" s="387"/>
      <c r="P4837" s="387"/>
      <c r="Q4837" s="387"/>
    </row>
    <row r="4838" spans="15:17" ht="20.100000000000001" customHeight="1">
      <c r="O4838" s="387"/>
      <c r="P4838" s="387"/>
      <c r="Q4838" s="387"/>
    </row>
    <row r="4839" spans="15:17" ht="20.100000000000001" customHeight="1">
      <c r="O4839" s="387"/>
      <c r="P4839" s="387"/>
      <c r="Q4839" s="387"/>
    </row>
    <row r="4840" spans="15:17" ht="20.100000000000001" customHeight="1">
      <c r="O4840" s="387"/>
      <c r="P4840" s="387"/>
      <c r="Q4840" s="387"/>
    </row>
    <row r="4841" spans="15:17" ht="20.100000000000001" customHeight="1">
      <c r="O4841" s="387"/>
      <c r="P4841" s="387"/>
      <c r="Q4841" s="387"/>
    </row>
    <row r="4842" spans="15:17" ht="20.100000000000001" customHeight="1">
      <c r="O4842" s="387"/>
      <c r="P4842" s="387"/>
      <c r="Q4842" s="387"/>
    </row>
    <row r="4843" spans="15:17" ht="20.100000000000001" customHeight="1">
      <c r="O4843" s="387"/>
      <c r="P4843" s="387"/>
      <c r="Q4843" s="387"/>
    </row>
    <row r="4844" spans="15:17" ht="20.100000000000001" customHeight="1">
      <c r="O4844" s="387"/>
      <c r="P4844" s="387"/>
      <c r="Q4844" s="387"/>
    </row>
    <row r="4845" spans="15:17" ht="20.100000000000001" customHeight="1">
      <c r="O4845" s="387"/>
      <c r="P4845" s="387"/>
      <c r="Q4845" s="387"/>
    </row>
    <row r="4846" spans="15:17" ht="20.100000000000001" customHeight="1">
      <c r="O4846" s="387"/>
      <c r="P4846" s="387"/>
      <c r="Q4846" s="387"/>
    </row>
    <row r="4847" spans="15:17" ht="20.100000000000001" customHeight="1">
      <c r="O4847" s="387"/>
      <c r="P4847" s="387"/>
      <c r="Q4847" s="387"/>
    </row>
    <row r="4848" spans="15:17" ht="20.100000000000001" customHeight="1">
      <c r="O4848" s="387"/>
      <c r="P4848" s="387"/>
      <c r="Q4848" s="387"/>
    </row>
    <row r="4849" spans="15:17" ht="20.100000000000001" customHeight="1">
      <c r="O4849" s="387"/>
      <c r="P4849" s="387"/>
      <c r="Q4849" s="387"/>
    </row>
    <row r="4850" spans="15:17" ht="20.100000000000001" customHeight="1">
      <c r="O4850" s="387"/>
      <c r="P4850" s="387"/>
      <c r="Q4850" s="387"/>
    </row>
    <row r="4851" spans="15:17" ht="20.100000000000001" customHeight="1">
      <c r="O4851" s="387"/>
      <c r="P4851" s="387"/>
      <c r="Q4851" s="387"/>
    </row>
    <row r="4852" spans="15:17" ht="20.100000000000001" customHeight="1">
      <c r="O4852" s="387"/>
      <c r="P4852" s="387"/>
      <c r="Q4852" s="387"/>
    </row>
    <row r="4853" spans="15:17" ht="20.100000000000001" customHeight="1">
      <c r="O4853" s="387"/>
      <c r="P4853" s="387"/>
      <c r="Q4853" s="387"/>
    </row>
    <row r="4854" spans="15:17" ht="20.100000000000001" customHeight="1">
      <c r="O4854" s="387"/>
      <c r="P4854" s="387"/>
      <c r="Q4854" s="387"/>
    </row>
    <row r="4855" spans="15:17" ht="20.100000000000001" customHeight="1">
      <c r="O4855" s="387"/>
      <c r="P4855" s="387"/>
      <c r="Q4855" s="387"/>
    </row>
    <row r="4856" spans="15:17" ht="20.100000000000001" customHeight="1">
      <c r="O4856" s="387"/>
      <c r="P4856" s="387"/>
      <c r="Q4856" s="387"/>
    </row>
    <row r="4857" spans="15:17" ht="20.100000000000001" customHeight="1">
      <c r="O4857" s="387"/>
      <c r="P4857" s="387"/>
      <c r="Q4857" s="387"/>
    </row>
    <row r="4858" spans="15:17" ht="20.100000000000001" customHeight="1">
      <c r="O4858" s="387"/>
      <c r="P4858" s="387"/>
      <c r="Q4858" s="387"/>
    </row>
    <row r="4859" spans="15:17" ht="20.100000000000001" customHeight="1">
      <c r="O4859" s="387"/>
      <c r="P4859" s="387"/>
      <c r="Q4859" s="387"/>
    </row>
    <row r="4860" spans="15:17" ht="20.100000000000001" customHeight="1">
      <c r="O4860" s="387"/>
      <c r="P4860" s="387"/>
      <c r="Q4860" s="387"/>
    </row>
    <row r="4861" spans="15:17" ht="20.100000000000001" customHeight="1">
      <c r="O4861" s="387"/>
      <c r="P4861" s="387"/>
      <c r="Q4861" s="387"/>
    </row>
    <row r="4862" spans="15:17" ht="20.100000000000001" customHeight="1">
      <c r="O4862" s="387"/>
      <c r="P4862" s="387"/>
      <c r="Q4862" s="387"/>
    </row>
    <row r="4863" spans="15:17" ht="20.100000000000001" customHeight="1">
      <c r="O4863" s="387"/>
      <c r="P4863" s="387"/>
      <c r="Q4863" s="387"/>
    </row>
    <row r="4864" spans="15:17" ht="20.100000000000001" customHeight="1">
      <c r="O4864" s="387"/>
      <c r="P4864" s="387"/>
      <c r="Q4864" s="387"/>
    </row>
    <row r="4865" spans="15:17" ht="20.100000000000001" customHeight="1">
      <c r="O4865" s="387"/>
      <c r="P4865" s="387"/>
      <c r="Q4865" s="387"/>
    </row>
    <row r="4866" spans="15:17" ht="20.100000000000001" customHeight="1">
      <c r="O4866" s="387"/>
      <c r="P4866" s="387"/>
      <c r="Q4866" s="387"/>
    </row>
    <row r="4867" spans="15:17" ht="20.100000000000001" customHeight="1">
      <c r="O4867" s="387"/>
      <c r="P4867" s="387"/>
      <c r="Q4867" s="387"/>
    </row>
    <row r="4868" spans="15:17" ht="20.100000000000001" customHeight="1">
      <c r="O4868" s="387"/>
      <c r="P4868" s="387"/>
      <c r="Q4868" s="387"/>
    </row>
    <row r="4869" spans="15:17" ht="20.100000000000001" customHeight="1">
      <c r="O4869" s="387"/>
      <c r="P4869" s="387"/>
      <c r="Q4869" s="387"/>
    </row>
    <row r="4870" spans="15:17" ht="20.100000000000001" customHeight="1">
      <c r="O4870" s="387"/>
      <c r="P4870" s="387"/>
      <c r="Q4870" s="387"/>
    </row>
    <row r="4871" spans="15:17" ht="20.100000000000001" customHeight="1">
      <c r="O4871" s="387"/>
      <c r="P4871" s="387"/>
      <c r="Q4871" s="387"/>
    </row>
    <row r="4872" spans="15:17" ht="20.100000000000001" customHeight="1">
      <c r="O4872" s="387"/>
      <c r="P4872" s="387"/>
      <c r="Q4872" s="387"/>
    </row>
    <row r="4873" spans="15:17" ht="20.100000000000001" customHeight="1">
      <c r="O4873" s="387"/>
      <c r="P4873" s="387"/>
      <c r="Q4873" s="387"/>
    </row>
    <row r="4874" spans="15:17" ht="20.100000000000001" customHeight="1">
      <c r="O4874" s="387"/>
      <c r="P4874" s="387"/>
      <c r="Q4874" s="387"/>
    </row>
    <row r="4875" spans="15:17" ht="20.100000000000001" customHeight="1">
      <c r="O4875" s="387"/>
      <c r="P4875" s="387"/>
      <c r="Q4875" s="387"/>
    </row>
    <row r="4876" spans="15:17" ht="20.100000000000001" customHeight="1">
      <c r="O4876" s="387"/>
      <c r="P4876" s="387"/>
      <c r="Q4876" s="387"/>
    </row>
    <row r="4877" spans="15:17" ht="20.100000000000001" customHeight="1">
      <c r="O4877" s="387"/>
      <c r="P4877" s="387"/>
      <c r="Q4877" s="387"/>
    </row>
    <row r="4878" spans="15:17" ht="20.100000000000001" customHeight="1">
      <c r="O4878" s="387"/>
      <c r="P4878" s="387"/>
      <c r="Q4878" s="387"/>
    </row>
    <row r="4879" spans="15:17" ht="20.100000000000001" customHeight="1">
      <c r="O4879" s="387"/>
      <c r="P4879" s="387"/>
      <c r="Q4879" s="387"/>
    </row>
    <row r="4880" spans="15:17" ht="20.100000000000001" customHeight="1">
      <c r="O4880" s="387"/>
      <c r="P4880" s="387"/>
      <c r="Q4880" s="387"/>
    </row>
    <row r="4881" spans="15:17" ht="20.100000000000001" customHeight="1">
      <c r="O4881" s="387"/>
      <c r="P4881" s="387"/>
      <c r="Q4881" s="387"/>
    </row>
    <row r="4882" spans="15:17" ht="20.100000000000001" customHeight="1">
      <c r="O4882" s="387"/>
      <c r="P4882" s="387"/>
      <c r="Q4882" s="387"/>
    </row>
    <row r="4883" spans="15:17" ht="20.100000000000001" customHeight="1">
      <c r="O4883" s="387"/>
      <c r="P4883" s="387"/>
      <c r="Q4883" s="387"/>
    </row>
    <row r="4884" spans="15:17" ht="20.100000000000001" customHeight="1">
      <c r="O4884" s="387"/>
      <c r="P4884" s="387"/>
      <c r="Q4884" s="387"/>
    </row>
    <row r="4885" spans="15:17" ht="20.100000000000001" customHeight="1">
      <c r="O4885" s="387"/>
      <c r="P4885" s="387"/>
      <c r="Q4885" s="387"/>
    </row>
    <row r="4886" spans="15:17" ht="20.100000000000001" customHeight="1">
      <c r="O4886" s="387"/>
      <c r="P4886" s="387"/>
      <c r="Q4886" s="387"/>
    </row>
    <row r="4887" spans="15:17" ht="20.100000000000001" customHeight="1">
      <c r="O4887" s="387"/>
      <c r="P4887" s="387"/>
      <c r="Q4887" s="387"/>
    </row>
    <row r="4888" spans="15:17" ht="20.100000000000001" customHeight="1">
      <c r="O4888" s="387"/>
      <c r="P4888" s="387"/>
      <c r="Q4888" s="387"/>
    </row>
    <row r="4889" spans="15:17" ht="20.100000000000001" customHeight="1">
      <c r="O4889" s="387"/>
      <c r="P4889" s="387"/>
      <c r="Q4889" s="387"/>
    </row>
    <row r="4890" spans="15:17" ht="20.100000000000001" customHeight="1">
      <c r="O4890" s="387"/>
      <c r="P4890" s="387"/>
      <c r="Q4890" s="387"/>
    </row>
    <row r="4891" spans="15:17" ht="20.100000000000001" customHeight="1">
      <c r="O4891" s="387"/>
      <c r="P4891" s="387"/>
      <c r="Q4891" s="387"/>
    </row>
    <row r="4892" spans="15:17" ht="20.100000000000001" customHeight="1">
      <c r="O4892" s="387"/>
      <c r="P4892" s="387"/>
      <c r="Q4892" s="387"/>
    </row>
    <row r="4893" spans="15:17" ht="20.100000000000001" customHeight="1">
      <c r="O4893" s="387"/>
      <c r="P4893" s="387"/>
      <c r="Q4893" s="387"/>
    </row>
    <row r="4894" spans="15:17" ht="20.100000000000001" customHeight="1">
      <c r="O4894" s="387"/>
      <c r="P4894" s="387"/>
      <c r="Q4894" s="387"/>
    </row>
    <row r="4895" spans="15:17" ht="20.100000000000001" customHeight="1">
      <c r="O4895" s="387"/>
      <c r="P4895" s="387"/>
      <c r="Q4895" s="387"/>
    </row>
    <row r="4896" spans="15:17" ht="20.100000000000001" customHeight="1">
      <c r="O4896" s="387"/>
      <c r="P4896" s="387"/>
      <c r="Q4896" s="387"/>
    </row>
    <row r="4897" spans="15:17" ht="20.100000000000001" customHeight="1">
      <c r="O4897" s="387"/>
      <c r="P4897" s="387"/>
      <c r="Q4897" s="387"/>
    </row>
    <row r="4898" spans="15:17" ht="20.100000000000001" customHeight="1">
      <c r="O4898" s="387"/>
      <c r="P4898" s="387"/>
      <c r="Q4898" s="387"/>
    </row>
    <row r="4899" spans="15:17" ht="20.100000000000001" customHeight="1">
      <c r="O4899" s="387"/>
      <c r="P4899" s="387"/>
      <c r="Q4899" s="387"/>
    </row>
    <row r="4900" spans="15:17" ht="20.100000000000001" customHeight="1">
      <c r="O4900" s="387"/>
      <c r="P4900" s="387"/>
      <c r="Q4900" s="387"/>
    </row>
    <row r="4901" spans="15:17" ht="20.100000000000001" customHeight="1">
      <c r="O4901" s="387"/>
      <c r="P4901" s="387"/>
      <c r="Q4901" s="387"/>
    </row>
    <row r="4902" spans="15:17" ht="20.100000000000001" customHeight="1">
      <c r="O4902" s="387"/>
      <c r="P4902" s="387"/>
      <c r="Q4902" s="387"/>
    </row>
    <row r="4903" spans="15:17" ht="20.100000000000001" customHeight="1">
      <c r="O4903" s="387"/>
      <c r="P4903" s="387"/>
      <c r="Q4903" s="387"/>
    </row>
    <row r="4904" spans="15:17" ht="20.100000000000001" customHeight="1">
      <c r="O4904" s="387"/>
      <c r="P4904" s="387"/>
      <c r="Q4904" s="387"/>
    </row>
    <row r="4905" spans="15:17" ht="20.100000000000001" customHeight="1">
      <c r="O4905" s="387"/>
      <c r="P4905" s="387"/>
      <c r="Q4905" s="387"/>
    </row>
    <row r="4906" spans="15:17" ht="20.100000000000001" customHeight="1">
      <c r="O4906" s="387"/>
      <c r="P4906" s="387"/>
      <c r="Q4906" s="387"/>
    </row>
    <row r="4907" spans="15:17" ht="20.100000000000001" customHeight="1">
      <c r="O4907" s="387"/>
      <c r="P4907" s="387"/>
      <c r="Q4907" s="387"/>
    </row>
    <row r="4908" spans="15:17" ht="20.100000000000001" customHeight="1">
      <c r="O4908" s="387"/>
      <c r="P4908" s="387"/>
      <c r="Q4908" s="387"/>
    </row>
    <row r="4909" spans="15:17" ht="20.100000000000001" customHeight="1">
      <c r="O4909" s="387"/>
      <c r="P4909" s="387"/>
      <c r="Q4909" s="387"/>
    </row>
    <row r="4910" spans="15:17" ht="20.100000000000001" customHeight="1">
      <c r="O4910" s="387"/>
      <c r="P4910" s="387"/>
      <c r="Q4910" s="387"/>
    </row>
    <row r="4911" spans="15:17" ht="20.100000000000001" customHeight="1">
      <c r="O4911" s="387"/>
      <c r="P4911" s="387"/>
      <c r="Q4911" s="387"/>
    </row>
    <row r="4912" spans="15:17" ht="20.100000000000001" customHeight="1">
      <c r="O4912" s="387"/>
      <c r="P4912" s="387"/>
      <c r="Q4912" s="387"/>
    </row>
    <row r="4913" spans="15:17" ht="20.100000000000001" customHeight="1">
      <c r="O4913" s="387"/>
      <c r="P4913" s="387"/>
      <c r="Q4913" s="387"/>
    </row>
    <row r="4914" spans="15:17" ht="20.100000000000001" customHeight="1">
      <c r="O4914" s="387"/>
      <c r="P4914" s="387"/>
      <c r="Q4914" s="387"/>
    </row>
    <row r="4915" spans="15:17" ht="20.100000000000001" customHeight="1">
      <c r="O4915" s="387"/>
      <c r="P4915" s="387"/>
      <c r="Q4915" s="387"/>
    </row>
    <row r="4916" spans="15:17" ht="20.100000000000001" customHeight="1">
      <c r="O4916" s="387"/>
      <c r="P4916" s="387"/>
      <c r="Q4916" s="387"/>
    </row>
    <row r="4917" spans="15:17" ht="20.100000000000001" customHeight="1">
      <c r="O4917" s="387"/>
      <c r="P4917" s="387"/>
      <c r="Q4917" s="387"/>
    </row>
    <row r="4918" spans="15:17" ht="20.100000000000001" customHeight="1">
      <c r="O4918" s="387"/>
      <c r="P4918" s="387"/>
      <c r="Q4918" s="387"/>
    </row>
    <row r="4919" spans="15:17" ht="20.100000000000001" customHeight="1">
      <c r="O4919" s="387"/>
      <c r="P4919" s="387"/>
      <c r="Q4919" s="387"/>
    </row>
    <row r="4920" spans="15:17" ht="20.100000000000001" customHeight="1">
      <c r="O4920" s="387"/>
      <c r="P4920" s="387"/>
      <c r="Q4920" s="387"/>
    </row>
    <row r="4921" spans="15:17" ht="20.100000000000001" customHeight="1">
      <c r="O4921" s="387"/>
      <c r="P4921" s="387"/>
      <c r="Q4921" s="387"/>
    </row>
    <row r="4922" spans="15:17" ht="20.100000000000001" customHeight="1">
      <c r="O4922" s="387"/>
      <c r="P4922" s="387"/>
      <c r="Q4922" s="387"/>
    </row>
    <row r="4923" spans="15:17" ht="20.100000000000001" customHeight="1">
      <c r="O4923" s="387"/>
      <c r="P4923" s="387"/>
      <c r="Q4923" s="387"/>
    </row>
    <row r="4924" spans="15:17" ht="20.100000000000001" customHeight="1">
      <c r="O4924" s="387"/>
      <c r="P4924" s="387"/>
      <c r="Q4924" s="387"/>
    </row>
    <row r="4925" spans="15:17" ht="20.100000000000001" customHeight="1">
      <c r="O4925" s="387"/>
      <c r="P4925" s="387"/>
      <c r="Q4925" s="387"/>
    </row>
    <row r="4926" spans="15:17" ht="20.100000000000001" customHeight="1">
      <c r="O4926" s="387"/>
      <c r="P4926" s="387"/>
      <c r="Q4926" s="387"/>
    </row>
    <row r="4927" spans="15:17" ht="20.100000000000001" customHeight="1">
      <c r="O4927" s="387"/>
      <c r="P4927" s="387"/>
      <c r="Q4927" s="387"/>
    </row>
    <row r="4928" spans="15:17" ht="20.100000000000001" customHeight="1">
      <c r="O4928" s="387"/>
      <c r="P4928" s="387"/>
      <c r="Q4928" s="387"/>
    </row>
    <row r="4929" spans="15:17" ht="20.100000000000001" customHeight="1">
      <c r="O4929" s="387"/>
      <c r="P4929" s="387"/>
      <c r="Q4929" s="387"/>
    </row>
    <row r="4930" spans="15:17" ht="20.100000000000001" customHeight="1">
      <c r="O4930" s="387"/>
      <c r="P4930" s="387"/>
      <c r="Q4930" s="387"/>
    </row>
    <row r="4931" spans="15:17" ht="20.100000000000001" customHeight="1">
      <c r="O4931" s="387"/>
      <c r="P4931" s="387"/>
      <c r="Q4931" s="387"/>
    </row>
    <row r="4932" spans="15:17" ht="20.100000000000001" customHeight="1">
      <c r="O4932" s="387"/>
      <c r="P4932" s="387"/>
      <c r="Q4932" s="387"/>
    </row>
    <row r="4933" spans="15:17" ht="20.100000000000001" customHeight="1">
      <c r="O4933" s="387"/>
      <c r="P4933" s="387"/>
      <c r="Q4933" s="387"/>
    </row>
    <row r="4934" spans="15:17" ht="20.100000000000001" customHeight="1">
      <c r="O4934" s="387"/>
      <c r="P4934" s="387"/>
      <c r="Q4934" s="387"/>
    </row>
    <row r="4935" spans="15:17" ht="20.100000000000001" customHeight="1">
      <c r="O4935" s="387"/>
      <c r="P4935" s="387"/>
      <c r="Q4935" s="387"/>
    </row>
    <row r="4936" spans="15:17" ht="20.100000000000001" customHeight="1">
      <c r="O4936" s="387"/>
      <c r="P4936" s="387"/>
      <c r="Q4936" s="387"/>
    </row>
    <row r="4937" spans="15:17" ht="20.100000000000001" customHeight="1">
      <c r="O4937" s="387"/>
      <c r="P4937" s="387"/>
      <c r="Q4937" s="387"/>
    </row>
    <row r="4938" spans="15:17" ht="20.100000000000001" customHeight="1">
      <c r="O4938" s="387"/>
      <c r="P4938" s="387"/>
      <c r="Q4938" s="387"/>
    </row>
    <row r="4939" spans="15:17" ht="20.100000000000001" customHeight="1">
      <c r="O4939" s="387"/>
      <c r="P4939" s="387"/>
      <c r="Q4939" s="387"/>
    </row>
    <row r="4940" spans="15:17" ht="20.100000000000001" customHeight="1">
      <c r="O4940" s="387"/>
      <c r="P4940" s="387"/>
      <c r="Q4940" s="387"/>
    </row>
    <row r="4941" spans="15:17" ht="20.100000000000001" customHeight="1">
      <c r="O4941" s="387"/>
      <c r="P4941" s="387"/>
      <c r="Q4941" s="387"/>
    </row>
    <row r="4942" spans="15:17" ht="20.100000000000001" customHeight="1">
      <c r="O4942" s="387"/>
      <c r="P4942" s="387"/>
      <c r="Q4942" s="387"/>
    </row>
    <row r="4943" spans="15:17" ht="20.100000000000001" customHeight="1">
      <c r="O4943" s="387"/>
      <c r="P4943" s="387"/>
      <c r="Q4943" s="387"/>
    </row>
    <row r="4944" spans="15:17" ht="20.100000000000001" customHeight="1">
      <c r="O4944" s="387"/>
      <c r="P4944" s="387"/>
      <c r="Q4944" s="387"/>
    </row>
    <row r="4945" spans="15:17" ht="20.100000000000001" customHeight="1">
      <c r="O4945" s="387"/>
      <c r="P4945" s="387"/>
      <c r="Q4945" s="387"/>
    </row>
    <row r="4946" spans="15:17" ht="20.100000000000001" customHeight="1">
      <c r="O4946" s="387"/>
      <c r="P4946" s="387"/>
      <c r="Q4946" s="387"/>
    </row>
    <row r="4947" spans="15:17" ht="20.100000000000001" customHeight="1">
      <c r="O4947" s="387"/>
      <c r="P4947" s="387"/>
      <c r="Q4947" s="387"/>
    </row>
    <row r="4948" spans="15:17" ht="20.100000000000001" customHeight="1">
      <c r="O4948" s="387"/>
      <c r="P4948" s="387"/>
      <c r="Q4948" s="387"/>
    </row>
    <row r="4949" spans="15:17" ht="20.100000000000001" customHeight="1">
      <c r="O4949" s="387"/>
      <c r="P4949" s="387"/>
      <c r="Q4949" s="387"/>
    </row>
    <row r="4950" spans="15:17" ht="20.100000000000001" customHeight="1">
      <c r="O4950" s="387"/>
      <c r="P4950" s="387"/>
      <c r="Q4950" s="387"/>
    </row>
    <row r="4951" spans="15:17" ht="20.100000000000001" customHeight="1">
      <c r="O4951" s="387"/>
      <c r="P4951" s="387"/>
      <c r="Q4951" s="387"/>
    </row>
    <row r="4952" spans="15:17" ht="20.100000000000001" customHeight="1">
      <c r="O4952" s="387"/>
      <c r="P4952" s="387"/>
      <c r="Q4952" s="387"/>
    </row>
    <row r="4953" spans="15:17" ht="20.100000000000001" customHeight="1">
      <c r="O4953" s="387"/>
      <c r="P4953" s="387"/>
      <c r="Q4953" s="387"/>
    </row>
    <row r="4954" spans="15:17" ht="20.100000000000001" customHeight="1">
      <c r="O4954" s="387"/>
      <c r="P4954" s="387"/>
      <c r="Q4954" s="387"/>
    </row>
    <row r="4955" spans="15:17" ht="20.100000000000001" customHeight="1">
      <c r="O4955" s="387"/>
      <c r="P4955" s="387"/>
      <c r="Q4955" s="387"/>
    </row>
    <row r="4956" spans="15:17" ht="20.100000000000001" customHeight="1">
      <c r="O4956" s="387"/>
      <c r="P4956" s="387"/>
      <c r="Q4956" s="387"/>
    </row>
    <row r="4957" spans="15:17" ht="20.100000000000001" customHeight="1">
      <c r="O4957" s="387"/>
      <c r="P4957" s="387"/>
      <c r="Q4957" s="387"/>
    </row>
    <row r="4958" spans="15:17" ht="20.100000000000001" customHeight="1">
      <c r="O4958" s="387"/>
      <c r="P4958" s="387"/>
      <c r="Q4958" s="387"/>
    </row>
    <row r="4959" spans="15:17" ht="20.100000000000001" customHeight="1">
      <c r="O4959" s="387"/>
      <c r="P4959" s="387"/>
      <c r="Q4959" s="387"/>
    </row>
    <row r="4960" spans="15:17" ht="20.100000000000001" customHeight="1">
      <c r="O4960" s="387"/>
      <c r="P4960" s="387"/>
      <c r="Q4960" s="387"/>
    </row>
    <row r="4961" spans="15:17" ht="20.100000000000001" customHeight="1">
      <c r="O4961" s="387"/>
      <c r="P4961" s="387"/>
      <c r="Q4961" s="387"/>
    </row>
    <row r="4962" spans="15:17" ht="20.100000000000001" customHeight="1">
      <c r="O4962" s="387"/>
      <c r="P4962" s="387"/>
      <c r="Q4962" s="387"/>
    </row>
    <row r="4963" spans="15:17" ht="20.100000000000001" customHeight="1">
      <c r="O4963" s="387"/>
      <c r="P4963" s="387"/>
      <c r="Q4963" s="387"/>
    </row>
    <row r="4964" spans="15:17" ht="20.100000000000001" customHeight="1">
      <c r="O4964" s="387"/>
      <c r="P4964" s="387"/>
      <c r="Q4964" s="387"/>
    </row>
    <row r="4965" spans="15:17" ht="20.100000000000001" customHeight="1">
      <c r="O4965" s="387"/>
      <c r="P4965" s="387"/>
      <c r="Q4965" s="387"/>
    </row>
    <row r="4966" spans="15:17" ht="20.100000000000001" customHeight="1">
      <c r="O4966" s="387"/>
      <c r="P4966" s="387"/>
      <c r="Q4966" s="387"/>
    </row>
    <row r="4967" spans="15:17" ht="20.100000000000001" customHeight="1">
      <c r="O4967" s="387"/>
      <c r="P4967" s="387"/>
      <c r="Q4967" s="387"/>
    </row>
    <row r="4968" spans="15:17" ht="20.100000000000001" customHeight="1">
      <c r="O4968" s="387"/>
      <c r="P4968" s="387"/>
      <c r="Q4968" s="387"/>
    </row>
    <row r="4969" spans="15:17" ht="20.100000000000001" customHeight="1">
      <c r="O4969" s="387"/>
      <c r="P4969" s="387"/>
      <c r="Q4969" s="387"/>
    </row>
    <row r="4970" spans="15:17" ht="20.100000000000001" customHeight="1">
      <c r="O4970" s="387"/>
      <c r="P4970" s="387"/>
      <c r="Q4970" s="387"/>
    </row>
    <row r="4971" spans="15:17" ht="20.100000000000001" customHeight="1">
      <c r="O4971" s="387"/>
      <c r="P4971" s="387"/>
      <c r="Q4971" s="387"/>
    </row>
    <row r="4972" spans="15:17" ht="20.100000000000001" customHeight="1">
      <c r="O4972" s="387"/>
      <c r="P4972" s="387"/>
      <c r="Q4972" s="387"/>
    </row>
    <row r="4973" spans="15:17" ht="20.100000000000001" customHeight="1">
      <c r="O4973" s="387"/>
      <c r="P4973" s="387"/>
      <c r="Q4973" s="387"/>
    </row>
    <row r="4974" spans="15:17" ht="20.100000000000001" customHeight="1">
      <c r="O4974" s="387"/>
      <c r="P4974" s="387"/>
      <c r="Q4974" s="387"/>
    </row>
    <row r="4975" spans="15:17" ht="20.100000000000001" customHeight="1">
      <c r="O4975" s="387"/>
      <c r="P4975" s="387"/>
      <c r="Q4975" s="387"/>
    </row>
    <row r="4976" spans="15:17" ht="20.100000000000001" customHeight="1">
      <c r="O4976" s="387"/>
      <c r="P4976" s="387"/>
      <c r="Q4976" s="387"/>
    </row>
    <row r="4977" spans="15:17" ht="20.100000000000001" customHeight="1">
      <c r="O4977" s="387"/>
      <c r="P4977" s="387"/>
      <c r="Q4977" s="387"/>
    </row>
    <row r="4978" spans="15:17" ht="20.100000000000001" customHeight="1">
      <c r="O4978" s="387"/>
      <c r="P4978" s="387"/>
      <c r="Q4978" s="387"/>
    </row>
    <row r="4979" spans="15:17" ht="20.100000000000001" customHeight="1">
      <c r="O4979" s="387"/>
      <c r="P4979" s="387"/>
      <c r="Q4979" s="387"/>
    </row>
    <row r="4980" spans="15:17" ht="20.100000000000001" customHeight="1">
      <c r="O4980" s="387"/>
      <c r="P4980" s="387"/>
      <c r="Q4980" s="387"/>
    </row>
    <row r="4981" spans="15:17" ht="20.100000000000001" customHeight="1">
      <c r="O4981" s="387"/>
      <c r="P4981" s="387"/>
      <c r="Q4981" s="387"/>
    </row>
    <row r="4982" spans="15:17" ht="20.100000000000001" customHeight="1">
      <c r="O4982" s="387"/>
      <c r="P4982" s="387"/>
      <c r="Q4982" s="387"/>
    </row>
    <row r="4983" spans="15:17" ht="20.100000000000001" customHeight="1">
      <c r="O4983" s="387"/>
      <c r="P4983" s="387"/>
      <c r="Q4983" s="387"/>
    </row>
    <row r="4984" spans="15:17" ht="20.100000000000001" customHeight="1">
      <c r="O4984" s="387"/>
      <c r="P4984" s="387"/>
      <c r="Q4984" s="387"/>
    </row>
    <row r="4985" spans="15:17" ht="20.100000000000001" customHeight="1">
      <c r="O4985" s="387"/>
      <c r="P4985" s="387"/>
      <c r="Q4985" s="387"/>
    </row>
    <row r="4986" spans="15:17" ht="20.100000000000001" customHeight="1">
      <c r="O4986" s="387"/>
      <c r="P4986" s="387"/>
      <c r="Q4986" s="387"/>
    </row>
    <row r="4987" spans="15:17" ht="20.100000000000001" customHeight="1">
      <c r="O4987" s="387"/>
      <c r="P4987" s="387"/>
      <c r="Q4987" s="387"/>
    </row>
    <row r="4988" spans="15:17" ht="20.100000000000001" customHeight="1">
      <c r="O4988" s="387"/>
      <c r="P4988" s="387"/>
      <c r="Q4988" s="387"/>
    </row>
    <row r="4989" spans="15:17" ht="20.100000000000001" customHeight="1">
      <c r="O4989" s="387"/>
      <c r="P4989" s="387"/>
      <c r="Q4989" s="387"/>
    </row>
    <row r="4990" spans="15:17" ht="20.100000000000001" customHeight="1">
      <c r="O4990" s="387"/>
      <c r="P4990" s="387"/>
      <c r="Q4990" s="387"/>
    </row>
    <row r="4991" spans="15:17" ht="20.100000000000001" customHeight="1">
      <c r="O4991" s="387"/>
      <c r="P4991" s="387"/>
      <c r="Q4991" s="387"/>
    </row>
    <row r="4992" spans="15:17" ht="20.100000000000001" customHeight="1">
      <c r="O4992" s="387"/>
      <c r="P4992" s="387"/>
      <c r="Q4992" s="387"/>
    </row>
    <row r="4993" spans="15:17" ht="20.100000000000001" customHeight="1">
      <c r="O4993" s="387"/>
      <c r="P4993" s="387"/>
      <c r="Q4993" s="387"/>
    </row>
    <row r="4994" spans="15:17" ht="20.100000000000001" customHeight="1">
      <c r="O4994" s="387"/>
      <c r="P4994" s="387"/>
      <c r="Q4994" s="387"/>
    </row>
    <row r="4995" spans="15:17" ht="20.100000000000001" customHeight="1">
      <c r="O4995" s="387"/>
      <c r="P4995" s="387"/>
      <c r="Q4995" s="387"/>
    </row>
    <row r="4996" spans="15:17" ht="20.100000000000001" customHeight="1">
      <c r="O4996" s="387"/>
      <c r="P4996" s="387"/>
      <c r="Q4996" s="387"/>
    </row>
    <row r="4997" spans="15:17" ht="20.100000000000001" customHeight="1">
      <c r="O4997" s="387"/>
      <c r="P4997" s="387"/>
      <c r="Q4997" s="387"/>
    </row>
    <row r="4998" spans="15:17" ht="20.100000000000001" customHeight="1">
      <c r="O4998" s="387"/>
      <c r="P4998" s="387"/>
      <c r="Q4998" s="387"/>
    </row>
    <row r="4999" spans="15:17" ht="20.100000000000001" customHeight="1">
      <c r="O4999" s="387"/>
      <c r="P4999" s="387"/>
      <c r="Q4999" s="387"/>
    </row>
    <row r="5000" spans="15:17" ht="20.100000000000001" customHeight="1">
      <c r="O5000" s="387"/>
      <c r="P5000" s="387"/>
      <c r="Q5000" s="387"/>
    </row>
    <row r="5001" spans="15:17" ht="20.100000000000001" customHeight="1">
      <c r="O5001" s="387"/>
      <c r="P5001" s="387"/>
      <c r="Q5001" s="387"/>
    </row>
    <row r="5002" spans="15:17" ht="20.100000000000001" customHeight="1">
      <c r="O5002" s="387"/>
      <c r="P5002" s="387"/>
      <c r="Q5002" s="387"/>
    </row>
    <row r="5003" spans="15:17" ht="20.100000000000001" customHeight="1">
      <c r="O5003" s="387"/>
      <c r="P5003" s="387"/>
      <c r="Q5003" s="387"/>
    </row>
    <row r="5004" spans="15:17" ht="20.100000000000001" customHeight="1">
      <c r="O5004" s="387"/>
      <c r="P5004" s="387"/>
      <c r="Q5004" s="387"/>
    </row>
    <row r="5005" spans="15:17" ht="20.100000000000001" customHeight="1">
      <c r="O5005" s="387"/>
      <c r="P5005" s="387"/>
      <c r="Q5005" s="387"/>
    </row>
    <row r="5006" spans="15:17" ht="20.100000000000001" customHeight="1">
      <c r="O5006" s="387"/>
      <c r="P5006" s="387"/>
      <c r="Q5006" s="387"/>
    </row>
    <row r="5007" spans="15:17" ht="20.100000000000001" customHeight="1">
      <c r="O5007" s="387"/>
      <c r="P5007" s="387"/>
      <c r="Q5007" s="387"/>
    </row>
    <row r="5008" spans="15:17" ht="20.100000000000001" customHeight="1">
      <c r="O5008" s="387"/>
      <c r="P5008" s="387"/>
      <c r="Q5008" s="387"/>
    </row>
    <row r="5009" spans="15:17" ht="20.100000000000001" customHeight="1">
      <c r="O5009" s="387"/>
      <c r="P5009" s="387"/>
      <c r="Q5009" s="387"/>
    </row>
    <row r="5010" spans="15:17" ht="20.100000000000001" customHeight="1">
      <c r="O5010" s="387"/>
      <c r="P5010" s="387"/>
      <c r="Q5010" s="387"/>
    </row>
    <row r="5011" spans="15:17" ht="20.100000000000001" customHeight="1">
      <c r="O5011" s="387"/>
      <c r="P5011" s="387"/>
      <c r="Q5011" s="387"/>
    </row>
    <row r="5012" spans="15:17" ht="20.100000000000001" customHeight="1">
      <c r="O5012" s="387"/>
      <c r="P5012" s="387"/>
      <c r="Q5012" s="387"/>
    </row>
    <row r="5013" spans="15:17" ht="20.100000000000001" customHeight="1">
      <c r="O5013" s="387"/>
      <c r="P5013" s="387"/>
      <c r="Q5013" s="387"/>
    </row>
    <row r="5014" spans="15:17" ht="20.100000000000001" customHeight="1">
      <c r="O5014" s="387"/>
      <c r="P5014" s="387"/>
      <c r="Q5014" s="387"/>
    </row>
    <row r="5015" spans="15:17" ht="20.100000000000001" customHeight="1">
      <c r="O5015" s="387"/>
      <c r="P5015" s="387"/>
      <c r="Q5015" s="387"/>
    </row>
    <row r="5016" spans="15:17" ht="20.100000000000001" customHeight="1">
      <c r="O5016" s="387"/>
      <c r="P5016" s="387"/>
      <c r="Q5016" s="387"/>
    </row>
    <row r="5017" spans="15:17" ht="20.100000000000001" customHeight="1">
      <c r="O5017" s="387"/>
      <c r="P5017" s="387"/>
      <c r="Q5017" s="387"/>
    </row>
    <row r="5018" spans="15:17" ht="20.100000000000001" customHeight="1">
      <c r="O5018" s="387"/>
      <c r="P5018" s="387"/>
      <c r="Q5018" s="387"/>
    </row>
    <row r="5019" spans="15:17" ht="20.100000000000001" customHeight="1">
      <c r="O5019" s="387"/>
      <c r="P5019" s="387"/>
      <c r="Q5019" s="387"/>
    </row>
    <row r="5020" spans="15:17" ht="20.100000000000001" customHeight="1">
      <c r="O5020" s="387"/>
      <c r="P5020" s="387"/>
      <c r="Q5020" s="387"/>
    </row>
    <row r="5021" spans="15:17" ht="20.100000000000001" customHeight="1">
      <c r="O5021" s="387"/>
      <c r="P5021" s="387"/>
      <c r="Q5021" s="387"/>
    </row>
    <row r="5022" spans="15:17" ht="20.100000000000001" customHeight="1">
      <c r="O5022" s="387"/>
      <c r="P5022" s="387"/>
      <c r="Q5022" s="387"/>
    </row>
    <row r="5023" spans="15:17" ht="20.100000000000001" customHeight="1">
      <c r="O5023" s="387"/>
      <c r="P5023" s="387"/>
      <c r="Q5023" s="387"/>
    </row>
    <row r="5024" spans="15:17" ht="20.100000000000001" customHeight="1">
      <c r="O5024" s="387"/>
      <c r="P5024" s="387"/>
      <c r="Q5024" s="387"/>
    </row>
    <row r="5025" spans="15:17" ht="20.100000000000001" customHeight="1">
      <c r="O5025" s="387"/>
      <c r="P5025" s="387"/>
      <c r="Q5025" s="387"/>
    </row>
    <row r="5026" spans="15:17" ht="20.100000000000001" customHeight="1">
      <c r="O5026" s="387"/>
      <c r="P5026" s="387"/>
      <c r="Q5026" s="387"/>
    </row>
    <row r="5027" spans="15:17" ht="20.100000000000001" customHeight="1">
      <c r="O5027" s="387"/>
      <c r="P5027" s="387"/>
      <c r="Q5027" s="387"/>
    </row>
    <row r="5028" spans="15:17" ht="20.100000000000001" customHeight="1">
      <c r="O5028" s="387"/>
      <c r="P5028" s="387"/>
      <c r="Q5028" s="387"/>
    </row>
    <row r="5029" spans="15:17" ht="20.100000000000001" customHeight="1">
      <c r="O5029" s="387"/>
      <c r="P5029" s="387"/>
      <c r="Q5029" s="387"/>
    </row>
    <row r="5030" spans="15:17" ht="20.100000000000001" customHeight="1">
      <c r="O5030" s="387"/>
      <c r="P5030" s="387"/>
      <c r="Q5030" s="387"/>
    </row>
    <row r="5031" spans="15:17" ht="20.100000000000001" customHeight="1">
      <c r="O5031" s="387"/>
      <c r="P5031" s="387"/>
      <c r="Q5031" s="387"/>
    </row>
    <row r="5032" spans="15:17" ht="20.100000000000001" customHeight="1">
      <c r="O5032" s="387"/>
      <c r="P5032" s="387"/>
      <c r="Q5032" s="387"/>
    </row>
    <row r="5033" spans="15:17" ht="20.100000000000001" customHeight="1">
      <c r="O5033" s="387"/>
      <c r="P5033" s="387"/>
      <c r="Q5033" s="387"/>
    </row>
    <row r="5034" spans="15:17" ht="20.100000000000001" customHeight="1">
      <c r="O5034" s="387"/>
      <c r="P5034" s="387"/>
      <c r="Q5034" s="387"/>
    </row>
    <row r="5035" spans="15:17" ht="20.100000000000001" customHeight="1">
      <c r="O5035" s="387"/>
      <c r="P5035" s="387"/>
      <c r="Q5035" s="387"/>
    </row>
    <row r="5036" spans="15:17" ht="20.100000000000001" customHeight="1">
      <c r="O5036" s="387"/>
      <c r="P5036" s="387"/>
      <c r="Q5036" s="387"/>
    </row>
    <row r="5037" spans="15:17" ht="20.100000000000001" customHeight="1">
      <c r="O5037" s="387"/>
      <c r="P5037" s="387"/>
      <c r="Q5037" s="387"/>
    </row>
    <row r="5038" spans="15:17" ht="20.100000000000001" customHeight="1">
      <c r="O5038" s="387"/>
      <c r="P5038" s="387"/>
      <c r="Q5038" s="387"/>
    </row>
    <row r="5039" spans="15:17" ht="20.100000000000001" customHeight="1">
      <c r="O5039" s="387"/>
      <c r="P5039" s="387"/>
      <c r="Q5039" s="387"/>
    </row>
    <row r="5040" spans="15:17" ht="20.100000000000001" customHeight="1">
      <c r="O5040" s="387"/>
      <c r="P5040" s="387"/>
      <c r="Q5040" s="387"/>
    </row>
    <row r="5041" spans="15:17" ht="20.100000000000001" customHeight="1">
      <c r="O5041" s="387"/>
      <c r="P5041" s="387"/>
      <c r="Q5041" s="387"/>
    </row>
    <row r="5042" spans="15:17" ht="20.100000000000001" customHeight="1">
      <c r="O5042" s="387"/>
      <c r="P5042" s="387"/>
      <c r="Q5042" s="387"/>
    </row>
    <row r="5043" spans="15:17" ht="20.100000000000001" customHeight="1">
      <c r="O5043" s="387"/>
      <c r="P5043" s="387"/>
      <c r="Q5043" s="387"/>
    </row>
    <row r="5044" spans="15:17" ht="20.100000000000001" customHeight="1">
      <c r="O5044" s="387"/>
      <c r="P5044" s="387"/>
      <c r="Q5044" s="387"/>
    </row>
    <row r="5045" spans="15:17" ht="20.100000000000001" customHeight="1">
      <c r="O5045" s="387"/>
      <c r="P5045" s="387"/>
      <c r="Q5045" s="387"/>
    </row>
    <row r="5046" spans="15:17" ht="20.100000000000001" customHeight="1">
      <c r="O5046" s="387"/>
      <c r="P5046" s="387"/>
      <c r="Q5046" s="387"/>
    </row>
    <row r="5047" spans="15:17" ht="20.100000000000001" customHeight="1">
      <c r="O5047" s="387"/>
      <c r="P5047" s="387"/>
      <c r="Q5047" s="387"/>
    </row>
    <row r="5048" spans="15:17" ht="20.100000000000001" customHeight="1">
      <c r="O5048" s="387"/>
      <c r="P5048" s="387"/>
      <c r="Q5048" s="387"/>
    </row>
    <row r="5049" spans="15:17" ht="20.100000000000001" customHeight="1">
      <c r="O5049" s="387"/>
      <c r="P5049" s="387"/>
      <c r="Q5049" s="387"/>
    </row>
    <row r="5050" spans="15:17" ht="20.100000000000001" customHeight="1">
      <c r="O5050" s="387"/>
      <c r="P5050" s="387"/>
      <c r="Q5050" s="387"/>
    </row>
    <row r="5051" spans="15:17" ht="20.100000000000001" customHeight="1">
      <c r="O5051" s="387"/>
      <c r="P5051" s="387"/>
      <c r="Q5051" s="387"/>
    </row>
    <row r="5052" spans="15:17" ht="20.100000000000001" customHeight="1">
      <c r="O5052" s="387"/>
      <c r="P5052" s="387"/>
      <c r="Q5052" s="387"/>
    </row>
    <row r="5053" spans="15:17" ht="20.100000000000001" customHeight="1">
      <c r="O5053" s="387"/>
      <c r="P5053" s="387"/>
      <c r="Q5053" s="387"/>
    </row>
    <row r="5054" spans="15:17" ht="20.100000000000001" customHeight="1">
      <c r="O5054" s="387"/>
      <c r="P5054" s="387"/>
      <c r="Q5054" s="387"/>
    </row>
    <row r="5055" spans="15:17" ht="20.100000000000001" customHeight="1">
      <c r="O5055" s="387"/>
      <c r="P5055" s="387"/>
      <c r="Q5055" s="387"/>
    </row>
    <row r="5056" spans="15:17" ht="20.100000000000001" customHeight="1">
      <c r="O5056" s="387"/>
      <c r="P5056" s="387"/>
      <c r="Q5056" s="387"/>
    </row>
    <row r="5057" spans="15:17" ht="20.100000000000001" customHeight="1">
      <c r="O5057" s="387"/>
      <c r="P5057" s="387"/>
      <c r="Q5057" s="387"/>
    </row>
    <row r="5058" spans="15:17" ht="20.100000000000001" customHeight="1">
      <c r="O5058" s="387"/>
      <c r="P5058" s="387"/>
      <c r="Q5058" s="387"/>
    </row>
    <row r="5059" spans="15:17" ht="20.100000000000001" customHeight="1">
      <c r="O5059" s="387"/>
      <c r="P5059" s="387"/>
      <c r="Q5059" s="387"/>
    </row>
    <row r="5060" spans="15:17" ht="20.100000000000001" customHeight="1">
      <c r="O5060" s="387"/>
      <c r="P5060" s="387"/>
      <c r="Q5060" s="387"/>
    </row>
    <row r="5061" spans="15:17" ht="20.100000000000001" customHeight="1">
      <c r="O5061" s="387"/>
      <c r="P5061" s="387"/>
      <c r="Q5061" s="387"/>
    </row>
    <row r="5062" spans="15:17" ht="20.100000000000001" customHeight="1">
      <c r="O5062" s="387"/>
      <c r="P5062" s="387"/>
      <c r="Q5062" s="387"/>
    </row>
    <row r="5063" spans="15:17" ht="20.100000000000001" customHeight="1">
      <c r="O5063" s="387"/>
      <c r="P5063" s="387"/>
      <c r="Q5063" s="387"/>
    </row>
    <row r="5064" spans="15:17" ht="20.100000000000001" customHeight="1">
      <c r="O5064" s="387"/>
      <c r="P5064" s="387"/>
      <c r="Q5064" s="387"/>
    </row>
    <row r="5065" spans="15:17" ht="20.100000000000001" customHeight="1">
      <c r="O5065" s="387"/>
      <c r="P5065" s="387"/>
      <c r="Q5065" s="387"/>
    </row>
    <row r="5066" spans="15:17" ht="20.100000000000001" customHeight="1">
      <c r="O5066" s="387"/>
      <c r="P5066" s="387"/>
      <c r="Q5066" s="387"/>
    </row>
    <row r="5067" spans="15:17" ht="20.100000000000001" customHeight="1">
      <c r="O5067" s="387"/>
      <c r="P5067" s="387"/>
      <c r="Q5067" s="387"/>
    </row>
    <row r="5068" spans="15:17" ht="20.100000000000001" customHeight="1">
      <c r="O5068" s="387"/>
      <c r="P5068" s="387"/>
      <c r="Q5068" s="387"/>
    </row>
    <row r="5069" spans="15:17" ht="20.100000000000001" customHeight="1">
      <c r="O5069" s="387"/>
      <c r="P5069" s="387"/>
      <c r="Q5069" s="387"/>
    </row>
    <row r="5070" spans="15:17" ht="20.100000000000001" customHeight="1">
      <c r="O5070" s="387"/>
      <c r="P5070" s="387"/>
      <c r="Q5070" s="387"/>
    </row>
    <row r="5071" spans="15:17" ht="20.100000000000001" customHeight="1">
      <c r="O5071" s="387"/>
      <c r="P5071" s="387"/>
      <c r="Q5071" s="387"/>
    </row>
    <row r="5072" spans="15:17" ht="20.100000000000001" customHeight="1">
      <c r="O5072" s="387"/>
      <c r="P5072" s="387"/>
      <c r="Q5072" s="387"/>
    </row>
    <row r="5073" spans="15:17" ht="20.100000000000001" customHeight="1">
      <c r="O5073" s="387"/>
      <c r="P5073" s="387"/>
      <c r="Q5073" s="387"/>
    </row>
    <row r="5074" spans="15:17" ht="20.100000000000001" customHeight="1">
      <c r="O5074" s="387"/>
      <c r="P5074" s="387"/>
      <c r="Q5074" s="387"/>
    </row>
    <row r="5075" spans="15:17" ht="20.100000000000001" customHeight="1">
      <c r="O5075" s="387"/>
      <c r="P5075" s="387"/>
      <c r="Q5075" s="387"/>
    </row>
    <row r="5076" spans="15:17" ht="20.100000000000001" customHeight="1">
      <c r="O5076" s="387"/>
      <c r="P5076" s="387"/>
      <c r="Q5076" s="387"/>
    </row>
    <row r="5077" spans="15:17" ht="20.100000000000001" customHeight="1">
      <c r="O5077" s="387"/>
      <c r="P5077" s="387"/>
      <c r="Q5077" s="387"/>
    </row>
    <row r="5078" spans="15:17" ht="20.100000000000001" customHeight="1">
      <c r="O5078" s="387"/>
      <c r="P5078" s="387"/>
      <c r="Q5078" s="387"/>
    </row>
    <row r="5079" spans="15:17" ht="20.100000000000001" customHeight="1">
      <c r="O5079" s="387"/>
      <c r="P5079" s="387"/>
      <c r="Q5079" s="387"/>
    </row>
    <row r="5080" spans="15:17" ht="20.100000000000001" customHeight="1">
      <c r="O5080" s="387"/>
      <c r="P5080" s="387"/>
      <c r="Q5080" s="387"/>
    </row>
    <row r="5081" spans="15:17" ht="20.100000000000001" customHeight="1">
      <c r="O5081" s="387"/>
      <c r="P5081" s="387"/>
      <c r="Q5081" s="387"/>
    </row>
    <row r="5082" spans="15:17" ht="20.100000000000001" customHeight="1">
      <c r="O5082" s="387"/>
      <c r="P5082" s="387"/>
      <c r="Q5082" s="387"/>
    </row>
    <row r="5083" spans="15:17" ht="20.100000000000001" customHeight="1">
      <c r="O5083" s="387"/>
      <c r="P5083" s="387"/>
      <c r="Q5083" s="387"/>
    </row>
    <row r="5084" spans="15:17" ht="20.100000000000001" customHeight="1">
      <c r="O5084" s="387"/>
      <c r="P5084" s="387"/>
      <c r="Q5084" s="387"/>
    </row>
    <row r="5085" spans="15:17" ht="20.100000000000001" customHeight="1">
      <c r="O5085" s="387"/>
      <c r="P5085" s="387"/>
      <c r="Q5085" s="387"/>
    </row>
    <row r="5086" spans="15:17" ht="20.100000000000001" customHeight="1">
      <c r="O5086" s="387"/>
      <c r="P5086" s="387"/>
      <c r="Q5086" s="387"/>
    </row>
    <row r="5087" spans="15:17" ht="20.100000000000001" customHeight="1">
      <c r="O5087" s="387"/>
      <c r="P5087" s="387"/>
      <c r="Q5087" s="387"/>
    </row>
    <row r="5088" spans="15:17" ht="20.100000000000001" customHeight="1">
      <c r="O5088" s="387"/>
      <c r="P5088" s="387"/>
      <c r="Q5088" s="387"/>
    </row>
    <row r="5089" spans="15:17" ht="20.100000000000001" customHeight="1">
      <c r="O5089" s="387"/>
      <c r="P5089" s="387"/>
      <c r="Q5089" s="387"/>
    </row>
    <row r="5090" spans="15:17" ht="20.100000000000001" customHeight="1">
      <c r="O5090" s="387"/>
      <c r="P5090" s="387"/>
      <c r="Q5090" s="387"/>
    </row>
    <row r="5091" spans="15:17" ht="20.100000000000001" customHeight="1">
      <c r="O5091" s="387"/>
      <c r="P5091" s="387"/>
      <c r="Q5091" s="387"/>
    </row>
    <row r="5092" spans="15:17" ht="20.100000000000001" customHeight="1">
      <c r="O5092" s="387"/>
      <c r="P5092" s="387"/>
      <c r="Q5092" s="387"/>
    </row>
    <row r="5093" spans="15:17" ht="20.100000000000001" customHeight="1">
      <c r="O5093" s="387"/>
      <c r="P5093" s="387"/>
      <c r="Q5093" s="387"/>
    </row>
    <row r="5094" spans="15:17" ht="20.100000000000001" customHeight="1">
      <c r="O5094" s="387"/>
      <c r="P5094" s="387"/>
      <c r="Q5094" s="387"/>
    </row>
    <row r="5095" spans="15:17" ht="20.100000000000001" customHeight="1">
      <c r="O5095" s="387"/>
      <c r="P5095" s="387"/>
      <c r="Q5095" s="387"/>
    </row>
    <row r="5096" spans="15:17" ht="20.100000000000001" customHeight="1">
      <c r="O5096" s="387"/>
      <c r="P5096" s="387"/>
      <c r="Q5096" s="387"/>
    </row>
    <row r="5097" spans="15:17" ht="20.100000000000001" customHeight="1">
      <c r="O5097" s="387"/>
      <c r="P5097" s="387"/>
      <c r="Q5097" s="387"/>
    </row>
    <row r="5098" spans="15:17" ht="20.100000000000001" customHeight="1">
      <c r="O5098" s="387"/>
      <c r="P5098" s="387"/>
      <c r="Q5098" s="387"/>
    </row>
    <row r="5099" spans="15:17" ht="20.100000000000001" customHeight="1">
      <c r="O5099" s="387"/>
      <c r="P5099" s="387"/>
      <c r="Q5099" s="387"/>
    </row>
    <row r="5100" spans="15:17" ht="20.100000000000001" customHeight="1">
      <c r="O5100" s="387"/>
      <c r="P5100" s="387"/>
      <c r="Q5100" s="387"/>
    </row>
    <row r="5101" spans="15:17" ht="20.100000000000001" customHeight="1">
      <c r="O5101" s="387"/>
      <c r="P5101" s="387"/>
      <c r="Q5101" s="387"/>
    </row>
    <row r="5102" spans="15:17" ht="20.100000000000001" customHeight="1">
      <c r="O5102" s="387"/>
      <c r="P5102" s="387"/>
      <c r="Q5102" s="387"/>
    </row>
    <row r="5103" spans="15:17" ht="20.100000000000001" customHeight="1">
      <c r="O5103" s="387"/>
      <c r="P5103" s="387"/>
      <c r="Q5103" s="387"/>
    </row>
    <row r="5104" spans="15:17" ht="20.100000000000001" customHeight="1">
      <c r="O5104" s="387"/>
      <c r="P5104" s="387"/>
      <c r="Q5104" s="387"/>
    </row>
    <row r="5105" spans="15:17" ht="20.100000000000001" customHeight="1">
      <c r="O5105" s="387"/>
      <c r="P5105" s="387"/>
      <c r="Q5105" s="387"/>
    </row>
    <row r="5106" spans="15:17" ht="20.100000000000001" customHeight="1">
      <c r="O5106" s="387"/>
      <c r="P5106" s="387"/>
      <c r="Q5106" s="387"/>
    </row>
    <row r="5107" spans="15:17" ht="20.100000000000001" customHeight="1">
      <c r="O5107" s="387"/>
      <c r="P5107" s="387"/>
      <c r="Q5107" s="387"/>
    </row>
    <row r="5108" spans="15:17" ht="20.100000000000001" customHeight="1">
      <c r="O5108" s="387"/>
      <c r="P5108" s="387"/>
      <c r="Q5108" s="387"/>
    </row>
    <row r="5109" spans="15:17" ht="20.100000000000001" customHeight="1">
      <c r="O5109" s="387"/>
      <c r="P5109" s="387"/>
      <c r="Q5109" s="387"/>
    </row>
    <row r="5110" spans="15:17" ht="20.100000000000001" customHeight="1">
      <c r="O5110" s="387"/>
      <c r="P5110" s="387"/>
      <c r="Q5110" s="387"/>
    </row>
    <row r="5111" spans="15:17" ht="20.100000000000001" customHeight="1">
      <c r="O5111" s="387"/>
      <c r="P5111" s="387"/>
      <c r="Q5111" s="387"/>
    </row>
    <row r="5112" spans="15:17" ht="20.100000000000001" customHeight="1">
      <c r="O5112" s="387"/>
      <c r="P5112" s="387"/>
      <c r="Q5112" s="387"/>
    </row>
    <row r="5113" spans="15:17" ht="20.100000000000001" customHeight="1">
      <c r="O5113" s="387"/>
      <c r="P5113" s="387"/>
      <c r="Q5113" s="387"/>
    </row>
    <row r="5114" spans="15:17" ht="20.100000000000001" customHeight="1">
      <c r="O5114" s="387"/>
      <c r="P5114" s="387"/>
      <c r="Q5114" s="387"/>
    </row>
    <row r="5115" spans="15:17" ht="20.100000000000001" customHeight="1">
      <c r="O5115" s="387"/>
      <c r="P5115" s="387"/>
      <c r="Q5115" s="387"/>
    </row>
    <row r="5116" spans="15:17" ht="20.100000000000001" customHeight="1">
      <c r="O5116" s="387"/>
      <c r="P5116" s="387"/>
      <c r="Q5116" s="387"/>
    </row>
    <row r="5117" spans="15:17" ht="20.100000000000001" customHeight="1">
      <c r="O5117" s="387"/>
      <c r="P5117" s="387"/>
      <c r="Q5117" s="387"/>
    </row>
    <row r="5118" spans="15:17" ht="20.100000000000001" customHeight="1">
      <c r="O5118" s="387"/>
      <c r="P5118" s="387"/>
      <c r="Q5118" s="387"/>
    </row>
    <row r="5119" spans="15:17" ht="20.100000000000001" customHeight="1">
      <c r="O5119" s="387"/>
      <c r="P5119" s="387"/>
      <c r="Q5119" s="387"/>
    </row>
    <row r="5120" spans="15:17" ht="20.100000000000001" customHeight="1">
      <c r="O5120" s="387"/>
      <c r="P5120" s="387"/>
      <c r="Q5120" s="387"/>
    </row>
    <row r="5121" spans="15:17" ht="20.100000000000001" customHeight="1">
      <c r="O5121" s="387"/>
      <c r="P5121" s="387"/>
      <c r="Q5121" s="387"/>
    </row>
    <row r="5122" spans="15:17" ht="20.100000000000001" customHeight="1">
      <c r="O5122" s="387"/>
      <c r="P5122" s="387"/>
      <c r="Q5122" s="387"/>
    </row>
    <row r="5123" spans="15:17" ht="20.100000000000001" customHeight="1">
      <c r="O5123" s="387"/>
      <c r="P5123" s="387"/>
      <c r="Q5123" s="387"/>
    </row>
    <row r="5124" spans="15:17" ht="20.100000000000001" customHeight="1">
      <c r="O5124" s="387"/>
      <c r="P5124" s="387"/>
      <c r="Q5124" s="387"/>
    </row>
    <row r="5125" spans="15:17" ht="20.100000000000001" customHeight="1">
      <c r="O5125" s="387"/>
      <c r="P5125" s="387"/>
      <c r="Q5125" s="387"/>
    </row>
    <row r="5126" spans="15:17" ht="20.100000000000001" customHeight="1">
      <c r="O5126" s="387"/>
      <c r="P5126" s="387"/>
      <c r="Q5126" s="387"/>
    </row>
    <row r="5127" spans="15:17" ht="20.100000000000001" customHeight="1">
      <c r="O5127" s="387"/>
      <c r="P5127" s="387"/>
      <c r="Q5127" s="387"/>
    </row>
    <row r="5128" spans="15:17" ht="20.100000000000001" customHeight="1">
      <c r="O5128" s="387"/>
      <c r="P5128" s="387"/>
      <c r="Q5128" s="387"/>
    </row>
    <row r="5129" spans="15:17" ht="20.100000000000001" customHeight="1">
      <c r="O5129" s="387"/>
      <c r="P5129" s="387"/>
      <c r="Q5129" s="387"/>
    </row>
    <row r="5130" spans="15:17" ht="20.100000000000001" customHeight="1">
      <c r="O5130" s="387"/>
      <c r="P5130" s="387"/>
      <c r="Q5130" s="387"/>
    </row>
    <row r="5131" spans="15:17" ht="20.100000000000001" customHeight="1">
      <c r="O5131" s="387"/>
      <c r="P5131" s="387"/>
      <c r="Q5131" s="387"/>
    </row>
    <row r="5132" spans="15:17" ht="20.100000000000001" customHeight="1">
      <c r="O5132" s="387"/>
      <c r="P5132" s="387"/>
      <c r="Q5132" s="387"/>
    </row>
    <row r="5133" spans="15:17" ht="20.100000000000001" customHeight="1">
      <c r="O5133" s="387"/>
      <c r="P5133" s="387"/>
      <c r="Q5133" s="387"/>
    </row>
    <row r="5134" spans="15:17" ht="20.100000000000001" customHeight="1">
      <c r="O5134" s="387"/>
      <c r="P5134" s="387"/>
      <c r="Q5134" s="387"/>
    </row>
    <row r="5135" spans="15:17" ht="20.100000000000001" customHeight="1">
      <c r="O5135" s="387"/>
      <c r="P5135" s="387"/>
      <c r="Q5135" s="387"/>
    </row>
    <row r="5136" spans="15:17" ht="20.100000000000001" customHeight="1">
      <c r="O5136" s="387"/>
      <c r="P5136" s="387"/>
      <c r="Q5136" s="387"/>
    </row>
    <row r="5137" spans="15:17" ht="20.100000000000001" customHeight="1">
      <c r="O5137" s="387"/>
      <c r="P5137" s="387"/>
      <c r="Q5137" s="387"/>
    </row>
    <row r="5138" spans="15:17" ht="20.100000000000001" customHeight="1">
      <c r="O5138" s="387"/>
      <c r="P5138" s="387"/>
      <c r="Q5138" s="387"/>
    </row>
    <row r="5139" spans="15:17" ht="20.100000000000001" customHeight="1">
      <c r="O5139" s="387"/>
      <c r="P5139" s="387"/>
      <c r="Q5139" s="387"/>
    </row>
    <row r="5140" spans="15:17" ht="20.100000000000001" customHeight="1">
      <c r="O5140" s="387"/>
      <c r="P5140" s="387"/>
      <c r="Q5140" s="387"/>
    </row>
    <row r="5141" spans="15:17" ht="20.100000000000001" customHeight="1">
      <c r="O5141" s="387"/>
      <c r="P5141" s="387"/>
      <c r="Q5141" s="387"/>
    </row>
    <row r="5142" spans="15:17" ht="20.100000000000001" customHeight="1">
      <c r="O5142" s="387"/>
      <c r="P5142" s="387"/>
      <c r="Q5142" s="387"/>
    </row>
    <row r="5143" spans="15:17" ht="20.100000000000001" customHeight="1">
      <c r="O5143" s="387"/>
      <c r="P5143" s="387"/>
      <c r="Q5143" s="387"/>
    </row>
    <row r="5144" spans="15:17" ht="20.100000000000001" customHeight="1">
      <c r="O5144" s="387"/>
      <c r="P5144" s="387"/>
      <c r="Q5144" s="387"/>
    </row>
    <row r="5145" spans="15:17" ht="20.100000000000001" customHeight="1">
      <c r="O5145" s="387"/>
      <c r="P5145" s="387"/>
      <c r="Q5145" s="387"/>
    </row>
    <row r="5146" spans="15:17" ht="20.100000000000001" customHeight="1">
      <c r="O5146" s="387"/>
      <c r="P5146" s="387"/>
      <c r="Q5146" s="387"/>
    </row>
    <row r="5147" spans="15:17" ht="20.100000000000001" customHeight="1">
      <c r="O5147" s="387"/>
      <c r="P5147" s="387"/>
      <c r="Q5147" s="387"/>
    </row>
    <row r="5148" spans="15:17" ht="20.100000000000001" customHeight="1">
      <c r="O5148" s="387"/>
      <c r="P5148" s="387"/>
      <c r="Q5148" s="387"/>
    </row>
    <row r="5149" spans="15:17" ht="20.100000000000001" customHeight="1">
      <c r="O5149" s="387"/>
      <c r="P5149" s="387"/>
      <c r="Q5149" s="387"/>
    </row>
    <row r="5150" spans="15:17" ht="20.100000000000001" customHeight="1">
      <c r="O5150" s="387"/>
      <c r="P5150" s="387"/>
      <c r="Q5150" s="387"/>
    </row>
    <row r="5151" spans="15:17" ht="20.100000000000001" customHeight="1">
      <c r="O5151" s="387"/>
      <c r="P5151" s="387"/>
      <c r="Q5151" s="387"/>
    </row>
    <row r="5152" spans="15:17" ht="20.100000000000001" customHeight="1">
      <c r="O5152" s="387"/>
      <c r="P5152" s="387"/>
      <c r="Q5152" s="387"/>
    </row>
    <row r="5153" spans="15:17" ht="20.100000000000001" customHeight="1">
      <c r="O5153" s="387"/>
      <c r="P5153" s="387"/>
      <c r="Q5153" s="387"/>
    </row>
    <row r="5154" spans="15:17" ht="20.100000000000001" customHeight="1">
      <c r="O5154" s="387"/>
      <c r="P5154" s="387"/>
      <c r="Q5154" s="387"/>
    </row>
    <row r="5155" spans="15:17" ht="20.100000000000001" customHeight="1">
      <c r="O5155" s="387"/>
      <c r="P5155" s="387"/>
      <c r="Q5155" s="387"/>
    </row>
    <row r="5156" spans="15:17" ht="20.100000000000001" customHeight="1">
      <c r="O5156" s="387"/>
      <c r="P5156" s="387"/>
      <c r="Q5156" s="387"/>
    </row>
    <row r="5157" spans="15:17" ht="20.100000000000001" customHeight="1">
      <c r="O5157" s="387"/>
      <c r="P5157" s="387"/>
      <c r="Q5157" s="387"/>
    </row>
    <row r="5158" spans="15:17" ht="20.100000000000001" customHeight="1">
      <c r="O5158" s="387"/>
      <c r="P5158" s="387"/>
      <c r="Q5158" s="387"/>
    </row>
    <row r="5159" spans="15:17" ht="20.100000000000001" customHeight="1">
      <c r="O5159" s="387"/>
      <c r="P5159" s="387"/>
      <c r="Q5159" s="387"/>
    </row>
    <row r="5160" spans="15:17" ht="20.100000000000001" customHeight="1">
      <c r="O5160" s="387"/>
      <c r="P5160" s="387"/>
      <c r="Q5160" s="387"/>
    </row>
    <row r="5161" spans="15:17" ht="20.100000000000001" customHeight="1">
      <c r="O5161" s="387"/>
      <c r="P5161" s="387"/>
      <c r="Q5161" s="387"/>
    </row>
    <row r="5162" spans="15:17" ht="20.100000000000001" customHeight="1">
      <c r="O5162" s="387"/>
      <c r="P5162" s="387"/>
      <c r="Q5162" s="387"/>
    </row>
    <row r="5163" spans="15:17" ht="20.100000000000001" customHeight="1">
      <c r="O5163" s="387"/>
      <c r="P5163" s="387"/>
      <c r="Q5163" s="387"/>
    </row>
    <row r="5164" spans="15:17" ht="20.100000000000001" customHeight="1">
      <c r="O5164" s="387"/>
      <c r="P5164" s="387"/>
      <c r="Q5164" s="387"/>
    </row>
    <row r="5165" spans="15:17" ht="20.100000000000001" customHeight="1">
      <c r="O5165" s="387"/>
      <c r="P5165" s="387"/>
      <c r="Q5165" s="387"/>
    </row>
    <row r="5166" spans="15:17" ht="20.100000000000001" customHeight="1">
      <c r="O5166" s="387"/>
      <c r="P5166" s="387"/>
      <c r="Q5166" s="387"/>
    </row>
    <row r="5167" spans="15:17" ht="20.100000000000001" customHeight="1">
      <c r="O5167" s="387"/>
      <c r="P5167" s="387"/>
      <c r="Q5167" s="387"/>
    </row>
    <row r="5168" spans="15:17" ht="20.100000000000001" customHeight="1">
      <c r="O5168" s="387"/>
      <c r="P5168" s="387"/>
      <c r="Q5168" s="387"/>
    </row>
    <row r="5169" spans="15:17" ht="20.100000000000001" customHeight="1">
      <c r="O5169" s="387"/>
      <c r="P5169" s="387"/>
      <c r="Q5169" s="387"/>
    </row>
    <row r="5170" spans="15:17" ht="20.100000000000001" customHeight="1">
      <c r="O5170" s="387"/>
      <c r="P5170" s="387"/>
      <c r="Q5170" s="387"/>
    </row>
    <row r="5171" spans="15:17" ht="20.100000000000001" customHeight="1">
      <c r="O5171" s="387"/>
      <c r="P5171" s="387"/>
      <c r="Q5171" s="387"/>
    </row>
    <row r="5172" spans="15:17" ht="20.100000000000001" customHeight="1">
      <c r="O5172" s="387"/>
      <c r="P5172" s="387"/>
      <c r="Q5172" s="387"/>
    </row>
    <row r="5173" spans="15:17" ht="20.100000000000001" customHeight="1">
      <c r="O5173" s="387"/>
      <c r="P5173" s="387"/>
      <c r="Q5173" s="387"/>
    </row>
    <row r="5174" spans="15:17" ht="20.100000000000001" customHeight="1">
      <c r="O5174" s="387"/>
      <c r="P5174" s="387"/>
      <c r="Q5174" s="387"/>
    </row>
    <row r="5175" spans="15:17" ht="20.100000000000001" customHeight="1">
      <c r="O5175" s="387"/>
      <c r="P5175" s="387"/>
      <c r="Q5175" s="387"/>
    </row>
    <row r="5176" spans="15:17" ht="20.100000000000001" customHeight="1">
      <c r="O5176" s="387"/>
      <c r="P5176" s="387"/>
      <c r="Q5176" s="387"/>
    </row>
    <row r="5177" spans="15:17" ht="20.100000000000001" customHeight="1">
      <c r="O5177" s="387"/>
      <c r="P5177" s="387"/>
      <c r="Q5177" s="387"/>
    </row>
    <row r="5178" spans="15:17" ht="20.100000000000001" customHeight="1">
      <c r="O5178" s="387"/>
      <c r="P5178" s="387"/>
      <c r="Q5178" s="387"/>
    </row>
    <row r="5179" spans="15:17" ht="20.100000000000001" customHeight="1">
      <c r="O5179" s="387"/>
      <c r="P5179" s="387"/>
      <c r="Q5179" s="387"/>
    </row>
    <row r="5180" spans="15:17" ht="20.100000000000001" customHeight="1">
      <c r="O5180" s="387"/>
      <c r="P5180" s="387"/>
      <c r="Q5180" s="387"/>
    </row>
    <row r="5181" spans="15:17" ht="20.100000000000001" customHeight="1">
      <c r="O5181" s="387"/>
      <c r="P5181" s="387"/>
      <c r="Q5181" s="387"/>
    </row>
    <row r="5182" spans="15:17" ht="20.100000000000001" customHeight="1">
      <c r="O5182" s="387"/>
      <c r="P5182" s="387"/>
      <c r="Q5182" s="387"/>
    </row>
    <row r="5183" spans="15:17" ht="20.100000000000001" customHeight="1">
      <c r="O5183" s="387"/>
      <c r="P5183" s="387"/>
      <c r="Q5183" s="387"/>
    </row>
    <row r="5184" spans="15:17" ht="20.100000000000001" customHeight="1">
      <c r="O5184" s="387"/>
      <c r="P5184" s="387"/>
      <c r="Q5184" s="387"/>
    </row>
    <row r="5185" spans="15:17" ht="20.100000000000001" customHeight="1">
      <c r="O5185" s="387"/>
      <c r="P5185" s="387"/>
      <c r="Q5185" s="387"/>
    </row>
    <row r="5186" spans="15:17" ht="20.100000000000001" customHeight="1">
      <c r="O5186" s="387"/>
      <c r="P5186" s="387"/>
      <c r="Q5186" s="387"/>
    </row>
    <row r="5187" spans="15:17" ht="20.100000000000001" customHeight="1">
      <c r="O5187" s="387"/>
      <c r="P5187" s="387"/>
      <c r="Q5187" s="387"/>
    </row>
    <row r="5188" spans="15:17" ht="20.100000000000001" customHeight="1">
      <c r="O5188" s="387"/>
      <c r="P5188" s="387"/>
      <c r="Q5188" s="387"/>
    </row>
    <row r="5189" spans="15:17" ht="20.100000000000001" customHeight="1">
      <c r="O5189" s="387"/>
      <c r="P5189" s="387"/>
      <c r="Q5189" s="387"/>
    </row>
    <row r="5190" spans="15:17" ht="20.100000000000001" customHeight="1">
      <c r="O5190" s="387"/>
      <c r="P5190" s="387"/>
      <c r="Q5190" s="387"/>
    </row>
    <row r="5191" spans="15:17" ht="20.100000000000001" customHeight="1">
      <c r="O5191" s="387"/>
      <c r="P5191" s="387"/>
      <c r="Q5191" s="387"/>
    </row>
    <row r="5192" spans="15:17" ht="20.100000000000001" customHeight="1">
      <c r="O5192" s="387"/>
      <c r="P5192" s="387"/>
      <c r="Q5192" s="387"/>
    </row>
    <row r="5193" spans="15:17" ht="20.100000000000001" customHeight="1">
      <c r="O5193" s="387"/>
      <c r="P5193" s="387"/>
      <c r="Q5193" s="387"/>
    </row>
    <row r="5194" spans="15:17" ht="20.100000000000001" customHeight="1">
      <c r="O5194" s="387"/>
      <c r="P5194" s="387"/>
      <c r="Q5194" s="387"/>
    </row>
    <row r="5195" spans="15:17" ht="20.100000000000001" customHeight="1">
      <c r="O5195" s="387"/>
      <c r="P5195" s="387"/>
      <c r="Q5195" s="387"/>
    </row>
    <row r="5196" spans="15:17" ht="20.100000000000001" customHeight="1">
      <c r="O5196" s="387"/>
      <c r="P5196" s="387"/>
      <c r="Q5196" s="387"/>
    </row>
    <row r="5197" spans="15:17" ht="20.100000000000001" customHeight="1">
      <c r="O5197" s="387"/>
      <c r="P5197" s="387"/>
      <c r="Q5197" s="387"/>
    </row>
    <row r="5198" spans="15:17" ht="20.100000000000001" customHeight="1">
      <c r="O5198" s="387"/>
      <c r="P5198" s="387"/>
      <c r="Q5198" s="387"/>
    </row>
    <row r="5199" spans="15:17" ht="20.100000000000001" customHeight="1">
      <c r="O5199" s="387"/>
      <c r="P5199" s="387"/>
      <c r="Q5199" s="387"/>
    </row>
    <row r="5200" spans="15:17" ht="20.100000000000001" customHeight="1">
      <c r="O5200" s="387"/>
      <c r="P5200" s="387"/>
      <c r="Q5200" s="387"/>
    </row>
    <row r="5201" spans="15:17" ht="20.100000000000001" customHeight="1">
      <c r="O5201" s="387"/>
      <c r="P5201" s="387"/>
      <c r="Q5201" s="387"/>
    </row>
    <row r="5202" spans="15:17" ht="20.100000000000001" customHeight="1">
      <c r="O5202" s="387"/>
      <c r="P5202" s="387"/>
      <c r="Q5202" s="387"/>
    </row>
    <row r="5203" spans="15:17" ht="20.100000000000001" customHeight="1">
      <c r="O5203" s="387"/>
      <c r="P5203" s="387"/>
      <c r="Q5203" s="387"/>
    </row>
    <row r="5204" spans="15:17" ht="20.100000000000001" customHeight="1">
      <c r="O5204" s="387"/>
      <c r="P5204" s="387"/>
      <c r="Q5204" s="387"/>
    </row>
    <row r="5205" spans="15:17" ht="20.100000000000001" customHeight="1">
      <c r="O5205" s="387"/>
      <c r="P5205" s="387"/>
      <c r="Q5205" s="387"/>
    </row>
    <row r="5206" spans="15:17" ht="20.100000000000001" customHeight="1">
      <c r="O5206" s="387"/>
      <c r="P5206" s="387"/>
      <c r="Q5206" s="387"/>
    </row>
    <row r="5207" spans="15:17" ht="20.100000000000001" customHeight="1">
      <c r="O5207" s="387"/>
      <c r="P5207" s="387"/>
      <c r="Q5207" s="387"/>
    </row>
    <row r="5208" spans="15:17" ht="20.100000000000001" customHeight="1">
      <c r="O5208" s="387"/>
      <c r="P5208" s="387"/>
      <c r="Q5208" s="387"/>
    </row>
    <row r="5209" spans="15:17" ht="20.100000000000001" customHeight="1">
      <c r="O5209" s="387"/>
      <c r="P5209" s="387"/>
      <c r="Q5209" s="387"/>
    </row>
    <row r="5210" spans="15:17" ht="20.100000000000001" customHeight="1">
      <c r="O5210" s="387"/>
      <c r="P5210" s="387"/>
      <c r="Q5210" s="387"/>
    </row>
    <row r="5211" spans="15:17" ht="20.100000000000001" customHeight="1">
      <c r="O5211" s="387"/>
      <c r="P5211" s="387"/>
      <c r="Q5211" s="387"/>
    </row>
    <row r="5212" spans="15:17" ht="20.100000000000001" customHeight="1">
      <c r="O5212" s="387"/>
      <c r="P5212" s="387"/>
      <c r="Q5212" s="387"/>
    </row>
    <row r="5213" spans="15:17" ht="20.100000000000001" customHeight="1">
      <c r="O5213" s="387"/>
      <c r="P5213" s="387"/>
      <c r="Q5213" s="387"/>
    </row>
    <row r="5214" spans="15:17" ht="20.100000000000001" customHeight="1">
      <c r="O5214" s="387"/>
      <c r="P5214" s="387"/>
      <c r="Q5214" s="387"/>
    </row>
    <row r="5215" spans="15:17" ht="20.100000000000001" customHeight="1">
      <c r="O5215" s="387"/>
      <c r="P5215" s="387"/>
      <c r="Q5215" s="387"/>
    </row>
    <row r="5216" spans="15:17" ht="20.100000000000001" customHeight="1">
      <c r="O5216" s="387"/>
      <c r="P5216" s="387"/>
      <c r="Q5216" s="387"/>
    </row>
    <row r="5217" spans="15:17" ht="20.100000000000001" customHeight="1">
      <c r="O5217" s="387"/>
      <c r="P5217" s="387"/>
      <c r="Q5217" s="387"/>
    </row>
    <row r="5218" spans="15:17" ht="20.100000000000001" customHeight="1">
      <c r="O5218" s="387"/>
      <c r="P5218" s="387"/>
      <c r="Q5218" s="387"/>
    </row>
    <row r="5219" spans="15:17" ht="20.100000000000001" customHeight="1">
      <c r="O5219" s="387"/>
      <c r="P5219" s="387"/>
      <c r="Q5219" s="387"/>
    </row>
    <row r="5220" spans="15:17" ht="20.100000000000001" customHeight="1">
      <c r="O5220" s="387"/>
      <c r="P5220" s="387"/>
      <c r="Q5220" s="387"/>
    </row>
    <row r="5221" spans="15:17" ht="20.100000000000001" customHeight="1">
      <c r="O5221" s="387"/>
      <c r="P5221" s="387"/>
      <c r="Q5221" s="387"/>
    </row>
    <row r="5222" spans="15:17" ht="20.100000000000001" customHeight="1">
      <c r="O5222" s="387"/>
      <c r="P5222" s="387"/>
      <c r="Q5222" s="387"/>
    </row>
    <row r="5223" spans="15:17" ht="20.100000000000001" customHeight="1">
      <c r="O5223" s="387"/>
      <c r="P5223" s="387"/>
      <c r="Q5223" s="387"/>
    </row>
    <row r="5224" spans="15:17" ht="20.100000000000001" customHeight="1">
      <c r="O5224" s="387"/>
      <c r="P5224" s="387"/>
      <c r="Q5224" s="387"/>
    </row>
    <row r="5225" spans="15:17" ht="20.100000000000001" customHeight="1">
      <c r="O5225" s="387"/>
      <c r="P5225" s="387"/>
      <c r="Q5225" s="387"/>
    </row>
    <row r="5226" spans="15:17" ht="20.100000000000001" customHeight="1">
      <c r="O5226" s="387"/>
      <c r="P5226" s="387"/>
      <c r="Q5226" s="387"/>
    </row>
    <row r="5227" spans="15:17" ht="20.100000000000001" customHeight="1">
      <c r="O5227" s="387"/>
      <c r="P5227" s="387"/>
      <c r="Q5227" s="387"/>
    </row>
    <row r="5228" spans="15:17" ht="20.100000000000001" customHeight="1">
      <c r="O5228" s="387"/>
      <c r="P5228" s="387"/>
      <c r="Q5228" s="387"/>
    </row>
    <row r="5229" spans="15:17" ht="20.100000000000001" customHeight="1">
      <c r="O5229" s="387"/>
      <c r="P5229" s="387"/>
      <c r="Q5229" s="387"/>
    </row>
    <row r="5230" spans="15:17" ht="20.100000000000001" customHeight="1">
      <c r="O5230" s="387"/>
      <c r="P5230" s="387"/>
      <c r="Q5230" s="387"/>
    </row>
    <row r="5231" spans="15:17" ht="20.100000000000001" customHeight="1">
      <c r="O5231" s="387"/>
      <c r="P5231" s="387"/>
      <c r="Q5231" s="387"/>
    </row>
    <row r="5232" spans="15:17" ht="20.100000000000001" customHeight="1">
      <c r="O5232" s="387"/>
      <c r="P5232" s="387"/>
      <c r="Q5232" s="387"/>
    </row>
    <row r="5233" spans="15:17" ht="20.100000000000001" customHeight="1">
      <c r="O5233" s="387"/>
      <c r="P5233" s="387"/>
      <c r="Q5233" s="387"/>
    </row>
    <row r="5234" spans="15:17" ht="20.100000000000001" customHeight="1">
      <c r="O5234" s="387"/>
      <c r="P5234" s="387"/>
      <c r="Q5234" s="387"/>
    </row>
    <row r="5235" spans="15:17" ht="20.100000000000001" customHeight="1">
      <c r="O5235" s="387"/>
      <c r="P5235" s="387"/>
      <c r="Q5235" s="387"/>
    </row>
    <row r="5236" spans="15:17" ht="20.100000000000001" customHeight="1">
      <c r="O5236" s="387"/>
      <c r="P5236" s="387"/>
      <c r="Q5236" s="387"/>
    </row>
    <row r="5237" spans="15:17" ht="20.100000000000001" customHeight="1">
      <c r="O5237" s="387"/>
      <c r="P5237" s="387"/>
      <c r="Q5237" s="387"/>
    </row>
    <row r="5238" spans="15:17" ht="20.100000000000001" customHeight="1">
      <c r="O5238" s="387"/>
      <c r="P5238" s="387"/>
      <c r="Q5238" s="387"/>
    </row>
    <row r="5239" spans="15:17" ht="20.100000000000001" customHeight="1">
      <c r="O5239" s="387"/>
      <c r="P5239" s="387"/>
      <c r="Q5239" s="387"/>
    </row>
    <row r="5240" spans="15:17" ht="20.100000000000001" customHeight="1">
      <c r="O5240" s="387"/>
      <c r="P5240" s="387"/>
      <c r="Q5240" s="387"/>
    </row>
    <row r="5241" spans="15:17" ht="20.100000000000001" customHeight="1">
      <c r="O5241" s="387"/>
      <c r="P5241" s="387"/>
      <c r="Q5241" s="387"/>
    </row>
    <row r="5242" spans="15:17" ht="20.100000000000001" customHeight="1">
      <c r="O5242" s="387"/>
      <c r="P5242" s="387"/>
      <c r="Q5242" s="387"/>
    </row>
    <row r="5243" spans="15:17" ht="20.100000000000001" customHeight="1">
      <c r="O5243" s="387"/>
      <c r="P5243" s="387"/>
      <c r="Q5243" s="387"/>
    </row>
    <row r="5244" spans="15:17" ht="20.100000000000001" customHeight="1">
      <c r="O5244" s="387"/>
      <c r="P5244" s="387"/>
      <c r="Q5244" s="387"/>
    </row>
    <row r="5245" spans="15:17" ht="20.100000000000001" customHeight="1">
      <c r="O5245" s="387"/>
      <c r="P5245" s="387"/>
      <c r="Q5245" s="387"/>
    </row>
    <row r="5246" spans="15:17" ht="20.100000000000001" customHeight="1">
      <c r="O5246" s="387"/>
      <c r="P5246" s="387"/>
      <c r="Q5246" s="387"/>
    </row>
    <row r="5247" spans="15:17" ht="20.100000000000001" customHeight="1">
      <c r="O5247" s="387"/>
      <c r="P5247" s="387"/>
      <c r="Q5247" s="387"/>
    </row>
    <row r="5248" spans="15:17" ht="20.100000000000001" customHeight="1">
      <c r="O5248" s="387"/>
      <c r="P5248" s="387"/>
      <c r="Q5248" s="387"/>
    </row>
    <row r="5249" spans="15:17" ht="20.100000000000001" customHeight="1">
      <c r="O5249" s="387"/>
      <c r="P5249" s="387"/>
      <c r="Q5249" s="387"/>
    </row>
    <row r="5250" spans="15:17" ht="20.100000000000001" customHeight="1">
      <c r="O5250" s="387"/>
      <c r="P5250" s="387"/>
      <c r="Q5250" s="387"/>
    </row>
    <row r="5251" spans="15:17" ht="20.100000000000001" customHeight="1">
      <c r="O5251" s="387"/>
      <c r="P5251" s="387"/>
      <c r="Q5251" s="387"/>
    </row>
    <row r="5252" spans="15:17" ht="20.100000000000001" customHeight="1">
      <c r="O5252" s="387"/>
      <c r="P5252" s="387"/>
      <c r="Q5252" s="387"/>
    </row>
    <row r="5253" spans="15:17" ht="20.100000000000001" customHeight="1">
      <c r="O5253" s="387"/>
      <c r="P5253" s="387"/>
      <c r="Q5253" s="387"/>
    </row>
    <row r="5254" spans="15:17" ht="20.100000000000001" customHeight="1">
      <c r="O5254" s="387"/>
      <c r="P5254" s="387"/>
      <c r="Q5254" s="387"/>
    </row>
    <row r="5255" spans="15:17" ht="20.100000000000001" customHeight="1">
      <c r="O5255" s="387"/>
      <c r="P5255" s="387"/>
      <c r="Q5255" s="387"/>
    </row>
    <row r="5256" spans="15:17" ht="20.100000000000001" customHeight="1">
      <c r="O5256" s="387"/>
      <c r="P5256" s="387"/>
      <c r="Q5256" s="387"/>
    </row>
    <row r="5257" spans="15:17" ht="20.100000000000001" customHeight="1">
      <c r="O5257" s="387"/>
      <c r="P5257" s="387"/>
      <c r="Q5257" s="387"/>
    </row>
    <row r="5258" spans="15:17" ht="20.100000000000001" customHeight="1">
      <c r="O5258" s="387"/>
      <c r="P5258" s="387"/>
      <c r="Q5258" s="387"/>
    </row>
    <row r="5259" spans="15:17" ht="20.100000000000001" customHeight="1">
      <c r="O5259" s="387"/>
      <c r="P5259" s="387"/>
      <c r="Q5259" s="387"/>
    </row>
    <row r="5260" spans="15:17" ht="20.100000000000001" customHeight="1">
      <c r="O5260" s="387"/>
      <c r="P5260" s="387"/>
      <c r="Q5260" s="387"/>
    </row>
    <row r="5261" spans="15:17" ht="20.100000000000001" customHeight="1">
      <c r="O5261" s="387"/>
      <c r="P5261" s="387"/>
      <c r="Q5261" s="387"/>
    </row>
    <row r="5262" spans="15:17" ht="20.100000000000001" customHeight="1">
      <c r="O5262" s="387"/>
      <c r="P5262" s="387"/>
      <c r="Q5262" s="387"/>
    </row>
    <row r="5263" spans="15:17" ht="20.100000000000001" customHeight="1">
      <c r="O5263" s="387"/>
      <c r="P5263" s="387"/>
      <c r="Q5263" s="387"/>
    </row>
    <row r="5264" spans="15:17" ht="20.100000000000001" customHeight="1">
      <c r="O5264" s="387"/>
      <c r="P5264" s="387"/>
      <c r="Q5264" s="387"/>
    </row>
    <row r="5265" spans="15:17" ht="20.100000000000001" customHeight="1">
      <c r="O5265" s="387"/>
      <c r="P5265" s="387"/>
      <c r="Q5265" s="387"/>
    </row>
    <row r="5266" spans="15:17" ht="20.100000000000001" customHeight="1">
      <c r="O5266" s="387"/>
      <c r="P5266" s="387"/>
      <c r="Q5266" s="387"/>
    </row>
    <row r="5267" spans="15:17" ht="20.100000000000001" customHeight="1">
      <c r="O5267" s="387"/>
      <c r="P5267" s="387"/>
      <c r="Q5267" s="387"/>
    </row>
    <row r="5268" spans="15:17" ht="20.100000000000001" customHeight="1">
      <c r="O5268" s="387"/>
      <c r="P5268" s="387"/>
      <c r="Q5268" s="387"/>
    </row>
    <row r="5269" spans="15:17" ht="20.100000000000001" customHeight="1">
      <c r="O5269" s="387"/>
      <c r="P5269" s="387"/>
      <c r="Q5269" s="387"/>
    </row>
    <row r="5270" spans="15:17" ht="20.100000000000001" customHeight="1">
      <c r="O5270" s="387"/>
      <c r="P5270" s="387"/>
      <c r="Q5270" s="387"/>
    </row>
    <row r="5271" spans="15:17" ht="20.100000000000001" customHeight="1">
      <c r="O5271" s="387"/>
      <c r="P5271" s="387"/>
      <c r="Q5271" s="387"/>
    </row>
    <row r="5272" spans="15:17" ht="20.100000000000001" customHeight="1">
      <c r="O5272" s="387"/>
      <c r="P5272" s="387"/>
      <c r="Q5272" s="387"/>
    </row>
    <row r="5273" spans="15:17" ht="20.100000000000001" customHeight="1">
      <c r="O5273" s="387"/>
      <c r="P5273" s="387"/>
      <c r="Q5273" s="387"/>
    </row>
    <row r="5274" spans="15:17" ht="20.100000000000001" customHeight="1">
      <c r="O5274" s="387"/>
      <c r="P5274" s="387"/>
      <c r="Q5274" s="387"/>
    </row>
    <row r="5275" spans="15:17" ht="20.100000000000001" customHeight="1">
      <c r="O5275" s="387"/>
      <c r="P5275" s="387"/>
      <c r="Q5275" s="387"/>
    </row>
    <row r="5276" spans="15:17" ht="20.100000000000001" customHeight="1">
      <c r="O5276" s="387"/>
      <c r="P5276" s="387"/>
      <c r="Q5276" s="387"/>
    </row>
    <row r="5277" spans="15:17" ht="20.100000000000001" customHeight="1">
      <c r="O5277" s="387"/>
      <c r="P5277" s="387"/>
      <c r="Q5277" s="387"/>
    </row>
    <row r="5278" spans="15:17" ht="20.100000000000001" customHeight="1">
      <c r="O5278" s="387"/>
      <c r="P5278" s="387"/>
      <c r="Q5278" s="387"/>
    </row>
    <row r="5279" spans="15:17" ht="20.100000000000001" customHeight="1">
      <c r="O5279" s="387"/>
      <c r="P5279" s="387"/>
      <c r="Q5279" s="387"/>
    </row>
    <row r="5280" spans="15:17" ht="20.100000000000001" customHeight="1">
      <c r="O5280" s="387"/>
      <c r="P5280" s="387"/>
      <c r="Q5280" s="387"/>
    </row>
    <row r="5281" spans="15:17" ht="20.100000000000001" customHeight="1">
      <c r="O5281" s="387"/>
      <c r="P5281" s="387"/>
      <c r="Q5281" s="387"/>
    </row>
    <row r="5282" spans="15:17" ht="20.100000000000001" customHeight="1">
      <c r="O5282" s="387"/>
      <c r="P5282" s="387"/>
      <c r="Q5282" s="387"/>
    </row>
    <row r="5283" spans="15:17" ht="20.100000000000001" customHeight="1">
      <c r="O5283" s="387"/>
      <c r="P5283" s="387"/>
      <c r="Q5283" s="387"/>
    </row>
    <row r="5284" spans="15:17" ht="20.100000000000001" customHeight="1">
      <c r="O5284" s="387"/>
      <c r="P5284" s="387"/>
      <c r="Q5284" s="387"/>
    </row>
    <row r="5285" spans="15:17" ht="20.100000000000001" customHeight="1">
      <c r="O5285" s="387"/>
      <c r="P5285" s="387"/>
      <c r="Q5285" s="387"/>
    </row>
    <row r="5286" spans="15:17" ht="20.100000000000001" customHeight="1">
      <c r="O5286" s="387"/>
      <c r="P5286" s="387"/>
      <c r="Q5286" s="387"/>
    </row>
    <row r="5287" spans="15:17" ht="20.100000000000001" customHeight="1">
      <c r="O5287" s="387"/>
      <c r="P5287" s="387"/>
      <c r="Q5287" s="387"/>
    </row>
    <row r="5288" spans="15:17" ht="20.100000000000001" customHeight="1">
      <c r="O5288" s="387"/>
      <c r="P5288" s="387"/>
      <c r="Q5288" s="387"/>
    </row>
    <row r="5289" spans="15:17" ht="20.100000000000001" customHeight="1">
      <c r="O5289" s="387"/>
      <c r="P5289" s="387"/>
      <c r="Q5289" s="387"/>
    </row>
    <row r="5290" spans="15:17" ht="20.100000000000001" customHeight="1">
      <c r="O5290" s="387"/>
      <c r="P5290" s="387"/>
      <c r="Q5290" s="387"/>
    </row>
    <row r="5291" spans="15:17" ht="20.100000000000001" customHeight="1">
      <c r="O5291" s="387"/>
      <c r="P5291" s="387"/>
      <c r="Q5291" s="387"/>
    </row>
    <row r="5292" spans="15:17" ht="20.100000000000001" customHeight="1">
      <c r="O5292" s="387"/>
      <c r="P5292" s="387"/>
      <c r="Q5292" s="387"/>
    </row>
    <row r="5293" spans="15:17" ht="20.100000000000001" customHeight="1">
      <c r="O5293" s="387"/>
      <c r="P5293" s="387"/>
      <c r="Q5293" s="387"/>
    </row>
    <row r="5294" spans="15:17" ht="20.100000000000001" customHeight="1">
      <c r="O5294" s="387"/>
      <c r="P5294" s="387"/>
      <c r="Q5294" s="387"/>
    </row>
    <row r="5295" spans="15:17" ht="20.100000000000001" customHeight="1">
      <c r="O5295" s="387"/>
      <c r="P5295" s="387"/>
      <c r="Q5295" s="387"/>
    </row>
    <row r="5296" spans="15:17" ht="20.100000000000001" customHeight="1">
      <c r="O5296" s="387"/>
      <c r="P5296" s="387"/>
      <c r="Q5296" s="387"/>
    </row>
    <row r="5297" spans="15:17" ht="20.100000000000001" customHeight="1">
      <c r="O5297" s="387"/>
      <c r="P5297" s="387"/>
      <c r="Q5297" s="387"/>
    </row>
    <row r="5298" spans="15:17" ht="20.100000000000001" customHeight="1">
      <c r="O5298" s="387"/>
      <c r="P5298" s="387"/>
      <c r="Q5298" s="387"/>
    </row>
    <row r="5299" spans="15:17" ht="20.100000000000001" customHeight="1">
      <c r="O5299" s="387"/>
      <c r="P5299" s="387"/>
      <c r="Q5299" s="387"/>
    </row>
    <row r="5300" spans="15:17" ht="20.100000000000001" customHeight="1">
      <c r="O5300" s="387"/>
      <c r="P5300" s="387"/>
      <c r="Q5300" s="387"/>
    </row>
    <row r="5301" spans="15:17" ht="20.100000000000001" customHeight="1">
      <c r="O5301" s="387"/>
      <c r="P5301" s="387"/>
      <c r="Q5301" s="387"/>
    </row>
    <row r="5302" spans="15:17" ht="20.100000000000001" customHeight="1">
      <c r="O5302" s="387"/>
      <c r="P5302" s="387"/>
      <c r="Q5302" s="387"/>
    </row>
    <row r="5303" spans="15:17" ht="20.100000000000001" customHeight="1">
      <c r="O5303" s="387"/>
      <c r="P5303" s="387"/>
      <c r="Q5303" s="387"/>
    </row>
    <row r="5304" spans="15:17" ht="20.100000000000001" customHeight="1">
      <c r="O5304" s="387"/>
      <c r="P5304" s="387"/>
      <c r="Q5304" s="387"/>
    </row>
    <row r="5305" spans="15:17" ht="20.100000000000001" customHeight="1">
      <c r="O5305" s="387"/>
      <c r="P5305" s="387"/>
      <c r="Q5305" s="387"/>
    </row>
    <row r="5306" spans="15:17" ht="20.100000000000001" customHeight="1">
      <c r="O5306" s="387"/>
      <c r="P5306" s="387"/>
      <c r="Q5306" s="387"/>
    </row>
    <row r="5307" spans="15:17" ht="20.100000000000001" customHeight="1">
      <c r="O5307" s="387"/>
      <c r="P5307" s="387"/>
      <c r="Q5307" s="387"/>
    </row>
    <row r="5308" spans="15:17" ht="20.100000000000001" customHeight="1">
      <c r="O5308" s="387"/>
      <c r="P5308" s="387"/>
      <c r="Q5308" s="387"/>
    </row>
    <row r="5309" spans="15:17" ht="20.100000000000001" customHeight="1">
      <c r="O5309" s="387"/>
      <c r="P5309" s="387"/>
      <c r="Q5309" s="387"/>
    </row>
    <row r="5310" spans="15:17" ht="20.100000000000001" customHeight="1">
      <c r="O5310" s="387"/>
      <c r="P5310" s="387"/>
      <c r="Q5310" s="387"/>
    </row>
    <row r="5311" spans="15:17" ht="20.100000000000001" customHeight="1">
      <c r="O5311" s="387"/>
      <c r="P5311" s="387"/>
      <c r="Q5311" s="387"/>
    </row>
    <row r="5312" spans="15:17" ht="20.100000000000001" customHeight="1">
      <c r="O5312" s="387"/>
      <c r="P5312" s="387"/>
      <c r="Q5312" s="387"/>
    </row>
    <row r="5313" spans="15:17" ht="20.100000000000001" customHeight="1">
      <c r="O5313" s="387"/>
      <c r="P5313" s="387"/>
      <c r="Q5313" s="387"/>
    </row>
    <row r="5314" spans="15:17" ht="20.100000000000001" customHeight="1">
      <c r="O5314" s="387"/>
      <c r="P5314" s="387"/>
      <c r="Q5314" s="387"/>
    </row>
    <row r="5315" spans="15:17" ht="20.100000000000001" customHeight="1">
      <c r="O5315" s="387"/>
      <c r="P5315" s="387"/>
      <c r="Q5315" s="387"/>
    </row>
    <row r="5316" spans="15:17" ht="20.100000000000001" customHeight="1">
      <c r="O5316" s="387"/>
      <c r="P5316" s="387"/>
      <c r="Q5316" s="387"/>
    </row>
    <row r="5317" spans="15:17" ht="20.100000000000001" customHeight="1">
      <c r="O5317" s="387"/>
      <c r="P5317" s="387"/>
      <c r="Q5317" s="387"/>
    </row>
    <row r="5318" spans="15:17" ht="20.100000000000001" customHeight="1">
      <c r="O5318" s="387"/>
      <c r="P5318" s="387"/>
      <c r="Q5318" s="387"/>
    </row>
    <row r="5319" spans="15:17" ht="20.100000000000001" customHeight="1">
      <c r="O5319" s="387"/>
      <c r="P5319" s="387"/>
      <c r="Q5319" s="387"/>
    </row>
    <row r="5320" spans="15:17" ht="20.100000000000001" customHeight="1">
      <c r="O5320" s="387"/>
      <c r="P5320" s="387"/>
      <c r="Q5320" s="387"/>
    </row>
    <row r="5321" spans="15:17" ht="20.100000000000001" customHeight="1">
      <c r="O5321" s="387"/>
      <c r="P5321" s="387"/>
      <c r="Q5321" s="387"/>
    </row>
    <row r="5322" spans="15:17" ht="20.100000000000001" customHeight="1">
      <c r="O5322" s="387"/>
      <c r="P5322" s="387"/>
      <c r="Q5322" s="387"/>
    </row>
    <row r="5323" spans="15:17" ht="20.100000000000001" customHeight="1">
      <c r="O5323" s="387"/>
      <c r="P5323" s="387"/>
      <c r="Q5323" s="387"/>
    </row>
    <row r="5324" spans="15:17" ht="20.100000000000001" customHeight="1">
      <c r="O5324" s="387"/>
      <c r="P5324" s="387"/>
      <c r="Q5324" s="387"/>
    </row>
    <row r="5325" spans="15:17" ht="20.100000000000001" customHeight="1">
      <c r="O5325" s="387"/>
      <c r="P5325" s="387"/>
      <c r="Q5325" s="387"/>
    </row>
    <row r="5326" spans="15:17" ht="20.100000000000001" customHeight="1">
      <c r="O5326" s="387"/>
      <c r="P5326" s="387"/>
      <c r="Q5326" s="387"/>
    </row>
    <row r="5327" spans="15:17" ht="20.100000000000001" customHeight="1">
      <c r="O5327" s="387"/>
      <c r="P5327" s="387"/>
      <c r="Q5327" s="387"/>
    </row>
    <row r="5328" spans="15:17" ht="20.100000000000001" customHeight="1">
      <c r="O5328" s="387"/>
      <c r="P5328" s="387"/>
      <c r="Q5328" s="387"/>
    </row>
    <row r="5329" spans="15:17" ht="20.100000000000001" customHeight="1">
      <c r="O5329" s="387"/>
      <c r="P5329" s="387"/>
      <c r="Q5329" s="387"/>
    </row>
    <row r="5330" spans="15:17" ht="20.100000000000001" customHeight="1">
      <c r="O5330" s="387"/>
      <c r="P5330" s="387"/>
      <c r="Q5330" s="387"/>
    </row>
    <row r="5331" spans="15:17" ht="20.100000000000001" customHeight="1">
      <c r="O5331" s="387"/>
      <c r="P5331" s="387"/>
      <c r="Q5331" s="387"/>
    </row>
    <row r="5332" spans="15:17" ht="20.100000000000001" customHeight="1">
      <c r="O5332" s="387"/>
      <c r="P5332" s="387"/>
      <c r="Q5332" s="387"/>
    </row>
    <row r="5333" spans="15:17" ht="20.100000000000001" customHeight="1">
      <c r="O5333" s="387"/>
      <c r="P5333" s="387"/>
      <c r="Q5333" s="387"/>
    </row>
    <row r="5334" spans="15:17" ht="20.100000000000001" customHeight="1">
      <c r="O5334" s="387"/>
      <c r="P5334" s="387"/>
      <c r="Q5334" s="387"/>
    </row>
    <row r="5335" spans="15:17" ht="20.100000000000001" customHeight="1">
      <c r="O5335" s="387"/>
      <c r="P5335" s="387"/>
      <c r="Q5335" s="387"/>
    </row>
    <row r="5336" spans="15:17" ht="20.100000000000001" customHeight="1">
      <c r="O5336" s="387"/>
      <c r="P5336" s="387"/>
      <c r="Q5336" s="387"/>
    </row>
    <row r="5337" spans="15:17" ht="20.100000000000001" customHeight="1">
      <c r="O5337" s="387"/>
      <c r="P5337" s="387"/>
      <c r="Q5337" s="387"/>
    </row>
    <row r="5338" spans="15:17" ht="20.100000000000001" customHeight="1">
      <c r="O5338" s="387"/>
      <c r="P5338" s="387"/>
      <c r="Q5338" s="387"/>
    </row>
    <row r="5339" spans="15:17" ht="20.100000000000001" customHeight="1">
      <c r="O5339" s="387"/>
      <c r="P5339" s="387"/>
      <c r="Q5339" s="387"/>
    </row>
    <row r="5340" spans="15:17" ht="20.100000000000001" customHeight="1">
      <c r="O5340" s="387"/>
      <c r="P5340" s="387"/>
      <c r="Q5340" s="387"/>
    </row>
    <row r="5341" spans="15:17" ht="20.100000000000001" customHeight="1">
      <c r="O5341" s="387"/>
      <c r="P5341" s="387"/>
      <c r="Q5341" s="387"/>
    </row>
    <row r="5342" spans="15:17" ht="20.100000000000001" customHeight="1">
      <c r="O5342" s="387"/>
      <c r="P5342" s="387"/>
      <c r="Q5342" s="387"/>
    </row>
    <row r="5343" spans="15:17" ht="20.100000000000001" customHeight="1">
      <c r="O5343" s="387"/>
      <c r="P5343" s="387"/>
      <c r="Q5343" s="387"/>
    </row>
    <row r="5344" spans="15:17" ht="20.100000000000001" customHeight="1">
      <c r="O5344" s="387"/>
      <c r="P5344" s="387"/>
      <c r="Q5344" s="387"/>
    </row>
    <row r="5345" spans="15:17" ht="20.100000000000001" customHeight="1">
      <c r="O5345" s="387"/>
      <c r="P5345" s="387"/>
      <c r="Q5345" s="387"/>
    </row>
    <row r="5346" spans="15:17" ht="20.100000000000001" customHeight="1">
      <c r="O5346" s="387"/>
      <c r="P5346" s="387"/>
      <c r="Q5346" s="387"/>
    </row>
    <row r="5347" spans="15:17" ht="20.100000000000001" customHeight="1">
      <c r="O5347" s="387"/>
      <c r="P5347" s="387"/>
      <c r="Q5347" s="387"/>
    </row>
    <row r="5348" spans="15:17" ht="20.100000000000001" customHeight="1">
      <c r="O5348" s="387"/>
      <c r="P5348" s="387"/>
      <c r="Q5348" s="387"/>
    </row>
    <row r="5349" spans="15:17" ht="20.100000000000001" customHeight="1">
      <c r="O5349" s="387"/>
      <c r="P5349" s="387"/>
      <c r="Q5349" s="387"/>
    </row>
    <row r="5350" spans="15:17" ht="20.100000000000001" customHeight="1">
      <c r="O5350" s="387"/>
      <c r="P5350" s="387"/>
      <c r="Q5350" s="387"/>
    </row>
    <row r="5351" spans="15:17" ht="20.100000000000001" customHeight="1">
      <c r="O5351" s="387"/>
      <c r="P5351" s="387"/>
      <c r="Q5351" s="387"/>
    </row>
    <row r="5352" spans="15:17" ht="20.100000000000001" customHeight="1">
      <c r="O5352" s="387"/>
      <c r="P5352" s="387"/>
      <c r="Q5352" s="387"/>
    </row>
    <row r="5353" spans="15:17" ht="20.100000000000001" customHeight="1">
      <c r="O5353" s="387"/>
      <c r="P5353" s="387"/>
      <c r="Q5353" s="387"/>
    </row>
    <row r="5354" spans="15:17" ht="20.100000000000001" customHeight="1">
      <c r="O5354" s="387"/>
      <c r="P5354" s="387"/>
      <c r="Q5354" s="387"/>
    </row>
    <row r="5355" spans="15:17" ht="20.100000000000001" customHeight="1">
      <c r="O5355" s="387"/>
      <c r="P5355" s="387"/>
      <c r="Q5355" s="387"/>
    </row>
    <row r="5356" spans="15:17" ht="20.100000000000001" customHeight="1">
      <c r="O5356" s="387"/>
      <c r="P5356" s="387"/>
      <c r="Q5356" s="387"/>
    </row>
    <row r="5357" spans="15:17" ht="20.100000000000001" customHeight="1">
      <c r="O5357" s="387"/>
      <c r="P5357" s="387"/>
      <c r="Q5357" s="387"/>
    </row>
    <row r="5358" spans="15:17" ht="20.100000000000001" customHeight="1">
      <c r="O5358" s="387"/>
      <c r="P5358" s="387"/>
      <c r="Q5358" s="387"/>
    </row>
    <row r="5359" spans="15:17" ht="20.100000000000001" customHeight="1">
      <c r="O5359" s="387"/>
      <c r="P5359" s="387"/>
      <c r="Q5359" s="387"/>
    </row>
    <row r="5360" spans="15:17" ht="20.100000000000001" customHeight="1">
      <c r="O5360" s="387"/>
      <c r="P5360" s="387"/>
      <c r="Q5360" s="387"/>
    </row>
    <row r="5361" spans="15:17" ht="20.100000000000001" customHeight="1">
      <c r="O5361" s="387"/>
      <c r="P5361" s="387"/>
      <c r="Q5361" s="387"/>
    </row>
    <row r="5362" spans="15:17" ht="20.100000000000001" customHeight="1">
      <c r="O5362" s="387"/>
      <c r="P5362" s="387"/>
      <c r="Q5362" s="387"/>
    </row>
    <row r="5363" spans="15:17" ht="20.100000000000001" customHeight="1">
      <c r="O5363" s="387"/>
      <c r="P5363" s="387"/>
      <c r="Q5363" s="387"/>
    </row>
    <row r="5364" spans="15:17" ht="20.100000000000001" customHeight="1">
      <c r="O5364" s="387"/>
      <c r="P5364" s="387"/>
      <c r="Q5364" s="387"/>
    </row>
    <row r="5365" spans="15:17" ht="20.100000000000001" customHeight="1">
      <c r="O5365" s="387"/>
      <c r="P5365" s="387"/>
      <c r="Q5365" s="387"/>
    </row>
    <row r="5366" spans="15:17" ht="20.100000000000001" customHeight="1">
      <c r="O5366" s="387"/>
      <c r="P5366" s="387"/>
      <c r="Q5366" s="387"/>
    </row>
    <row r="5367" spans="15:17" ht="20.100000000000001" customHeight="1">
      <c r="O5367" s="387"/>
      <c r="P5367" s="387"/>
      <c r="Q5367" s="387"/>
    </row>
    <row r="5368" spans="15:17" ht="20.100000000000001" customHeight="1">
      <c r="O5368" s="387"/>
      <c r="P5368" s="387"/>
      <c r="Q5368" s="387"/>
    </row>
    <row r="5369" spans="15:17" ht="20.100000000000001" customHeight="1">
      <c r="O5369" s="387"/>
      <c r="P5369" s="387"/>
      <c r="Q5369" s="387"/>
    </row>
    <row r="5370" spans="15:17" ht="20.100000000000001" customHeight="1">
      <c r="O5370" s="387"/>
      <c r="P5370" s="387"/>
      <c r="Q5370" s="387"/>
    </row>
    <row r="5371" spans="15:17" ht="20.100000000000001" customHeight="1">
      <c r="O5371" s="387"/>
      <c r="P5371" s="387"/>
      <c r="Q5371" s="387"/>
    </row>
    <row r="5372" spans="15:17" ht="20.100000000000001" customHeight="1">
      <c r="O5372" s="387"/>
      <c r="P5372" s="387"/>
      <c r="Q5372" s="387"/>
    </row>
    <row r="5373" spans="15:17" ht="20.100000000000001" customHeight="1">
      <c r="O5373" s="387"/>
      <c r="P5373" s="387"/>
      <c r="Q5373" s="387"/>
    </row>
    <row r="5374" spans="15:17" ht="20.100000000000001" customHeight="1">
      <c r="O5374" s="387"/>
      <c r="P5374" s="387"/>
      <c r="Q5374" s="387"/>
    </row>
    <row r="5375" spans="15:17" ht="20.100000000000001" customHeight="1">
      <c r="O5375" s="387"/>
      <c r="P5375" s="387"/>
      <c r="Q5375" s="387"/>
    </row>
    <row r="5376" spans="15:17" ht="20.100000000000001" customHeight="1">
      <c r="O5376" s="387"/>
      <c r="P5376" s="387"/>
      <c r="Q5376" s="387"/>
    </row>
    <row r="5377" spans="15:17" ht="20.100000000000001" customHeight="1">
      <c r="O5377" s="387"/>
      <c r="P5377" s="387"/>
      <c r="Q5377" s="387"/>
    </row>
    <row r="5378" spans="15:17" ht="20.100000000000001" customHeight="1">
      <c r="O5378" s="387"/>
      <c r="P5378" s="387"/>
      <c r="Q5378" s="387"/>
    </row>
    <row r="5379" spans="15:17" ht="20.100000000000001" customHeight="1">
      <c r="O5379" s="387"/>
      <c r="P5379" s="387"/>
      <c r="Q5379" s="387"/>
    </row>
    <row r="5380" spans="15:17" ht="20.100000000000001" customHeight="1">
      <c r="O5380" s="387"/>
      <c r="P5380" s="387"/>
      <c r="Q5380" s="387"/>
    </row>
    <row r="5381" spans="15:17" ht="20.100000000000001" customHeight="1">
      <c r="O5381" s="387"/>
      <c r="P5381" s="387"/>
      <c r="Q5381" s="387"/>
    </row>
    <row r="5382" spans="15:17" ht="20.100000000000001" customHeight="1">
      <c r="O5382" s="387"/>
      <c r="P5382" s="387"/>
      <c r="Q5382" s="387"/>
    </row>
    <row r="5383" spans="15:17" ht="20.100000000000001" customHeight="1">
      <c r="O5383" s="387"/>
      <c r="P5383" s="387"/>
      <c r="Q5383" s="387"/>
    </row>
    <row r="5384" spans="15:17" ht="20.100000000000001" customHeight="1">
      <c r="O5384" s="387"/>
      <c r="P5384" s="387"/>
      <c r="Q5384" s="387"/>
    </row>
    <row r="5385" spans="15:17" ht="20.100000000000001" customHeight="1">
      <c r="O5385" s="387"/>
      <c r="P5385" s="387"/>
      <c r="Q5385" s="387"/>
    </row>
    <row r="5386" spans="15:17" ht="20.100000000000001" customHeight="1">
      <c r="O5386" s="387"/>
      <c r="P5386" s="387"/>
      <c r="Q5386" s="387"/>
    </row>
    <row r="5387" spans="15:17" ht="20.100000000000001" customHeight="1">
      <c r="O5387" s="387"/>
      <c r="P5387" s="387"/>
      <c r="Q5387" s="387"/>
    </row>
    <row r="5388" spans="15:17" ht="20.100000000000001" customHeight="1">
      <c r="O5388" s="387"/>
      <c r="P5388" s="387"/>
      <c r="Q5388" s="387"/>
    </row>
    <row r="5389" spans="15:17" ht="20.100000000000001" customHeight="1">
      <c r="O5389" s="387"/>
      <c r="P5389" s="387"/>
      <c r="Q5389" s="387"/>
    </row>
    <row r="5390" spans="15:17" ht="20.100000000000001" customHeight="1">
      <c r="O5390" s="387"/>
      <c r="P5390" s="387"/>
      <c r="Q5390" s="387"/>
    </row>
    <row r="5391" spans="15:17" ht="20.100000000000001" customHeight="1">
      <c r="O5391" s="387"/>
      <c r="P5391" s="387"/>
      <c r="Q5391" s="387"/>
    </row>
    <row r="5392" spans="15:17" ht="20.100000000000001" customHeight="1">
      <c r="O5392" s="387"/>
      <c r="P5392" s="387"/>
      <c r="Q5392" s="387"/>
    </row>
    <row r="5393" spans="15:17" ht="20.100000000000001" customHeight="1">
      <c r="O5393" s="387"/>
      <c r="P5393" s="387"/>
      <c r="Q5393" s="387"/>
    </row>
    <row r="5394" spans="15:17" ht="20.100000000000001" customHeight="1">
      <c r="O5394" s="387"/>
      <c r="P5394" s="387"/>
      <c r="Q5394" s="387"/>
    </row>
    <row r="5395" spans="15:17" ht="20.100000000000001" customHeight="1">
      <c r="O5395" s="387"/>
      <c r="P5395" s="387"/>
      <c r="Q5395" s="387"/>
    </row>
    <row r="5396" spans="15:17" ht="20.100000000000001" customHeight="1">
      <c r="O5396" s="387"/>
      <c r="P5396" s="387"/>
      <c r="Q5396" s="387"/>
    </row>
    <row r="5397" spans="15:17" ht="20.100000000000001" customHeight="1">
      <c r="O5397" s="387"/>
      <c r="P5397" s="387"/>
      <c r="Q5397" s="387"/>
    </row>
    <row r="5398" spans="15:17" ht="20.100000000000001" customHeight="1">
      <c r="O5398" s="387"/>
      <c r="P5398" s="387"/>
      <c r="Q5398" s="387"/>
    </row>
    <row r="5399" spans="15:17" ht="20.100000000000001" customHeight="1">
      <c r="O5399" s="387"/>
      <c r="P5399" s="387"/>
      <c r="Q5399" s="387"/>
    </row>
    <row r="5400" spans="15:17" ht="20.100000000000001" customHeight="1">
      <c r="O5400" s="387"/>
      <c r="P5400" s="387"/>
      <c r="Q5400" s="387"/>
    </row>
    <row r="5401" spans="15:17" ht="20.100000000000001" customHeight="1">
      <c r="O5401" s="387"/>
      <c r="P5401" s="387"/>
      <c r="Q5401" s="387"/>
    </row>
    <row r="5402" spans="15:17" ht="20.100000000000001" customHeight="1">
      <c r="O5402" s="387"/>
      <c r="P5402" s="387"/>
      <c r="Q5402" s="387"/>
    </row>
    <row r="5403" spans="15:17" ht="20.100000000000001" customHeight="1">
      <c r="O5403" s="387"/>
      <c r="P5403" s="387"/>
      <c r="Q5403" s="387"/>
    </row>
    <row r="5404" spans="15:17" ht="20.100000000000001" customHeight="1">
      <c r="O5404" s="387"/>
      <c r="P5404" s="387"/>
      <c r="Q5404" s="387"/>
    </row>
    <row r="5405" spans="15:17" ht="20.100000000000001" customHeight="1">
      <c r="O5405" s="387"/>
      <c r="P5405" s="387"/>
      <c r="Q5405" s="387"/>
    </row>
    <row r="5406" spans="15:17" ht="20.100000000000001" customHeight="1">
      <c r="O5406" s="387"/>
      <c r="P5406" s="387"/>
      <c r="Q5406" s="387"/>
    </row>
    <row r="5407" spans="15:17" ht="20.100000000000001" customHeight="1">
      <c r="O5407" s="387"/>
      <c r="P5407" s="387"/>
      <c r="Q5407" s="387"/>
    </row>
    <row r="5408" spans="15:17" ht="20.100000000000001" customHeight="1">
      <c r="O5408" s="387"/>
      <c r="P5408" s="387"/>
      <c r="Q5408" s="387"/>
    </row>
    <row r="5409" spans="15:17" ht="20.100000000000001" customHeight="1">
      <c r="O5409" s="387"/>
      <c r="P5409" s="387"/>
      <c r="Q5409" s="387"/>
    </row>
    <row r="5410" spans="15:17" ht="20.100000000000001" customHeight="1">
      <c r="O5410" s="387"/>
      <c r="P5410" s="387"/>
      <c r="Q5410" s="387"/>
    </row>
    <row r="5411" spans="15:17" ht="20.100000000000001" customHeight="1">
      <c r="O5411" s="387"/>
      <c r="P5411" s="387"/>
      <c r="Q5411" s="387"/>
    </row>
    <row r="5412" spans="15:17" ht="20.100000000000001" customHeight="1">
      <c r="O5412" s="387"/>
      <c r="P5412" s="387"/>
      <c r="Q5412" s="387"/>
    </row>
    <row r="5413" spans="15:17" ht="20.100000000000001" customHeight="1">
      <c r="O5413" s="387"/>
      <c r="P5413" s="387"/>
      <c r="Q5413" s="387"/>
    </row>
    <row r="5414" spans="15:17" ht="20.100000000000001" customHeight="1">
      <c r="O5414" s="387"/>
      <c r="P5414" s="387"/>
      <c r="Q5414" s="387"/>
    </row>
    <row r="5415" spans="15:17" ht="20.100000000000001" customHeight="1">
      <c r="O5415" s="387"/>
      <c r="P5415" s="387"/>
      <c r="Q5415" s="387"/>
    </row>
    <row r="5416" spans="15:17" ht="20.100000000000001" customHeight="1">
      <c r="O5416" s="387"/>
      <c r="P5416" s="387"/>
      <c r="Q5416" s="387"/>
    </row>
    <row r="5417" spans="15:17" ht="20.100000000000001" customHeight="1">
      <c r="O5417" s="387"/>
      <c r="P5417" s="387"/>
      <c r="Q5417" s="387"/>
    </row>
    <row r="5418" spans="15:17" ht="20.100000000000001" customHeight="1">
      <c r="O5418" s="387"/>
      <c r="P5418" s="387"/>
      <c r="Q5418" s="387"/>
    </row>
    <row r="5419" spans="15:17" ht="20.100000000000001" customHeight="1">
      <c r="O5419" s="387"/>
      <c r="P5419" s="387"/>
      <c r="Q5419" s="387"/>
    </row>
    <row r="5420" spans="15:17" ht="20.100000000000001" customHeight="1">
      <c r="O5420" s="387"/>
      <c r="P5420" s="387"/>
      <c r="Q5420" s="387"/>
    </row>
    <row r="5421" spans="15:17" ht="20.100000000000001" customHeight="1">
      <c r="O5421" s="387"/>
      <c r="P5421" s="387"/>
      <c r="Q5421" s="387"/>
    </row>
    <row r="5422" spans="15:17" ht="20.100000000000001" customHeight="1">
      <c r="O5422" s="387"/>
      <c r="P5422" s="387"/>
      <c r="Q5422" s="387"/>
    </row>
    <row r="5423" spans="15:17" ht="20.100000000000001" customHeight="1">
      <c r="O5423" s="387"/>
      <c r="P5423" s="387"/>
      <c r="Q5423" s="387"/>
    </row>
    <row r="5424" spans="15:17" ht="20.100000000000001" customHeight="1">
      <c r="O5424" s="387"/>
      <c r="P5424" s="387"/>
      <c r="Q5424" s="387"/>
    </row>
    <row r="5425" spans="15:17" ht="20.100000000000001" customHeight="1">
      <c r="O5425" s="387"/>
      <c r="P5425" s="387"/>
      <c r="Q5425" s="387"/>
    </row>
    <row r="5426" spans="15:17" ht="20.100000000000001" customHeight="1">
      <c r="O5426" s="387"/>
      <c r="P5426" s="387"/>
      <c r="Q5426" s="387"/>
    </row>
    <row r="5427" spans="15:17" ht="20.100000000000001" customHeight="1">
      <c r="O5427" s="387"/>
      <c r="P5427" s="387"/>
      <c r="Q5427" s="387"/>
    </row>
    <row r="5428" spans="15:17" ht="20.100000000000001" customHeight="1">
      <c r="O5428" s="387"/>
      <c r="P5428" s="387"/>
      <c r="Q5428" s="387"/>
    </row>
    <row r="5429" spans="15:17" ht="20.100000000000001" customHeight="1">
      <c r="O5429" s="387"/>
      <c r="P5429" s="387"/>
      <c r="Q5429" s="387"/>
    </row>
    <row r="5430" spans="15:17" ht="20.100000000000001" customHeight="1">
      <c r="O5430" s="387"/>
      <c r="P5430" s="387"/>
      <c r="Q5430" s="387"/>
    </row>
    <row r="5431" spans="15:17" ht="20.100000000000001" customHeight="1">
      <c r="O5431" s="387"/>
      <c r="P5431" s="387"/>
      <c r="Q5431" s="387"/>
    </row>
    <row r="5432" spans="15:17" ht="20.100000000000001" customHeight="1">
      <c r="O5432" s="387"/>
      <c r="P5432" s="387"/>
      <c r="Q5432" s="387"/>
    </row>
    <row r="5433" spans="15:17" ht="20.100000000000001" customHeight="1">
      <c r="O5433" s="387"/>
      <c r="P5433" s="387"/>
      <c r="Q5433" s="387"/>
    </row>
    <row r="5434" spans="15:17" ht="20.100000000000001" customHeight="1">
      <c r="O5434" s="387"/>
      <c r="P5434" s="387"/>
      <c r="Q5434" s="387"/>
    </row>
    <row r="5435" spans="15:17" ht="20.100000000000001" customHeight="1">
      <c r="O5435" s="387"/>
      <c r="P5435" s="387"/>
      <c r="Q5435" s="387"/>
    </row>
    <row r="5436" spans="15:17" ht="20.100000000000001" customHeight="1">
      <c r="O5436" s="387"/>
      <c r="P5436" s="387"/>
      <c r="Q5436" s="387"/>
    </row>
    <row r="5437" spans="15:17" ht="20.100000000000001" customHeight="1">
      <c r="O5437" s="387"/>
      <c r="P5437" s="387"/>
      <c r="Q5437" s="387"/>
    </row>
    <row r="5438" spans="15:17" ht="20.100000000000001" customHeight="1">
      <c r="O5438" s="387"/>
      <c r="P5438" s="387"/>
      <c r="Q5438" s="387"/>
    </row>
    <row r="5439" spans="15:17" ht="20.100000000000001" customHeight="1">
      <c r="O5439" s="387"/>
      <c r="P5439" s="387"/>
      <c r="Q5439" s="387"/>
    </row>
    <row r="5440" spans="15:17" ht="20.100000000000001" customHeight="1">
      <c r="O5440" s="387"/>
      <c r="P5440" s="387"/>
      <c r="Q5440" s="387"/>
    </row>
    <row r="5441" spans="15:17" ht="20.100000000000001" customHeight="1">
      <c r="O5441" s="387"/>
      <c r="P5441" s="387"/>
      <c r="Q5441" s="387"/>
    </row>
    <row r="5442" spans="15:17" ht="20.100000000000001" customHeight="1">
      <c r="O5442" s="387"/>
      <c r="P5442" s="387"/>
      <c r="Q5442" s="387"/>
    </row>
    <row r="5443" spans="15:17" ht="20.100000000000001" customHeight="1">
      <c r="O5443" s="387"/>
      <c r="P5443" s="387"/>
      <c r="Q5443" s="387"/>
    </row>
    <row r="5444" spans="15:17" ht="20.100000000000001" customHeight="1">
      <c r="O5444" s="387"/>
      <c r="P5444" s="387"/>
      <c r="Q5444" s="387"/>
    </row>
    <row r="5445" spans="15:17" ht="20.100000000000001" customHeight="1">
      <c r="O5445" s="387"/>
      <c r="P5445" s="387"/>
      <c r="Q5445" s="387"/>
    </row>
    <row r="5446" spans="15:17" ht="20.100000000000001" customHeight="1">
      <c r="O5446" s="387"/>
      <c r="P5446" s="387"/>
      <c r="Q5446" s="387"/>
    </row>
    <row r="5447" spans="15:17" ht="20.100000000000001" customHeight="1">
      <c r="O5447" s="387"/>
      <c r="P5447" s="387"/>
      <c r="Q5447" s="387"/>
    </row>
    <row r="5448" spans="15:17" ht="20.100000000000001" customHeight="1">
      <c r="O5448" s="387"/>
      <c r="P5448" s="387"/>
      <c r="Q5448" s="387"/>
    </row>
    <row r="5449" spans="15:17" ht="20.100000000000001" customHeight="1">
      <c r="O5449" s="387"/>
      <c r="P5449" s="387"/>
      <c r="Q5449" s="387"/>
    </row>
    <row r="5450" spans="15:17" ht="20.100000000000001" customHeight="1">
      <c r="O5450" s="387"/>
      <c r="P5450" s="387"/>
      <c r="Q5450" s="387"/>
    </row>
    <row r="5451" spans="15:17" ht="20.100000000000001" customHeight="1">
      <c r="O5451" s="387"/>
      <c r="P5451" s="387"/>
      <c r="Q5451" s="387"/>
    </row>
    <row r="5452" spans="15:17" ht="20.100000000000001" customHeight="1">
      <c r="O5452" s="387"/>
      <c r="P5452" s="387"/>
      <c r="Q5452" s="387"/>
    </row>
    <row r="5453" spans="15:17" ht="20.100000000000001" customHeight="1">
      <c r="O5453" s="387"/>
      <c r="P5453" s="387"/>
      <c r="Q5453" s="387"/>
    </row>
    <row r="5454" spans="15:17" ht="20.100000000000001" customHeight="1">
      <c r="O5454" s="387"/>
      <c r="P5454" s="387"/>
      <c r="Q5454" s="387"/>
    </row>
    <row r="5455" spans="15:17" ht="20.100000000000001" customHeight="1">
      <c r="O5455" s="387"/>
      <c r="P5455" s="387"/>
      <c r="Q5455" s="387"/>
    </row>
    <row r="5456" spans="15:17" ht="20.100000000000001" customHeight="1">
      <c r="O5456" s="387"/>
      <c r="P5456" s="387"/>
      <c r="Q5456" s="387"/>
    </row>
    <row r="5457" spans="15:17" ht="20.100000000000001" customHeight="1">
      <c r="O5457" s="387"/>
      <c r="P5457" s="387"/>
      <c r="Q5457" s="387"/>
    </row>
    <row r="5458" spans="15:17" ht="20.100000000000001" customHeight="1">
      <c r="O5458" s="387"/>
      <c r="P5458" s="387"/>
      <c r="Q5458" s="387"/>
    </row>
    <row r="5459" spans="15:17" ht="20.100000000000001" customHeight="1">
      <c r="O5459" s="387"/>
      <c r="P5459" s="387"/>
      <c r="Q5459" s="387"/>
    </row>
    <row r="5460" spans="15:17" ht="20.100000000000001" customHeight="1">
      <c r="O5460" s="387"/>
      <c r="P5460" s="387"/>
      <c r="Q5460" s="387"/>
    </row>
    <row r="5461" spans="15:17" ht="20.100000000000001" customHeight="1">
      <c r="O5461" s="387"/>
      <c r="P5461" s="387"/>
      <c r="Q5461" s="387"/>
    </row>
    <row r="5462" spans="15:17" ht="20.100000000000001" customHeight="1">
      <c r="O5462" s="387"/>
      <c r="P5462" s="387"/>
      <c r="Q5462" s="387"/>
    </row>
    <row r="5463" spans="15:17" ht="20.100000000000001" customHeight="1">
      <c r="O5463" s="387"/>
      <c r="P5463" s="387"/>
      <c r="Q5463" s="387"/>
    </row>
    <row r="5464" spans="15:17" ht="20.100000000000001" customHeight="1">
      <c r="O5464" s="387"/>
      <c r="P5464" s="387"/>
      <c r="Q5464" s="387"/>
    </row>
    <row r="5465" spans="15:17" ht="20.100000000000001" customHeight="1">
      <c r="O5465" s="387"/>
      <c r="P5465" s="387"/>
      <c r="Q5465" s="387"/>
    </row>
    <row r="5466" spans="15:17" ht="20.100000000000001" customHeight="1">
      <c r="O5466" s="387"/>
      <c r="P5466" s="387"/>
      <c r="Q5466" s="387"/>
    </row>
    <row r="5467" spans="15:17" ht="20.100000000000001" customHeight="1">
      <c r="O5467" s="387"/>
      <c r="P5467" s="387"/>
      <c r="Q5467" s="387"/>
    </row>
    <row r="5468" spans="15:17" ht="20.100000000000001" customHeight="1">
      <c r="O5468" s="387"/>
      <c r="P5468" s="387"/>
      <c r="Q5468" s="387"/>
    </row>
    <row r="5469" spans="15:17" ht="20.100000000000001" customHeight="1">
      <c r="O5469" s="387"/>
      <c r="P5469" s="387"/>
      <c r="Q5469" s="387"/>
    </row>
    <row r="5470" spans="15:17" ht="20.100000000000001" customHeight="1">
      <c r="O5470" s="387"/>
      <c r="P5470" s="387"/>
      <c r="Q5470" s="387"/>
    </row>
    <row r="5471" spans="15:17" ht="20.100000000000001" customHeight="1">
      <c r="O5471" s="387"/>
      <c r="P5471" s="387"/>
      <c r="Q5471" s="387"/>
    </row>
    <row r="5472" spans="15:17" ht="20.100000000000001" customHeight="1">
      <c r="O5472" s="387"/>
      <c r="P5472" s="387"/>
      <c r="Q5472" s="387"/>
    </row>
    <row r="5473" spans="15:17" ht="20.100000000000001" customHeight="1">
      <c r="O5473" s="387"/>
      <c r="P5473" s="387"/>
      <c r="Q5473" s="387"/>
    </row>
    <row r="5474" spans="15:17" ht="20.100000000000001" customHeight="1">
      <c r="O5474" s="387"/>
      <c r="P5474" s="387"/>
      <c r="Q5474" s="387"/>
    </row>
    <row r="5475" spans="15:17" ht="20.100000000000001" customHeight="1">
      <c r="O5475" s="387"/>
      <c r="P5475" s="387"/>
      <c r="Q5475" s="387"/>
    </row>
    <row r="5476" spans="15:17" ht="20.100000000000001" customHeight="1">
      <c r="O5476" s="387"/>
      <c r="P5476" s="387"/>
      <c r="Q5476" s="387"/>
    </row>
    <row r="5477" spans="15:17" ht="20.100000000000001" customHeight="1">
      <c r="O5477" s="387"/>
      <c r="P5477" s="387"/>
      <c r="Q5477" s="387"/>
    </row>
    <row r="5478" spans="15:17" ht="20.100000000000001" customHeight="1">
      <c r="O5478" s="387"/>
      <c r="P5478" s="387"/>
      <c r="Q5478" s="387"/>
    </row>
    <row r="5479" spans="15:17" ht="20.100000000000001" customHeight="1">
      <c r="O5479" s="387"/>
      <c r="P5479" s="387"/>
      <c r="Q5479" s="387"/>
    </row>
    <row r="5480" spans="15:17" ht="20.100000000000001" customHeight="1">
      <c r="O5480" s="387"/>
      <c r="P5480" s="387"/>
      <c r="Q5480" s="387"/>
    </row>
    <row r="5481" spans="15:17" ht="20.100000000000001" customHeight="1">
      <c r="O5481" s="387"/>
      <c r="P5481" s="387"/>
      <c r="Q5481" s="387"/>
    </row>
    <row r="5482" spans="15:17" ht="20.100000000000001" customHeight="1">
      <c r="O5482" s="387"/>
      <c r="P5482" s="387"/>
      <c r="Q5482" s="387"/>
    </row>
    <row r="5483" spans="15:17" ht="20.100000000000001" customHeight="1">
      <c r="O5483" s="387"/>
      <c r="P5483" s="387"/>
      <c r="Q5483" s="387"/>
    </row>
    <row r="5484" spans="15:17" ht="20.100000000000001" customHeight="1">
      <c r="O5484" s="387"/>
      <c r="P5484" s="387"/>
      <c r="Q5484" s="387"/>
    </row>
    <row r="5485" spans="15:17" ht="20.100000000000001" customHeight="1">
      <c r="O5485" s="387"/>
      <c r="P5485" s="387"/>
      <c r="Q5485" s="387"/>
    </row>
    <row r="5486" spans="15:17" ht="20.100000000000001" customHeight="1">
      <c r="O5486" s="387"/>
      <c r="P5486" s="387"/>
      <c r="Q5486" s="387"/>
    </row>
    <row r="5487" spans="15:17" ht="20.100000000000001" customHeight="1">
      <c r="O5487" s="387"/>
      <c r="P5487" s="387"/>
      <c r="Q5487" s="387"/>
    </row>
    <row r="5488" spans="15:17" ht="20.100000000000001" customHeight="1">
      <c r="O5488" s="387"/>
      <c r="P5488" s="387"/>
      <c r="Q5488" s="387"/>
    </row>
    <row r="5489" spans="15:17" ht="20.100000000000001" customHeight="1">
      <c r="O5489" s="387"/>
      <c r="P5489" s="387"/>
      <c r="Q5489" s="387"/>
    </row>
    <row r="5490" spans="15:17" ht="20.100000000000001" customHeight="1">
      <c r="O5490" s="387"/>
      <c r="P5490" s="387"/>
      <c r="Q5490" s="387"/>
    </row>
    <row r="5491" spans="15:17" ht="20.100000000000001" customHeight="1">
      <c r="O5491" s="387"/>
      <c r="P5491" s="387"/>
      <c r="Q5491" s="387"/>
    </row>
    <row r="5492" spans="15:17" ht="20.100000000000001" customHeight="1">
      <c r="O5492" s="387"/>
      <c r="P5492" s="387"/>
      <c r="Q5492" s="387"/>
    </row>
    <row r="5493" spans="15:17" ht="20.100000000000001" customHeight="1">
      <c r="O5493" s="387"/>
      <c r="P5493" s="387"/>
      <c r="Q5493" s="387"/>
    </row>
    <row r="5494" spans="15:17" ht="20.100000000000001" customHeight="1">
      <c r="O5494" s="387"/>
      <c r="P5494" s="387"/>
      <c r="Q5494" s="387"/>
    </row>
    <row r="5495" spans="15:17" ht="20.100000000000001" customHeight="1">
      <c r="O5495" s="387"/>
      <c r="P5495" s="387"/>
      <c r="Q5495" s="387"/>
    </row>
    <row r="5496" spans="15:17" ht="20.100000000000001" customHeight="1">
      <c r="O5496" s="387"/>
      <c r="P5496" s="387"/>
      <c r="Q5496" s="387"/>
    </row>
    <row r="5497" spans="15:17" ht="20.100000000000001" customHeight="1">
      <c r="O5497" s="387"/>
      <c r="P5497" s="387"/>
      <c r="Q5497" s="387"/>
    </row>
    <row r="5498" spans="15:17" ht="20.100000000000001" customHeight="1">
      <c r="O5498" s="387"/>
      <c r="P5498" s="387"/>
      <c r="Q5498" s="387"/>
    </row>
    <row r="5499" spans="15:17" ht="20.100000000000001" customHeight="1">
      <c r="O5499" s="387"/>
      <c r="P5499" s="387"/>
      <c r="Q5499" s="387"/>
    </row>
    <row r="5500" spans="15:17" ht="20.100000000000001" customHeight="1">
      <c r="O5500" s="387"/>
      <c r="P5500" s="387"/>
      <c r="Q5500" s="387"/>
    </row>
    <row r="5501" spans="15:17" ht="20.100000000000001" customHeight="1">
      <c r="O5501" s="387"/>
      <c r="P5501" s="387"/>
      <c r="Q5501" s="387"/>
    </row>
    <row r="5502" spans="15:17" ht="20.100000000000001" customHeight="1">
      <c r="O5502" s="387"/>
      <c r="P5502" s="387"/>
      <c r="Q5502" s="387"/>
    </row>
    <row r="5503" spans="15:17" ht="20.100000000000001" customHeight="1">
      <c r="O5503" s="387"/>
      <c r="P5503" s="387"/>
      <c r="Q5503" s="387"/>
    </row>
    <row r="5504" spans="15:17" ht="20.100000000000001" customHeight="1">
      <c r="O5504" s="387"/>
      <c r="P5504" s="387"/>
      <c r="Q5504" s="387"/>
    </row>
    <row r="5505" spans="15:17" ht="20.100000000000001" customHeight="1">
      <c r="O5505" s="387"/>
      <c r="P5505" s="387"/>
      <c r="Q5505" s="387"/>
    </row>
    <row r="5506" spans="15:17" ht="20.100000000000001" customHeight="1">
      <c r="O5506" s="387"/>
      <c r="P5506" s="387"/>
      <c r="Q5506" s="387"/>
    </row>
    <row r="5507" spans="15:17" ht="20.100000000000001" customHeight="1">
      <c r="O5507" s="387"/>
      <c r="P5507" s="387"/>
      <c r="Q5507" s="387"/>
    </row>
    <row r="5508" spans="15:17" ht="20.100000000000001" customHeight="1">
      <c r="O5508" s="387"/>
      <c r="P5508" s="387"/>
      <c r="Q5508" s="387"/>
    </row>
    <row r="5509" spans="15:17" ht="20.100000000000001" customHeight="1">
      <c r="O5509" s="387"/>
      <c r="P5509" s="387"/>
      <c r="Q5509" s="387"/>
    </row>
    <row r="5510" spans="15:17" ht="20.100000000000001" customHeight="1">
      <c r="O5510" s="387"/>
      <c r="P5510" s="387"/>
      <c r="Q5510" s="387"/>
    </row>
    <row r="5511" spans="15:17" ht="20.100000000000001" customHeight="1">
      <c r="O5511" s="387"/>
      <c r="P5511" s="387"/>
      <c r="Q5511" s="387"/>
    </row>
    <row r="5512" spans="15:17" ht="20.100000000000001" customHeight="1">
      <c r="O5512" s="387"/>
      <c r="P5512" s="387"/>
      <c r="Q5512" s="387"/>
    </row>
    <row r="5513" spans="15:17" ht="20.100000000000001" customHeight="1">
      <c r="O5513" s="387"/>
      <c r="P5513" s="387"/>
      <c r="Q5513" s="387"/>
    </row>
    <row r="5514" spans="15:17" ht="20.100000000000001" customHeight="1">
      <c r="O5514" s="387"/>
      <c r="P5514" s="387"/>
      <c r="Q5514" s="387"/>
    </row>
    <row r="5515" spans="15:17" ht="20.100000000000001" customHeight="1">
      <c r="O5515" s="387"/>
      <c r="P5515" s="387"/>
      <c r="Q5515" s="387"/>
    </row>
    <row r="5516" spans="15:17" ht="20.100000000000001" customHeight="1">
      <c r="O5516" s="387"/>
      <c r="P5516" s="387"/>
      <c r="Q5516" s="387"/>
    </row>
    <row r="5517" spans="15:17" ht="20.100000000000001" customHeight="1">
      <c r="O5517" s="387"/>
      <c r="P5517" s="387"/>
      <c r="Q5517" s="387"/>
    </row>
    <row r="5518" spans="15:17" ht="20.100000000000001" customHeight="1">
      <c r="O5518" s="387"/>
      <c r="P5518" s="387"/>
      <c r="Q5518" s="387"/>
    </row>
    <row r="5519" spans="15:17" ht="20.100000000000001" customHeight="1">
      <c r="O5519" s="387"/>
      <c r="P5519" s="387"/>
      <c r="Q5519" s="387"/>
    </row>
    <row r="5520" spans="15:17" ht="20.100000000000001" customHeight="1">
      <c r="O5520" s="387"/>
      <c r="P5520" s="387"/>
      <c r="Q5520" s="387"/>
    </row>
    <row r="5521" spans="15:17" ht="20.100000000000001" customHeight="1">
      <c r="O5521" s="387"/>
      <c r="P5521" s="387"/>
      <c r="Q5521" s="387"/>
    </row>
    <row r="5522" spans="15:17" ht="20.100000000000001" customHeight="1">
      <c r="O5522" s="387"/>
      <c r="P5522" s="387"/>
      <c r="Q5522" s="387"/>
    </row>
    <row r="5523" spans="15:17" ht="20.100000000000001" customHeight="1">
      <c r="O5523" s="387"/>
      <c r="P5523" s="387"/>
      <c r="Q5523" s="387"/>
    </row>
    <row r="5524" spans="15:17" ht="20.100000000000001" customHeight="1">
      <c r="O5524" s="387"/>
      <c r="P5524" s="387"/>
      <c r="Q5524" s="387"/>
    </row>
    <row r="5525" spans="15:17" ht="20.100000000000001" customHeight="1">
      <c r="O5525" s="387"/>
      <c r="P5525" s="387"/>
      <c r="Q5525" s="387"/>
    </row>
    <row r="5526" spans="15:17" ht="20.100000000000001" customHeight="1">
      <c r="O5526" s="387"/>
      <c r="P5526" s="387"/>
      <c r="Q5526" s="387"/>
    </row>
    <row r="5527" spans="15:17" ht="20.100000000000001" customHeight="1">
      <c r="O5527" s="387"/>
      <c r="P5527" s="387"/>
      <c r="Q5527" s="387"/>
    </row>
    <row r="5528" spans="15:17" ht="20.100000000000001" customHeight="1">
      <c r="O5528" s="387"/>
      <c r="P5528" s="387"/>
      <c r="Q5528" s="387"/>
    </row>
    <row r="5529" spans="15:17" ht="20.100000000000001" customHeight="1">
      <c r="O5529" s="387"/>
      <c r="P5529" s="387"/>
      <c r="Q5529" s="387"/>
    </row>
    <row r="5530" spans="15:17" ht="20.100000000000001" customHeight="1">
      <c r="O5530" s="387"/>
      <c r="P5530" s="387"/>
      <c r="Q5530" s="387"/>
    </row>
    <row r="5531" spans="15:17" ht="20.100000000000001" customHeight="1">
      <c r="O5531" s="387"/>
      <c r="P5531" s="387"/>
      <c r="Q5531" s="387"/>
    </row>
    <row r="5532" spans="15:17" ht="20.100000000000001" customHeight="1">
      <c r="O5532" s="387"/>
      <c r="P5532" s="387"/>
      <c r="Q5532" s="387"/>
    </row>
    <row r="5533" spans="15:17" ht="20.100000000000001" customHeight="1">
      <c r="O5533" s="387"/>
      <c r="P5533" s="387"/>
      <c r="Q5533" s="387"/>
    </row>
    <row r="5534" spans="15:17" ht="20.100000000000001" customHeight="1">
      <c r="O5534" s="387"/>
      <c r="P5534" s="387"/>
      <c r="Q5534" s="387"/>
    </row>
    <row r="5535" spans="15:17" ht="20.100000000000001" customHeight="1">
      <c r="O5535" s="387"/>
      <c r="P5535" s="387"/>
      <c r="Q5535" s="387"/>
    </row>
    <row r="5536" spans="15:17" ht="20.100000000000001" customHeight="1">
      <c r="O5536" s="387"/>
      <c r="P5536" s="387"/>
      <c r="Q5536" s="387"/>
    </row>
    <row r="5537" spans="15:17" ht="20.100000000000001" customHeight="1">
      <c r="O5537" s="387"/>
      <c r="P5537" s="387"/>
      <c r="Q5537" s="387"/>
    </row>
    <row r="5538" spans="15:17" ht="20.100000000000001" customHeight="1">
      <c r="O5538" s="387"/>
      <c r="P5538" s="387"/>
      <c r="Q5538" s="387"/>
    </row>
    <row r="5539" spans="15:17" ht="20.100000000000001" customHeight="1">
      <c r="O5539" s="387"/>
      <c r="P5539" s="387"/>
      <c r="Q5539" s="387"/>
    </row>
    <row r="5540" spans="15:17" ht="20.100000000000001" customHeight="1">
      <c r="O5540" s="387"/>
      <c r="P5540" s="387"/>
      <c r="Q5540" s="387"/>
    </row>
    <row r="5541" spans="15:17" ht="20.100000000000001" customHeight="1">
      <c r="O5541" s="387"/>
      <c r="P5541" s="387"/>
      <c r="Q5541" s="387"/>
    </row>
    <row r="5542" spans="15:17" ht="20.100000000000001" customHeight="1">
      <c r="O5542" s="387"/>
      <c r="P5542" s="387"/>
      <c r="Q5542" s="387"/>
    </row>
    <row r="5543" spans="15:17" ht="20.100000000000001" customHeight="1">
      <c r="O5543" s="387"/>
      <c r="P5543" s="387"/>
      <c r="Q5543" s="387"/>
    </row>
    <row r="5544" spans="15:17" ht="20.100000000000001" customHeight="1">
      <c r="O5544" s="387"/>
      <c r="P5544" s="387"/>
      <c r="Q5544" s="387"/>
    </row>
    <row r="5545" spans="15:17" ht="20.100000000000001" customHeight="1">
      <c r="O5545" s="387"/>
      <c r="P5545" s="387"/>
      <c r="Q5545" s="387"/>
    </row>
    <row r="5546" spans="15:17" ht="20.100000000000001" customHeight="1">
      <c r="O5546" s="387"/>
      <c r="P5546" s="387"/>
      <c r="Q5546" s="387"/>
    </row>
    <row r="5547" spans="15:17" ht="20.100000000000001" customHeight="1">
      <c r="O5547" s="387"/>
      <c r="P5547" s="387"/>
      <c r="Q5547" s="387"/>
    </row>
    <row r="5548" spans="15:17" ht="20.100000000000001" customHeight="1">
      <c r="O5548" s="387"/>
      <c r="P5548" s="387"/>
      <c r="Q5548" s="387"/>
    </row>
    <row r="5549" spans="15:17" ht="20.100000000000001" customHeight="1">
      <c r="O5549" s="387"/>
      <c r="P5549" s="387"/>
      <c r="Q5549" s="387"/>
    </row>
    <row r="5550" spans="15:17" ht="20.100000000000001" customHeight="1">
      <c r="O5550" s="387"/>
      <c r="P5550" s="387"/>
      <c r="Q5550" s="387"/>
    </row>
    <row r="5551" spans="15:17" ht="20.100000000000001" customHeight="1">
      <c r="O5551" s="387"/>
      <c r="P5551" s="387"/>
      <c r="Q5551" s="387"/>
    </row>
    <row r="5552" spans="15:17" ht="20.100000000000001" customHeight="1">
      <c r="O5552" s="387"/>
      <c r="P5552" s="387"/>
      <c r="Q5552" s="387"/>
    </row>
    <row r="5553" spans="15:17" ht="20.100000000000001" customHeight="1">
      <c r="O5553" s="387"/>
      <c r="P5553" s="387"/>
      <c r="Q5553" s="387"/>
    </row>
    <row r="5554" spans="15:17" ht="20.100000000000001" customHeight="1">
      <c r="O5554" s="387"/>
      <c r="P5554" s="387"/>
      <c r="Q5554" s="387"/>
    </row>
    <row r="5555" spans="15:17" ht="20.100000000000001" customHeight="1">
      <c r="O5555" s="387"/>
      <c r="P5555" s="387"/>
      <c r="Q5555" s="387"/>
    </row>
    <row r="5556" spans="15:17" ht="20.100000000000001" customHeight="1">
      <c r="O5556" s="387"/>
      <c r="P5556" s="387"/>
      <c r="Q5556" s="387"/>
    </row>
    <row r="5557" spans="15:17" ht="20.100000000000001" customHeight="1">
      <c r="O5557" s="387"/>
      <c r="P5557" s="387"/>
      <c r="Q5557" s="387"/>
    </row>
    <row r="5558" spans="15:17" ht="20.100000000000001" customHeight="1">
      <c r="O5558" s="387"/>
      <c r="P5558" s="387"/>
      <c r="Q5558" s="387"/>
    </row>
    <row r="5559" spans="15:17" ht="20.100000000000001" customHeight="1">
      <c r="O5559" s="387"/>
      <c r="P5559" s="387"/>
      <c r="Q5559" s="387"/>
    </row>
    <row r="5560" spans="15:17" ht="20.100000000000001" customHeight="1">
      <c r="O5560" s="387"/>
      <c r="P5560" s="387"/>
      <c r="Q5560" s="387"/>
    </row>
    <row r="5561" spans="15:17" ht="20.100000000000001" customHeight="1">
      <c r="O5561" s="387"/>
      <c r="P5561" s="387"/>
      <c r="Q5561" s="387"/>
    </row>
    <row r="5562" spans="15:17" ht="20.100000000000001" customHeight="1">
      <c r="O5562" s="387"/>
      <c r="P5562" s="387"/>
      <c r="Q5562" s="387"/>
    </row>
    <row r="5563" spans="15:17" ht="20.100000000000001" customHeight="1">
      <c r="O5563" s="387"/>
      <c r="P5563" s="387"/>
      <c r="Q5563" s="387"/>
    </row>
    <row r="5564" spans="15:17" ht="20.100000000000001" customHeight="1">
      <c r="O5564" s="387"/>
      <c r="P5564" s="387"/>
      <c r="Q5564" s="387"/>
    </row>
    <row r="5565" spans="15:17" ht="20.100000000000001" customHeight="1">
      <c r="O5565" s="387"/>
      <c r="P5565" s="387"/>
      <c r="Q5565" s="387"/>
    </row>
    <row r="5566" spans="15:17" ht="20.100000000000001" customHeight="1">
      <c r="O5566" s="387"/>
      <c r="P5566" s="387"/>
      <c r="Q5566" s="387"/>
    </row>
    <row r="5567" spans="15:17" ht="20.100000000000001" customHeight="1">
      <c r="O5567" s="387"/>
      <c r="P5567" s="387"/>
      <c r="Q5567" s="387"/>
    </row>
    <row r="5568" spans="15:17" ht="20.100000000000001" customHeight="1">
      <c r="O5568" s="387"/>
      <c r="P5568" s="387"/>
      <c r="Q5568" s="387"/>
    </row>
    <row r="5569" spans="15:17" ht="20.100000000000001" customHeight="1">
      <c r="O5569" s="387"/>
      <c r="P5569" s="387"/>
      <c r="Q5569" s="387"/>
    </row>
    <row r="5570" spans="15:17" ht="20.100000000000001" customHeight="1">
      <c r="O5570" s="387"/>
      <c r="P5570" s="387"/>
      <c r="Q5570" s="387"/>
    </row>
    <row r="5571" spans="15:17" ht="20.100000000000001" customHeight="1">
      <c r="O5571" s="387"/>
      <c r="P5571" s="387"/>
      <c r="Q5571" s="387"/>
    </row>
    <row r="5572" spans="15:17" ht="20.100000000000001" customHeight="1">
      <c r="O5572" s="387"/>
      <c r="P5572" s="387"/>
      <c r="Q5572" s="387"/>
    </row>
    <row r="5573" spans="15:17" ht="20.100000000000001" customHeight="1">
      <c r="O5573" s="387"/>
      <c r="P5573" s="387"/>
      <c r="Q5573" s="387"/>
    </row>
    <row r="5574" spans="15:17" ht="20.100000000000001" customHeight="1">
      <c r="O5574" s="387"/>
      <c r="P5574" s="387"/>
      <c r="Q5574" s="387"/>
    </row>
    <row r="5575" spans="15:17" ht="20.100000000000001" customHeight="1">
      <c r="O5575" s="387"/>
      <c r="P5575" s="387"/>
      <c r="Q5575" s="387"/>
    </row>
    <row r="5576" spans="15:17" ht="20.100000000000001" customHeight="1">
      <c r="O5576" s="387"/>
      <c r="P5576" s="387"/>
      <c r="Q5576" s="387"/>
    </row>
    <row r="5577" spans="15:17" ht="20.100000000000001" customHeight="1">
      <c r="O5577" s="387"/>
      <c r="P5577" s="387"/>
      <c r="Q5577" s="387"/>
    </row>
    <row r="5578" spans="15:17" ht="20.100000000000001" customHeight="1">
      <c r="O5578" s="387"/>
      <c r="P5578" s="387"/>
      <c r="Q5578" s="387"/>
    </row>
    <row r="5579" spans="15:17" ht="20.100000000000001" customHeight="1">
      <c r="O5579" s="387"/>
      <c r="P5579" s="387"/>
      <c r="Q5579" s="387"/>
    </row>
    <row r="5580" spans="15:17" ht="20.100000000000001" customHeight="1">
      <c r="O5580" s="387"/>
      <c r="P5580" s="387"/>
      <c r="Q5580" s="387"/>
    </row>
    <row r="5581" spans="15:17" ht="20.100000000000001" customHeight="1">
      <c r="O5581" s="387"/>
      <c r="P5581" s="387"/>
      <c r="Q5581" s="387"/>
    </row>
    <row r="5582" spans="15:17" ht="20.100000000000001" customHeight="1">
      <c r="O5582" s="387"/>
      <c r="P5582" s="387"/>
      <c r="Q5582" s="387"/>
    </row>
    <row r="5583" spans="15:17" ht="20.100000000000001" customHeight="1">
      <c r="O5583" s="387"/>
      <c r="P5583" s="387"/>
      <c r="Q5583" s="387"/>
    </row>
    <row r="5584" spans="15:17" ht="20.100000000000001" customHeight="1">
      <c r="O5584" s="387"/>
      <c r="P5584" s="387"/>
      <c r="Q5584" s="387"/>
    </row>
    <row r="5585" spans="15:17" ht="20.100000000000001" customHeight="1">
      <c r="O5585" s="387"/>
      <c r="P5585" s="387"/>
      <c r="Q5585" s="387"/>
    </row>
    <row r="5586" spans="15:17" ht="20.100000000000001" customHeight="1">
      <c r="O5586" s="387"/>
      <c r="P5586" s="387"/>
      <c r="Q5586" s="387"/>
    </row>
    <row r="5587" spans="15:17" ht="20.100000000000001" customHeight="1">
      <c r="O5587" s="387"/>
      <c r="P5587" s="387"/>
      <c r="Q5587" s="387"/>
    </row>
    <row r="5588" spans="15:17" ht="20.100000000000001" customHeight="1">
      <c r="O5588" s="387"/>
      <c r="P5588" s="387"/>
      <c r="Q5588" s="387"/>
    </row>
    <row r="5589" spans="15:17" ht="20.100000000000001" customHeight="1">
      <c r="O5589" s="387"/>
      <c r="P5589" s="387"/>
      <c r="Q5589" s="387"/>
    </row>
    <row r="5590" spans="15:17" ht="20.100000000000001" customHeight="1">
      <c r="O5590" s="387"/>
      <c r="P5590" s="387"/>
      <c r="Q5590" s="387"/>
    </row>
    <row r="5591" spans="15:17" ht="20.100000000000001" customHeight="1">
      <c r="O5591" s="387"/>
      <c r="P5591" s="387"/>
      <c r="Q5591" s="387"/>
    </row>
    <row r="5592" spans="15:17" ht="20.100000000000001" customHeight="1">
      <c r="O5592" s="387"/>
      <c r="P5592" s="387"/>
      <c r="Q5592" s="387"/>
    </row>
    <row r="5593" spans="15:17" ht="20.100000000000001" customHeight="1">
      <c r="O5593" s="387"/>
      <c r="P5593" s="387"/>
      <c r="Q5593" s="387"/>
    </row>
    <row r="5594" spans="15:17" ht="20.100000000000001" customHeight="1">
      <c r="O5594" s="387"/>
      <c r="P5594" s="387"/>
      <c r="Q5594" s="387"/>
    </row>
    <row r="5595" spans="15:17" ht="20.100000000000001" customHeight="1">
      <c r="O5595" s="387"/>
      <c r="P5595" s="387"/>
      <c r="Q5595" s="387"/>
    </row>
    <row r="5596" spans="15:17" ht="20.100000000000001" customHeight="1">
      <c r="O5596" s="387"/>
      <c r="P5596" s="387"/>
      <c r="Q5596" s="387"/>
    </row>
    <row r="5597" spans="15:17" ht="20.100000000000001" customHeight="1">
      <c r="O5597" s="387"/>
      <c r="P5597" s="387"/>
      <c r="Q5597" s="387"/>
    </row>
    <row r="5598" spans="15:17" ht="20.100000000000001" customHeight="1">
      <c r="O5598" s="387"/>
      <c r="P5598" s="387"/>
      <c r="Q5598" s="387"/>
    </row>
    <row r="5599" spans="15:17" ht="20.100000000000001" customHeight="1">
      <c r="O5599" s="387"/>
      <c r="P5599" s="387"/>
      <c r="Q5599" s="387"/>
    </row>
    <row r="5600" spans="15:17" ht="20.100000000000001" customHeight="1">
      <c r="O5600" s="387"/>
      <c r="P5600" s="387"/>
      <c r="Q5600" s="387"/>
    </row>
    <row r="5601" spans="15:17" ht="20.100000000000001" customHeight="1">
      <c r="O5601" s="387"/>
      <c r="P5601" s="387"/>
      <c r="Q5601" s="387"/>
    </row>
    <row r="5602" spans="15:17" ht="20.100000000000001" customHeight="1">
      <c r="O5602" s="387"/>
      <c r="P5602" s="387"/>
      <c r="Q5602" s="387"/>
    </row>
    <row r="5603" spans="15:17" ht="20.100000000000001" customHeight="1">
      <c r="O5603" s="387"/>
      <c r="P5603" s="387"/>
      <c r="Q5603" s="387"/>
    </row>
    <row r="5604" spans="15:17" ht="20.100000000000001" customHeight="1">
      <c r="O5604" s="387"/>
      <c r="P5604" s="387"/>
      <c r="Q5604" s="387"/>
    </row>
    <row r="5605" spans="15:17" ht="20.100000000000001" customHeight="1">
      <c r="O5605" s="387"/>
      <c r="P5605" s="387"/>
      <c r="Q5605" s="387"/>
    </row>
    <row r="5606" spans="15:17" ht="20.100000000000001" customHeight="1">
      <c r="O5606" s="387"/>
      <c r="P5606" s="387"/>
      <c r="Q5606" s="387"/>
    </row>
    <row r="5607" spans="15:17" ht="20.100000000000001" customHeight="1">
      <c r="O5607" s="387"/>
      <c r="P5607" s="387"/>
      <c r="Q5607" s="387"/>
    </row>
    <row r="5608" spans="15:17" ht="20.100000000000001" customHeight="1">
      <c r="O5608" s="387"/>
      <c r="P5608" s="387"/>
      <c r="Q5608" s="387"/>
    </row>
    <row r="5609" spans="15:17" ht="20.100000000000001" customHeight="1">
      <c r="O5609" s="387"/>
      <c r="P5609" s="387"/>
      <c r="Q5609" s="387"/>
    </row>
    <row r="5610" spans="15:17" ht="20.100000000000001" customHeight="1">
      <c r="O5610" s="387"/>
      <c r="P5610" s="387"/>
      <c r="Q5610" s="387"/>
    </row>
    <row r="5611" spans="15:17" ht="20.100000000000001" customHeight="1">
      <c r="O5611" s="387"/>
      <c r="P5611" s="387"/>
      <c r="Q5611" s="387"/>
    </row>
    <row r="5612" spans="15:17" ht="20.100000000000001" customHeight="1">
      <c r="O5612" s="387"/>
      <c r="P5612" s="387"/>
      <c r="Q5612" s="387"/>
    </row>
    <row r="5613" spans="15:17" ht="20.100000000000001" customHeight="1">
      <c r="O5613" s="387"/>
      <c r="P5613" s="387"/>
      <c r="Q5613" s="387"/>
    </row>
    <row r="5614" spans="15:17" ht="20.100000000000001" customHeight="1">
      <c r="O5614" s="387"/>
      <c r="P5614" s="387"/>
      <c r="Q5614" s="387"/>
    </row>
    <row r="5615" spans="15:17" ht="20.100000000000001" customHeight="1">
      <c r="O5615" s="387"/>
      <c r="P5615" s="387"/>
      <c r="Q5615" s="387"/>
    </row>
    <row r="5616" spans="15:17" ht="20.100000000000001" customHeight="1">
      <c r="O5616" s="387"/>
      <c r="P5616" s="387"/>
      <c r="Q5616" s="387"/>
    </row>
    <row r="5617" spans="15:17" ht="20.100000000000001" customHeight="1">
      <c r="O5617" s="387"/>
      <c r="P5617" s="387"/>
      <c r="Q5617" s="387"/>
    </row>
    <row r="5618" spans="15:17" ht="20.100000000000001" customHeight="1">
      <c r="O5618" s="387"/>
      <c r="P5618" s="387"/>
      <c r="Q5618" s="387"/>
    </row>
    <row r="5619" spans="15:17" ht="20.100000000000001" customHeight="1">
      <c r="O5619" s="387"/>
      <c r="P5619" s="387"/>
      <c r="Q5619" s="387"/>
    </row>
    <row r="5620" spans="15:17" ht="20.100000000000001" customHeight="1">
      <c r="O5620" s="387"/>
      <c r="P5620" s="387"/>
      <c r="Q5620" s="387"/>
    </row>
    <row r="5621" spans="15:17" ht="20.100000000000001" customHeight="1">
      <c r="O5621" s="387"/>
      <c r="P5621" s="387"/>
      <c r="Q5621" s="387"/>
    </row>
    <row r="5622" spans="15:17" ht="20.100000000000001" customHeight="1">
      <c r="O5622" s="387"/>
      <c r="P5622" s="387"/>
      <c r="Q5622" s="387"/>
    </row>
    <row r="5623" spans="15:17" ht="20.100000000000001" customHeight="1">
      <c r="O5623" s="387"/>
      <c r="P5623" s="387"/>
      <c r="Q5623" s="387"/>
    </row>
    <row r="5624" spans="15:17" ht="20.100000000000001" customHeight="1">
      <c r="O5624" s="387"/>
      <c r="P5624" s="387"/>
      <c r="Q5624" s="387"/>
    </row>
    <row r="5625" spans="15:17" ht="20.100000000000001" customHeight="1">
      <c r="O5625" s="387"/>
      <c r="P5625" s="387"/>
      <c r="Q5625" s="387"/>
    </row>
    <row r="5626" spans="15:17" ht="20.100000000000001" customHeight="1">
      <c r="O5626" s="387"/>
      <c r="P5626" s="387"/>
      <c r="Q5626" s="387"/>
    </row>
    <row r="5627" spans="15:17" ht="20.100000000000001" customHeight="1">
      <c r="O5627" s="387"/>
      <c r="P5627" s="387"/>
      <c r="Q5627" s="387"/>
    </row>
    <row r="5628" spans="15:17" ht="20.100000000000001" customHeight="1">
      <c r="O5628" s="387"/>
      <c r="P5628" s="387"/>
      <c r="Q5628" s="387"/>
    </row>
    <row r="5629" spans="15:17" ht="20.100000000000001" customHeight="1">
      <c r="O5629" s="387"/>
      <c r="P5629" s="387"/>
      <c r="Q5629" s="387"/>
    </row>
    <row r="5630" spans="15:17" ht="20.100000000000001" customHeight="1">
      <c r="O5630" s="387"/>
      <c r="P5630" s="387"/>
      <c r="Q5630" s="387"/>
    </row>
    <row r="5631" spans="15:17" ht="20.100000000000001" customHeight="1">
      <c r="O5631" s="387"/>
      <c r="P5631" s="387"/>
      <c r="Q5631" s="387"/>
    </row>
    <row r="5632" spans="15:17" ht="20.100000000000001" customHeight="1">
      <c r="O5632" s="387"/>
      <c r="P5632" s="387"/>
      <c r="Q5632" s="387"/>
    </row>
    <row r="5633" spans="15:17" ht="20.100000000000001" customHeight="1">
      <c r="O5633" s="387"/>
      <c r="P5633" s="387"/>
      <c r="Q5633" s="387"/>
    </row>
    <row r="5634" spans="15:17" ht="20.100000000000001" customHeight="1">
      <c r="O5634" s="387"/>
      <c r="P5634" s="387"/>
      <c r="Q5634" s="387"/>
    </row>
    <row r="5635" spans="15:17" ht="20.100000000000001" customHeight="1">
      <c r="O5635" s="387"/>
      <c r="P5635" s="387"/>
      <c r="Q5635" s="387"/>
    </row>
    <row r="5636" spans="15:17" ht="20.100000000000001" customHeight="1">
      <c r="O5636" s="387"/>
      <c r="P5636" s="387"/>
      <c r="Q5636" s="387"/>
    </row>
    <row r="5637" spans="15:17" ht="20.100000000000001" customHeight="1">
      <c r="O5637" s="387"/>
      <c r="P5637" s="387"/>
      <c r="Q5637" s="387"/>
    </row>
    <row r="5638" spans="15:17" ht="20.100000000000001" customHeight="1">
      <c r="O5638" s="387"/>
      <c r="P5638" s="387"/>
      <c r="Q5638" s="387"/>
    </row>
    <row r="5639" spans="15:17" ht="20.100000000000001" customHeight="1">
      <c r="O5639" s="387"/>
      <c r="P5639" s="387"/>
      <c r="Q5639" s="387"/>
    </row>
    <row r="5640" spans="15:17" ht="20.100000000000001" customHeight="1">
      <c r="O5640" s="387"/>
      <c r="P5640" s="387"/>
      <c r="Q5640" s="387"/>
    </row>
    <row r="5641" spans="15:17" ht="20.100000000000001" customHeight="1">
      <c r="O5641" s="387"/>
      <c r="P5641" s="387"/>
      <c r="Q5641" s="387"/>
    </row>
    <row r="5642" spans="15:17" ht="20.100000000000001" customHeight="1">
      <c r="O5642" s="387"/>
      <c r="P5642" s="387"/>
      <c r="Q5642" s="387"/>
    </row>
    <row r="5643" spans="15:17" ht="20.100000000000001" customHeight="1">
      <c r="O5643" s="387"/>
      <c r="P5643" s="387"/>
      <c r="Q5643" s="387"/>
    </row>
    <row r="5644" spans="15:17" ht="20.100000000000001" customHeight="1">
      <c r="O5644" s="387"/>
      <c r="P5644" s="387"/>
      <c r="Q5644" s="387"/>
    </row>
    <row r="5645" spans="15:17" ht="20.100000000000001" customHeight="1">
      <c r="O5645" s="387"/>
      <c r="P5645" s="387"/>
      <c r="Q5645" s="387"/>
    </row>
    <row r="5646" spans="15:17" ht="20.100000000000001" customHeight="1">
      <c r="O5646" s="387"/>
      <c r="P5646" s="387"/>
      <c r="Q5646" s="387"/>
    </row>
    <row r="5647" spans="15:17" ht="20.100000000000001" customHeight="1">
      <c r="O5647" s="387"/>
      <c r="P5647" s="387"/>
      <c r="Q5647" s="387"/>
    </row>
    <row r="5648" spans="15:17" ht="20.100000000000001" customHeight="1">
      <c r="O5648" s="387"/>
      <c r="P5648" s="387"/>
      <c r="Q5648" s="387"/>
    </row>
    <row r="5649" spans="15:17" ht="20.100000000000001" customHeight="1">
      <c r="O5649" s="387"/>
      <c r="P5649" s="387"/>
      <c r="Q5649" s="387"/>
    </row>
    <row r="5650" spans="15:17" ht="20.100000000000001" customHeight="1">
      <c r="O5650" s="387"/>
      <c r="P5650" s="387"/>
      <c r="Q5650" s="387"/>
    </row>
    <row r="5651" spans="15:17" ht="20.100000000000001" customHeight="1">
      <c r="O5651" s="387"/>
      <c r="P5651" s="387"/>
      <c r="Q5651" s="387"/>
    </row>
    <row r="5652" spans="15:17" ht="20.100000000000001" customHeight="1">
      <c r="O5652" s="387"/>
      <c r="P5652" s="387"/>
      <c r="Q5652" s="387"/>
    </row>
    <row r="5653" spans="15:17" ht="20.100000000000001" customHeight="1">
      <c r="O5653" s="387"/>
      <c r="P5653" s="387"/>
      <c r="Q5653" s="387"/>
    </row>
    <row r="5654" spans="15:17" ht="20.100000000000001" customHeight="1">
      <c r="O5654" s="387"/>
      <c r="P5654" s="387"/>
      <c r="Q5654" s="387"/>
    </row>
    <row r="5655" spans="15:17" ht="20.100000000000001" customHeight="1">
      <c r="O5655" s="387"/>
      <c r="P5655" s="387"/>
      <c r="Q5655" s="387"/>
    </row>
    <row r="5656" spans="15:17" ht="20.100000000000001" customHeight="1">
      <c r="O5656" s="387"/>
      <c r="P5656" s="387"/>
      <c r="Q5656" s="387"/>
    </row>
    <row r="5657" spans="15:17" ht="20.100000000000001" customHeight="1">
      <c r="O5657" s="387"/>
      <c r="P5657" s="387"/>
      <c r="Q5657" s="387"/>
    </row>
    <row r="5658" spans="15:17" ht="20.100000000000001" customHeight="1">
      <c r="O5658" s="387"/>
      <c r="P5658" s="387"/>
      <c r="Q5658" s="387"/>
    </row>
    <row r="5659" spans="15:17" ht="20.100000000000001" customHeight="1">
      <c r="O5659" s="387"/>
      <c r="P5659" s="387"/>
      <c r="Q5659" s="387"/>
    </row>
    <row r="5660" spans="15:17" ht="20.100000000000001" customHeight="1">
      <c r="O5660" s="387"/>
      <c r="P5660" s="387"/>
      <c r="Q5660" s="387"/>
    </row>
    <row r="5661" spans="15:17" ht="20.100000000000001" customHeight="1">
      <c r="O5661" s="387"/>
      <c r="P5661" s="387"/>
      <c r="Q5661" s="387"/>
    </row>
    <row r="5662" spans="15:17" ht="20.100000000000001" customHeight="1">
      <c r="O5662" s="387"/>
      <c r="P5662" s="387"/>
      <c r="Q5662" s="387"/>
    </row>
    <row r="5663" spans="15:17" ht="20.100000000000001" customHeight="1">
      <c r="O5663" s="387"/>
      <c r="P5663" s="387"/>
      <c r="Q5663" s="387"/>
    </row>
    <row r="5664" spans="15:17" ht="20.100000000000001" customHeight="1">
      <c r="O5664" s="387"/>
      <c r="P5664" s="387"/>
      <c r="Q5664" s="387"/>
    </row>
    <row r="5665" spans="15:17" ht="20.100000000000001" customHeight="1">
      <c r="O5665" s="387"/>
      <c r="P5665" s="387"/>
      <c r="Q5665" s="387"/>
    </row>
    <row r="5666" spans="15:17" ht="20.100000000000001" customHeight="1">
      <c r="O5666" s="387"/>
      <c r="P5666" s="387"/>
      <c r="Q5666" s="387"/>
    </row>
    <row r="5667" spans="15:17" ht="20.100000000000001" customHeight="1">
      <c r="O5667" s="387"/>
      <c r="P5667" s="387"/>
      <c r="Q5667" s="387"/>
    </row>
    <row r="5668" spans="15:17" ht="20.100000000000001" customHeight="1">
      <c r="O5668" s="387"/>
      <c r="P5668" s="387"/>
      <c r="Q5668" s="387"/>
    </row>
    <row r="5669" spans="15:17" ht="20.100000000000001" customHeight="1">
      <c r="O5669" s="387"/>
      <c r="P5669" s="387"/>
      <c r="Q5669" s="387"/>
    </row>
    <row r="5670" spans="15:17" ht="20.100000000000001" customHeight="1">
      <c r="O5670" s="387"/>
      <c r="P5670" s="387"/>
      <c r="Q5670" s="387"/>
    </row>
    <row r="5671" spans="15:17" ht="20.100000000000001" customHeight="1">
      <c r="O5671" s="387"/>
      <c r="P5671" s="387"/>
      <c r="Q5671" s="387"/>
    </row>
    <row r="5672" spans="15:17" ht="20.100000000000001" customHeight="1">
      <c r="O5672" s="387"/>
      <c r="P5672" s="387"/>
      <c r="Q5672" s="387"/>
    </row>
    <row r="5673" spans="15:17" ht="20.100000000000001" customHeight="1">
      <c r="O5673" s="387"/>
      <c r="P5673" s="387"/>
      <c r="Q5673" s="387"/>
    </row>
    <row r="5674" spans="15:17" ht="20.100000000000001" customHeight="1">
      <c r="O5674" s="387"/>
      <c r="P5674" s="387"/>
      <c r="Q5674" s="387"/>
    </row>
    <row r="5675" spans="15:17" ht="20.100000000000001" customHeight="1">
      <c r="O5675" s="387"/>
      <c r="P5675" s="387"/>
      <c r="Q5675" s="387"/>
    </row>
    <row r="5676" spans="15:17" ht="20.100000000000001" customHeight="1">
      <c r="O5676" s="387"/>
      <c r="P5676" s="387"/>
      <c r="Q5676" s="387"/>
    </row>
    <row r="5677" spans="15:17" ht="20.100000000000001" customHeight="1">
      <c r="O5677" s="387"/>
      <c r="P5677" s="387"/>
      <c r="Q5677" s="387"/>
    </row>
    <row r="5678" spans="15:17" ht="20.100000000000001" customHeight="1">
      <c r="O5678" s="387"/>
      <c r="P5678" s="387"/>
      <c r="Q5678" s="387"/>
    </row>
    <row r="5679" spans="15:17" ht="20.100000000000001" customHeight="1">
      <c r="O5679" s="387"/>
      <c r="P5679" s="387"/>
      <c r="Q5679" s="387"/>
    </row>
    <row r="5680" spans="15:17" ht="20.100000000000001" customHeight="1">
      <c r="O5680" s="387"/>
      <c r="P5680" s="387"/>
      <c r="Q5680" s="387"/>
    </row>
    <row r="5681" spans="15:17" ht="20.100000000000001" customHeight="1">
      <c r="O5681" s="387"/>
      <c r="P5681" s="387"/>
      <c r="Q5681" s="387"/>
    </row>
    <row r="5682" spans="15:17" ht="20.100000000000001" customHeight="1">
      <c r="O5682" s="387"/>
      <c r="P5682" s="387"/>
      <c r="Q5682" s="387"/>
    </row>
    <row r="5683" spans="15:17" ht="20.100000000000001" customHeight="1">
      <c r="O5683" s="387"/>
      <c r="P5683" s="387"/>
      <c r="Q5683" s="387"/>
    </row>
    <row r="5684" spans="15:17" ht="20.100000000000001" customHeight="1">
      <c r="O5684" s="387"/>
      <c r="P5684" s="387"/>
      <c r="Q5684" s="387"/>
    </row>
    <row r="5685" spans="15:17" ht="20.100000000000001" customHeight="1">
      <c r="O5685" s="387"/>
      <c r="P5685" s="387"/>
      <c r="Q5685" s="387"/>
    </row>
    <row r="5686" spans="15:17" ht="20.100000000000001" customHeight="1">
      <c r="O5686" s="387"/>
      <c r="P5686" s="387"/>
      <c r="Q5686" s="387"/>
    </row>
    <row r="5687" spans="15:17" ht="20.100000000000001" customHeight="1">
      <c r="O5687" s="387"/>
      <c r="P5687" s="387"/>
      <c r="Q5687" s="387"/>
    </row>
    <row r="5688" spans="15:17" ht="20.100000000000001" customHeight="1">
      <c r="O5688" s="387"/>
      <c r="P5688" s="387"/>
      <c r="Q5688" s="387"/>
    </row>
    <row r="5689" spans="15:17" ht="20.100000000000001" customHeight="1">
      <c r="O5689" s="387"/>
      <c r="P5689" s="387"/>
      <c r="Q5689" s="387"/>
    </row>
    <row r="5690" spans="15:17" ht="20.100000000000001" customHeight="1">
      <c r="O5690" s="387"/>
      <c r="P5690" s="387"/>
      <c r="Q5690" s="387"/>
    </row>
    <row r="5691" spans="15:17" ht="20.100000000000001" customHeight="1">
      <c r="O5691" s="387"/>
      <c r="P5691" s="387"/>
      <c r="Q5691" s="387"/>
    </row>
    <row r="5692" spans="15:17" ht="20.100000000000001" customHeight="1">
      <c r="O5692" s="387"/>
      <c r="P5692" s="387"/>
      <c r="Q5692" s="387"/>
    </row>
    <row r="5693" spans="15:17" ht="20.100000000000001" customHeight="1">
      <c r="O5693" s="387"/>
      <c r="P5693" s="387"/>
      <c r="Q5693" s="387"/>
    </row>
    <row r="5694" spans="15:17" ht="20.100000000000001" customHeight="1">
      <c r="O5694" s="387"/>
      <c r="P5694" s="387"/>
      <c r="Q5694" s="387"/>
    </row>
    <row r="5695" spans="15:17" ht="20.100000000000001" customHeight="1">
      <c r="O5695" s="387"/>
      <c r="P5695" s="387"/>
      <c r="Q5695" s="387"/>
    </row>
    <row r="5696" spans="15:17" ht="20.100000000000001" customHeight="1">
      <c r="O5696" s="387"/>
      <c r="P5696" s="387"/>
      <c r="Q5696" s="387"/>
    </row>
    <row r="5697" spans="15:17" ht="20.100000000000001" customHeight="1">
      <c r="O5697" s="387"/>
      <c r="P5697" s="387"/>
      <c r="Q5697" s="387"/>
    </row>
    <row r="5698" spans="15:17" ht="20.100000000000001" customHeight="1">
      <c r="O5698" s="387"/>
      <c r="P5698" s="387"/>
      <c r="Q5698" s="387"/>
    </row>
    <row r="5699" spans="15:17" ht="20.100000000000001" customHeight="1">
      <c r="O5699" s="387"/>
      <c r="P5699" s="387"/>
      <c r="Q5699" s="387"/>
    </row>
    <row r="5700" spans="15:17" ht="20.100000000000001" customHeight="1">
      <c r="O5700" s="387"/>
      <c r="P5700" s="387"/>
      <c r="Q5700" s="387"/>
    </row>
    <row r="5701" spans="15:17" ht="20.100000000000001" customHeight="1">
      <c r="O5701" s="387"/>
      <c r="P5701" s="387"/>
      <c r="Q5701" s="387"/>
    </row>
    <row r="5702" spans="15:17" ht="20.100000000000001" customHeight="1">
      <c r="O5702" s="387"/>
      <c r="P5702" s="387"/>
      <c r="Q5702" s="387"/>
    </row>
    <row r="5703" spans="15:17" ht="20.100000000000001" customHeight="1">
      <c r="O5703" s="387"/>
      <c r="P5703" s="387"/>
      <c r="Q5703" s="387"/>
    </row>
    <row r="5704" spans="15:17" ht="20.100000000000001" customHeight="1">
      <c r="O5704" s="387"/>
      <c r="P5704" s="387"/>
      <c r="Q5704" s="387"/>
    </row>
    <row r="5705" spans="15:17" ht="20.100000000000001" customHeight="1">
      <c r="O5705" s="387"/>
      <c r="P5705" s="387"/>
      <c r="Q5705" s="387"/>
    </row>
    <row r="5706" spans="15:17" ht="20.100000000000001" customHeight="1">
      <c r="O5706" s="387"/>
      <c r="P5706" s="387"/>
      <c r="Q5706" s="387"/>
    </row>
    <row r="5707" spans="15:17" ht="20.100000000000001" customHeight="1">
      <c r="O5707" s="387"/>
      <c r="P5707" s="387"/>
      <c r="Q5707" s="387"/>
    </row>
    <row r="5708" spans="15:17" ht="20.100000000000001" customHeight="1">
      <c r="O5708" s="387"/>
      <c r="P5708" s="387"/>
      <c r="Q5708" s="387"/>
    </row>
    <row r="5709" spans="15:17" ht="20.100000000000001" customHeight="1">
      <c r="O5709" s="387"/>
      <c r="P5709" s="387"/>
      <c r="Q5709" s="387"/>
    </row>
    <row r="5710" spans="15:17" ht="20.100000000000001" customHeight="1">
      <c r="O5710" s="387"/>
      <c r="P5710" s="387"/>
      <c r="Q5710" s="387"/>
    </row>
    <row r="5711" spans="15:17" ht="20.100000000000001" customHeight="1">
      <c r="O5711" s="387"/>
      <c r="P5711" s="387"/>
      <c r="Q5711" s="387"/>
    </row>
    <row r="5712" spans="15:17" ht="20.100000000000001" customHeight="1">
      <c r="O5712" s="387"/>
      <c r="P5712" s="387"/>
      <c r="Q5712" s="387"/>
    </row>
    <row r="5713" spans="15:17" ht="20.100000000000001" customHeight="1">
      <c r="O5713" s="387"/>
      <c r="P5713" s="387"/>
      <c r="Q5713" s="387"/>
    </row>
    <row r="5714" spans="15:17" ht="20.100000000000001" customHeight="1">
      <c r="O5714" s="387"/>
      <c r="P5714" s="387"/>
      <c r="Q5714" s="387"/>
    </row>
    <row r="5715" spans="15:17" ht="20.100000000000001" customHeight="1">
      <c r="O5715" s="387"/>
      <c r="P5715" s="387"/>
      <c r="Q5715" s="387"/>
    </row>
    <row r="5716" spans="15:17" ht="20.100000000000001" customHeight="1">
      <c r="O5716" s="387"/>
      <c r="P5716" s="387"/>
      <c r="Q5716" s="387"/>
    </row>
    <row r="5717" spans="15:17" ht="20.100000000000001" customHeight="1">
      <c r="O5717" s="387"/>
      <c r="P5717" s="387"/>
      <c r="Q5717" s="387"/>
    </row>
    <row r="5718" spans="15:17" ht="20.100000000000001" customHeight="1">
      <c r="O5718" s="387"/>
      <c r="P5718" s="387"/>
      <c r="Q5718" s="387"/>
    </row>
    <row r="5719" spans="15:17" ht="20.100000000000001" customHeight="1">
      <c r="O5719" s="387"/>
      <c r="P5719" s="387"/>
      <c r="Q5719" s="387"/>
    </row>
    <row r="5720" spans="15:17" ht="20.100000000000001" customHeight="1">
      <c r="O5720" s="387"/>
      <c r="P5720" s="387"/>
      <c r="Q5720" s="387"/>
    </row>
    <row r="5721" spans="15:17" ht="20.100000000000001" customHeight="1">
      <c r="O5721" s="387"/>
      <c r="P5721" s="387"/>
      <c r="Q5721" s="387"/>
    </row>
    <row r="5722" spans="15:17" ht="20.100000000000001" customHeight="1">
      <c r="O5722" s="387"/>
      <c r="P5722" s="387"/>
      <c r="Q5722" s="387"/>
    </row>
    <row r="5723" spans="15:17" ht="20.100000000000001" customHeight="1">
      <c r="O5723" s="387"/>
      <c r="P5723" s="387"/>
      <c r="Q5723" s="387"/>
    </row>
    <row r="5724" spans="15:17" ht="20.100000000000001" customHeight="1">
      <c r="O5724" s="387"/>
      <c r="P5724" s="387"/>
      <c r="Q5724" s="387"/>
    </row>
    <row r="5725" spans="15:17" ht="20.100000000000001" customHeight="1">
      <c r="O5725" s="387"/>
      <c r="P5725" s="387"/>
      <c r="Q5725" s="387"/>
    </row>
    <row r="5726" spans="15:17" ht="20.100000000000001" customHeight="1">
      <c r="O5726" s="387"/>
      <c r="P5726" s="387"/>
      <c r="Q5726" s="387"/>
    </row>
    <row r="5727" spans="15:17" ht="20.100000000000001" customHeight="1">
      <c r="O5727" s="387"/>
      <c r="P5727" s="387"/>
      <c r="Q5727" s="387"/>
    </row>
    <row r="5728" spans="15:17" ht="20.100000000000001" customHeight="1">
      <c r="O5728" s="387"/>
      <c r="P5728" s="387"/>
      <c r="Q5728" s="387"/>
    </row>
    <row r="5729" spans="15:17" ht="20.100000000000001" customHeight="1">
      <c r="O5729" s="387"/>
      <c r="P5729" s="387"/>
      <c r="Q5729" s="387"/>
    </row>
    <row r="5730" spans="15:17" ht="20.100000000000001" customHeight="1">
      <c r="O5730" s="387"/>
      <c r="P5730" s="387"/>
      <c r="Q5730" s="387"/>
    </row>
    <row r="5731" spans="15:17" ht="20.100000000000001" customHeight="1">
      <c r="O5731" s="387"/>
      <c r="P5731" s="387"/>
      <c r="Q5731" s="387"/>
    </row>
    <row r="5732" spans="15:17" ht="20.100000000000001" customHeight="1">
      <c r="O5732" s="387"/>
      <c r="P5732" s="387"/>
      <c r="Q5732" s="387"/>
    </row>
    <row r="5733" spans="15:17" ht="20.100000000000001" customHeight="1">
      <c r="O5733" s="387"/>
      <c r="P5733" s="387"/>
      <c r="Q5733" s="387"/>
    </row>
    <row r="5734" spans="15:17" ht="20.100000000000001" customHeight="1">
      <c r="O5734" s="387"/>
      <c r="P5734" s="387"/>
      <c r="Q5734" s="387"/>
    </row>
    <row r="5735" spans="15:17" ht="20.100000000000001" customHeight="1">
      <c r="O5735" s="387"/>
      <c r="P5735" s="387"/>
      <c r="Q5735" s="387"/>
    </row>
    <row r="5736" spans="15:17" ht="20.100000000000001" customHeight="1">
      <c r="O5736" s="387"/>
      <c r="P5736" s="387"/>
      <c r="Q5736" s="387"/>
    </row>
    <row r="5737" spans="15:17" ht="20.100000000000001" customHeight="1">
      <c r="O5737" s="387"/>
      <c r="P5737" s="387"/>
      <c r="Q5737" s="387"/>
    </row>
    <row r="5738" spans="15:17" ht="20.100000000000001" customHeight="1">
      <c r="O5738" s="387"/>
      <c r="P5738" s="387"/>
      <c r="Q5738" s="387"/>
    </row>
    <row r="5739" spans="15:17" ht="20.100000000000001" customHeight="1">
      <c r="O5739" s="387"/>
      <c r="P5739" s="387"/>
      <c r="Q5739" s="387"/>
    </row>
    <row r="5740" spans="15:17" ht="20.100000000000001" customHeight="1">
      <c r="O5740" s="387"/>
      <c r="P5740" s="387"/>
      <c r="Q5740" s="387"/>
    </row>
    <row r="5741" spans="15:17" ht="20.100000000000001" customHeight="1">
      <c r="O5741" s="387"/>
      <c r="P5741" s="387"/>
      <c r="Q5741" s="387"/>
    </row>
    <row r="5742" spans="15:17" ht="20.100000000000001" customHeight="1">
      <c r="O5742" s="387"/>
      <c r="P5742" s="387"/>
      <c r="Q5742" s="387"/>
    </row>
    <row r="5743" spans="15:17" ht="20.100000000000001" customHeight="1">
      <c r="O5743" s="387"/>
      <c r="P5743" s="387"/>
      <c r="Q5743" s="387"/>
    </row>
    <row r="5744" spans="15:17" ht="20.100000000000001" customHeight="1">
      <c r="O5744" s="387"/>
      <c r="P5744" s="387"/>
      <c r="Q5744" s="387"/>
    </row>
    <row r="5745" spans="15:17" ht="20.100000000000001" customHeight="1">
      <c r="O5745" s="387"/>
      <c r="P5745" s="387"/>
      <c r="Q5745" s="387"/>
    </row>
    <row r="5746" spans="15:17" ht="20.100000000000001" customHeight="1">
      <c r="O5746" s="387"/>
      <c r="P5746" s="387"/>
      <c r="Q5746" s="387"/>
    </row>
    <row r="5747" spans="15:17" ht="20.100000000000001" customHeight="1">
      <c r="O5747" s="387"/>
      <c r="P5747" s="387"/>
      <c r="Q5747" s="387"/>
    </row>
    <row r="5748" spans="15:17" ht="20.100000000000001" customHeight="1">
      <c r="O5748" s="387"/>
      <c r="P5748" s="387"/>
      <c r="Q5748" s="387"/>
    </row>
    <row r="5749" spans="15:17" ht="20.100000000000001" customHeight="1">
      <c r="O5749" s="387"/>
      <c r="P5749" s="387"/>
      <c r="Q5749" s="387"/>
    </row>
    <row r="5750" spans="15:17" ht="20.100000000000001" customHeight="1">
      <c r="O5750" s="387"/>
      <c r="P5750" s="387"/>
      <c r="Q5750" s="387"/>
    </row>
    <row r="5751" spans="15:17" ht="20.100000000000001" customHeight="1">
      <c r="O5751" s="387"/>
      <c r="P5751" s="387"/>
      <c r="Q5751" s="387"/>
    </row>
    <row r="5752" spans="15:17" ht="20.100000000000001" customHeight="1">
      <c r="O5752" s="387"/>
      <c r="P5752" s="387"/>
      <c r="Q5752" s="387"/>
    </row>
    <row r="5753" spans="15:17" ht="20.100000000000001" customHeight="1">
      <c r="O5753" s="387"/>
      <c r="P5753" s="387"/>
      <c r="Q5753" s="387"/>
    </row>
    <row r="5754" spans="15:17" ht="20.100000000000001" customHeight="1">
      <c r="O5754" s="387"/>
      <c r="P5754" s="387"/>
      <c r="Q5754" s="387"/>
    </row>
    <row r="5755" spans="15:17" ht="20.100000000000001" customHeight="1">
      <c r="O5755" s="387"/>
      <c r="P5755" s="387"/>
      <c r="Q5755" s="387"/>
    </row>
    <row r="5756" spans="15:17" ht="20.100000000000001" customHeight="1">
      <c r="O5756" s="387"/>
      <c r="P5756" s="387"/>
      <c r="Q5756" s="387"/>
    </row>
    <row r="5757" spans="15:17" ht="20.100000000000001" customHeight="1">
      <c r="O5757" s="387"/>
      <c r="P5757" s="387"/>
      <c r="Q5757" s="387"/>
    </row>
    <row r="5758" spans="15:17" ht="20.100000000000001" customHeight="1">
      <c r="O5758" s="387"/>
      <c r="P5758" s="387"/>
      <c r="Q5758" s="387"/>
    </row>
    <row r="5759" spans="15:17" ht="20.100000000000001" customHeight="1">
      <c r="O5759" s="387"/>
      <c r="P5759" s="387"/>
      <c r="Q5759" s="387"/>
    </row>
    <row r="5760" spans="15:17" ht="20.100000000000001" customHeight="1">
      <c r="O5760" s="387"/>
      <c r="P5760" s="387"/>
      <c r="Q5760" s="387"/>
    </row>
    <row r="5761" spans="15:17" ht="20.100000000000001" customHeight="1">
      <c r="O5761" s="387"/>
      <c r="P5761" s="387"/>
      <c r="Q5761" s="387"/>
    </row>
    <row r="5762" spans="15:17" ht="20.100000000000001" customHeight="1">
      <c r="O5762" s="387"/>
      <c r="P5762" s="387"/>
      <c r="Q5762" s="387"/>
    </row>
    <row r="5763" spans="15:17" ht="20.100000000000001" customHeight="1">
      <c r="O5763" s="387"/>
      <c r="P5763" s="387"/>
      <c r="Q5763" s="387"/>
    </row>
    <row r="5764" spans="15:17" ht="20.100000000000001" customHeight="1">
      <c r="O5764" s="387"/>
      <c r="P5764" s="387"/>
      <c r="Q5764" s="387"/>
    </row>
    <row r="5765" spans="15:17" ht="20.100000000000001" customHeight="1">
      <c r="O5765" s="387"/>
      <c r="P5765" s="387"/>
      <c r="Q5765" s="387"/>
    </row>
    <row r="5766" spans="15:17" ht="20.100000000000001" customHeight="1">
      <c r="O5766" s="387"/>
      <c r="P5766" s="387"/>
      <c r="Q5766" s="387"/>
    </row>
    <row r="5767" spans="15:17" ht="20.100000000000001" customHeight="1">
      <c r="O5767" s="387"/>
      <c r="P5767" s="387"/>
      <c r="Q5767" s="387"/>
    </row>
    <row r="5768" spans="15:17" ht="20.100000000000001" customHeight="1">
      <c r="O5768" s="387"/>
      <c r="P5768" s="387"/>
      <c r="Q5768" s="387"/>
    </row>
    <row r="5769" spans="15:17" ht="20.100000000000001" customHeight="1">
      <c r="O5769" s="387"/>
      <c r="P5769" s="387"/>
      <c r="Q5769" s="387"/>
    </row>
    <row r="5770" spans="15:17" ht="20.100000000000001" customHeight="1">
      <c r="O5770" s="387"/>
      <c r="P5770" s="387"/>
      <c r="Q5770" s="387"/>
    </row>
    <row r="5771" spans="15:17" ht="20.100000000000001" customHeight="1">
      <c r="O5771" s="387"/>
      <c r="P5771" s="387"/>
      <c r="Q5771" s="387"/>
    </row>
    <row r="5772" spans="15:17" ht="20.100000000000001" customHeight="1">
      <c r="O5772" s="387"/>
      <c r="P5772" s="387"/>
      <c r="Q5772" s="387"/>
    </row>
    <row r="5773" spans="15:17" ht="20.100000000000001" customHeight="1">
      <c r="O5773" s="387"/>
      <c r="P5773" s="387"/>
      <c r="Q5773" s="387"/>
    </row>
    <row r="5774" spans="15:17" ht="20.100000000000001" customHeight="1">
      <c r="O5774" s="387"/>
      <c r="P5774" s="387"/>
      <c r="Q5774" s="387"/>
    </row>
    <row r="5775" spans="15:17" ht="20.100000000000001" customHeight="1">
      <c r="O5775" s="387"/>
      <c r="P5775" s="387"/>
      <c r="Q5775" s="387"/>
    </row>
    <row r="5776" spans="15:17" ht="20.100000000000001" customHeight="1">
      <c r="O5776" s="387"/>
      <c r="P5776" s="387"/>
      <c r="Q5776" s="387"/>
    </row>
    <row r="5777" spans="15:17" ht="20.100000000000001" customHeight="1">
      <c r="O5777" s="387"/>
      <c r="P5777" s="387"/>
      <c r="Q5777" s="387"/>
    </row>
    <row r="5778" spans="15:17" ht="20.100000000000001" customHeight="1">
      <c r="O5778" s="387"/>
      <c r="P5778" s="387"/>
      <c r="Q5778" s="387"/>
    </row>
    <row r="5779" spans="15:17" ht="20.100000000000001" customHeight="1">
      <c r="O5779" s="387"/>
      <c r="P5779" s="387"/>
      <c r="Q5779" s="387"/>
    </row>
    <row r="5780" spans="15:17" ht="20.100000000000001" customHeight="1">
      <c r="O5780" s="387"/>
      <c r="P5780" s="387"/>
      <c r="Q5780" s="387"/>
    </row>
    <row r="5781" spans="15:17" ht="20.100000000000001" customHeight="1">
      <c r="O5781" s="387"/>
      <c r="P5781" s="387"/>
      <c r="Q5781" s="387"/>
    </row>
    <row r="5782" spans="15:17" ht="20.100000000000001" customHeight="1">
      <c r="O5782" s="387"/>
      <c r="P5782" s="387"/>
      <c r="Q5782" s="387"/>
    </row>
    <row r="5783" spans="15:17" ht="20.100000000000001" customHeight="1">
      <c r="O5783" s="387"/>
      <c r="P5783" s="387"/>
      <c r="Q5783" s="387"/>
    </row>
    <row r="5784" spans="15:17" ht="20.100000000000001" customHeight="1">
      <c r="O5784" s="387"/>
      <c r="P5784" s="387"/>
      <c r="Q5784" s="387"/>
    </row>
    <row r="5785" spans="15:17" ht="20.100000000000001" customHeight="1">
      <c r="O5785" s="387"/>
      <c r="P5785" s="387"/>
      <c r="Q5785" s="387"/>
    </row>
    <row r="5786" spans="15:17" ht="20.100000000000001" customHeight="1">
      <c r="O5786" s="387"/>
      <c r="P5786" s="387"/>
      <c r="Q5786" s="387"/>
    </row>
    <row r="5787" spans="15:17" ht="20.100000000000001" customHeight="1">
      <c r="O5787" s="387"/>
      <c r="P5787" s="387"/>
      <c r="Q5787" s="387"/>
    </row>
    <row r="5788" spans="15:17" ht="20.100000000000001" customHeight="1">
      <c r="O5788" s="387"/>
      <c r="P5788" s="387"/>
      <c r="Q5788" s="387"/>
    </row>
    <row r="5789" spans="15:17" ht="20.100000000000001" customHeight="1">
      <c r="O5789" s="387"/>
      <c r="P5789" s="387"/>
      <c r="Q5789" s="387"/>
    </row>
    <row r="5790" spans="15:17" ht="20.100000000000001" customHeight="1">
      <c r="O5790" s="387"/>
      <c r="P5790" s="387"/>
      <c r="Q5790" s="387"/>
    </row>
    <row r="5791" spans="15:17" ht="20.100000000000001" customHeight="1">
      <c r="O5791" s="387"/>
      <c r="P5791" s="387"/>
      <c r="Q5791" s="387"/>
    </row>
    <row r="5792" spans="15:17" ht="20.100000000000001" customHeight="1">
      <c r="O5792" s="387"/>
      <c r="P5792" s="387"/>
      <c r="Q5792" s="387"/>
    </row>
    <row r="5793" spans="15:17" ht="20.100000000000001" customHeight="1">
      <c r="O5793" s="387"/>
      <c r="P5793" s="387"/>
      <c r="Q5793" s="387"/>
    </row>
    <row r="5794" spans="15:17" ht="20.100000000000001" customHeight="1">
      <c r="O5794" s="387"/>
      <c r="P5794" s="387"/>
      <c r="Q5794" s="387"/>
    </row>
    <row r="5795" spans="15:17" ht="20.100000000000001" customHeight="1">
      <c r="O5795" s="387"/>
      <c r="P5795" s="387"/>
      <c r="Q5795" s="387"/>
    </row>
    <row r="5796" spans="15:17" ht="20.100000000000001" customHeight="1">
      <c r="O5796" s="387"/>
      <c r="P5796" s="387"/>
      <c r="Q5796" s="387"/>
    </row>
    <row r="5797" spans="15:17" ht="20.100000000000001" customHeight="1">
      <c r="O5797" s="387"/>
      <c r="P5797" s="387"/>
      <c r="Q5797" s="387"/>
    </row>
    <row r="5798" spans="15:17" ht="20.100000000000001" customHeight="1">
      <c r="O5798" s="387"/>
      <c r="P5798" s="387"/>
      <c r="Q5798" s="387"/>
    </row>
    <row r="5799" spans="15:17" ht="20.100000000000001" customHeight="1">
      <c r="O5799" s="387"/>
      <c r="P5799" s="387"/>
      <c r="Q5799" s="387"/>
    </row>
    <row r="5800" spans="15:17" ht="20.100000000000001" customHeight="1">
      <c r="O5800" s="387"/>
      <c r="P5800" s="387"/>
      <c r="Q5800" s="387"/>
    </row>
    <row r="5801" spans="15:17" ht="20.100000000000001" customHeight="1">
      <c r="O5801" s="387"/>
      <c r="P5801" s="387"/>
      <c r="Q5801" s="387"/>
    </row>
    <row r="5802" spans="15:17" ht="20.100000000000001" customHeight="1">
      <c r="O5802" s="387"/>
      <c r="P5802" s="387"/>
      <c r="Q5802" s="387"/>
    </row>
    <row r="5803" spans="15:17" ht="20.100000000000001" customHeight="1">
      <c r="O5803" s="387"/>
      <c r="P5803" s="387"/>
      <c r="Q5803" s="387"/>
    </row>
    <row r="5804" spans="15:17" ht="20.100000000000001" customHeight="1">
      <c r="O5804" s="387"/>
      <c r="P5804" s="387"/>
      <c r="Q5804" s="387"/>
    </row>
    <row r="5805" spans="15:17" ht="20.100000000000001" customHeight="1">
      <c r="O5805" s="387"/>
      <c r="P5805" s="387"/>
      <c r="Q5805" s="387"/>
    </row>
    <row r="5806" spans="15:17" ht="20.100000000000001" customHeight="1">
      <c r="O5806" s="387"/>
      <c r="P5806" s="387"/>
      <c r="Q5806" s="387"/>
    </row>
    <row r="5807" spans="15:17" ht="20.100000000000001" customHeight="1">
      <c r="O5807" s="387"/>
      <c r="P5807" s="387"/>
      <c r="Q5807" s="387"/>
    </row>
    <row r="5808" spans="15:17" ht="20.100000000000001" customHeight="1">
      <c r="O5808" s="387"/>
      <c r="P5808" s="387"/>
      <c r="Q5808" s="387"/>
    </row>
    <row r="5809" spans="15:17" ht="20.100000000000001" customHeight="1">
      <c r="O5809" s="387"/>
      <c r="P5809" s="387"/>
      <c r="Q5809" s="387"/>
    </row>
    <row r="5810" spans="15:17" ht="20.100000000000001" customHeight="1">
      <c r="O5810" s="387"/>
      <c r="P5810" s="387"/>
      <c r="Q5810" s="387"/>
    </row>
    <row r="5811" spans="15:17" ht="20.100000000000001" customHeight="1">
      <c r="O5811" s="387"/>
      <c r="P5811" s="387"/>
      <c r="Q5811" s="387"/>
    </row>
    <row r="5812" spans="15:17" ht="20.100000000000001" customHeight="1">
      <c r="O5812" s="387"/>
      <c r="P5812" s="387"/>
      <c r="Q5812" s="387"/>
    </row>
    <row r="5813" spans="15:17" ht="20.100000000000001" customHeight="1">
      <c r="O5813" s="387"/>
      <c r="P5813" s="387"/>
      <c r="Q5813" s="387"/>
    </row>
    <row r="5814" spans="15:17" ht="20.100000000000001" customHeight="1">
      <c r="O5814" s="387"/>
      <c r="P5814" s="387"/>
      <c r="Q5814" s="387"/>
    </row>
    <row r="5815" spans="15:17" ht="20.100000000000001" customHeight="1">
      <c r="O5815" s="387"/>
      <c r="P5815" s="387"/>
      <c r="Q5815" s="387"/>
    </row>
    <row r="5816" spans="15:17" ht="20.100000000000001" customHeight="1">
      <c r="O5816" s="387"/>
      <c r="P5816" s="387"/>
      <c r="Q5816" s="387"/>
    </row>
    <row r="5817" spans="15:17" ht="20.100000000000001" customHeight="1">
      <c r="O5817" s="387"/>
      <c r="P5817" s="387"/>
      <c r="Q5817" s="387"/>
    </row>
    <row r="5818" spans="15:17" ht="20.100000000000001" customHeight="1">
      <c r="O5818" s="387"/>
      <c r="P5818" s="387"/>
      <c r="Q5818" s="387"/>
    </row>
    <row r="5819" spans="15:17" ht="20.100000000000001" customHeight="1">
      <c r="O5819" s="387"/>
      <c r="P5819" s="387"/>
      <c r="Q5819" s="387"/>
    </row>
    <row r="5820" spans="15:17" ht="20.100000000000001" customHeight="1">
      <c r="O5820" s="387"/>
      <c r="P5820" s="387"/>
      <c r="Q5820" s="387"/>
    </row>
    <row r="5821" spans="15:17" ht="20.100000000000001" customHeight="1">
      <c r="O5821" s="387"/>
      <c r="P5821" s="387"/>
      <c r="Q5821" s="387"/>
    </row>
    <row r="5822" spans="15:17" ht="20.100000000000001" customHeight="1">
      <c r="O5822" s="387"/>
      <c r="P5822" s="387"/>
      <c r="Q5822" s="387"/>
    </row>
    <row r="5823" spans="15:17" ht="20.100000000000001" customHeight="1">
      <c r="O5823" s="387"/>
      <c r="P5823" s="387"/>
      <c r="Q5823" s="387"/>
    </row>
    <row r="5824" spans="15:17" ht="20.100000000000001" customHeight="1">
      <c r="O5824" s="387"/>
      <c r="P5824" s="387"/>
      <c r="Q5824" s="387"/>
    </row>
    <row r="5825" spans="15:17" ht="20.100000000000001" customHeight="1">
      <c r="O5825" s="387"/>
      <c r="P5825" s="387"/>
      <c r="Q5825" s="387"/>
    </row>
    <row r="5826" spans="15:17" ht="20.100000000000001" customHeight="1">
      <c r="O5826" s="387"/>
      <c r="P5826" s="387"/>
      <c r="Q5826" s="387"/>
    </row>
    <row r="5827" spans="15:17" ht="20.100000000000001" customHeight="1">
      <c r="O5827" s="387"/>
      <c r="P5827" s="387"/>
      <c r="Q5827" s="387"/>
    </row>
    <row r="5828" spans="15:17" ht="20.100000000000001" customHeight="1">
      <c r="O5828" s="387"/>
      <c r="P5828" s="387"/>
      <c r="Q5828" s="387"/>
    </row>
    <row r="5829" spans="15:17" ht="20.100000000000001" customHeight="1">
      <c r="O5829" s="387"/>
      <c r="P5829" s="387"/>
      <c r="Q5829" s="387"/>
    </row>
    <row r="5830" spans="15:17" ht="20.100000000000001" customHeight="1">
      <c r="O5830" s="387"/>
      <c r="P5830" s="387"/>
      <c r="Q5830" s="387"/>
    </row>
    <row r="5831" spans="15:17" ht="20.100000000000001" customHeight="1">
      <c r="O5831" s="387"/>
      <c r="P5831" s="387"/>
      <c r="Q5831" s="387"/>
    </row>
    <row r="5832" spans="15:17" ht="20.100000000000001" customHeight="1">
      <c r="O5832" s="387"/>
      <c r="P5832" s="387"/>
      <c r="Q5832" s="387"/>
    </row>
    <row r="5833" spans="15:17" ht="20.100000000000001" customHeight="1">
      <c r="O5833" s="387"/>
      <c r="P5833" s="387"/>
      <c r="Q5833" s="387"/>
    </row>
    <row r="5834" spans="15:17" ht="20.100000000000001" customHeight="1">
      <c r="O5834" s="387"/>
      <c r="P5834" s="387"/>
      <c r="Q5834" s="387"/>
    </row>
    <row r="5835" spans="15:17" ht="20.100000000000001" customHeight="1">
      <c r="O5835" s="387"/>
      <c r="P5835" s="387"/>
      <c r="Q5835" s="387"/>
    </row>
    <row r="5836" spans="15:17" ht="20.100000000000001" customHeight="1">
      <c r="O5836" s="387"/>
      <c r="P5836" s="387"/>
      <c r="Q5836" s="387"/>
    </row>
    <row r="5837" spans="15:17" ht="20.100000000000001" customHeight="1">
      <c r="O5837" s="387"/>
      <c r="P5837" s="387"/>
      <c r="Q5837" s="387"/>
    </row>
    <row r="5838" spans="15:17" ht="20.100000000000001" customHeight="1">
      <c r="O5838" s="387"/>
      <c r="P5838" s="387"/>
      <c r="Q5838" s="387"/>
    </row>
    <row r="5839" spans="15:17" ht="20.100000000000001" customHeight="1">
      <c r="O5839" s="387"/>
      <c r="P5839" s="387"/>
      <c r="Q5839" s="387"/>
    </row>
    <row r="5840" spans="15:17" ht="20.100000000000001" customHeight="1">
      <c r="O5840" s="387"/>
      <c r="P5840" s="387"/>
      <c r="Q5840" s="387"/>
    </row>
    <row r="5841" spans="15:17" ht="20.100000000000001" customHeight="1">
      <c r="O5841" s="387"/>
      <c r="P5841" s="387"/>
      <c r="Q5841" s="387"/>
    </row>
    <row r="5842" spans="15:17" ht="20.100000000000001" customHeight="1">
      <c r="O5842" s="387"/>
      <c r="P5842" s="387"/>
      <c r="Q5842" s="387"/>
    </row>
    <row r="5843" spans="15:17" ht="20.100000000000001" customHeight="1">
      <c r="O5843" s="387"/>
      <c r="P5843" s="387"/>
      <c r="Q5843" s="387"/>
    </row>
    <row r="5844" spans="15:17" ht="20.100000000000001" customHeight="1">
      <c r="O5844" s="387"/>
      <c r="P5844" s="387"/>
      <c r="Q5844" s="387"/>
    </row>
    <row r="5845" spans="15:17" ht="20.100000000000001" customHeight="1">
      <c r="O5845" s="387"/>
      <c r="P5845" s="387"/>
      <c r="Q5845" s="387"/>
    </row>
    <row r="5846" spans="15:17" ht="20.100000000000001" customHeight="1">
      <c r="O5846" s="387"/>
      <c r="P5846" s="387"/>
      <c r="Q5846" s="387"/>
    </row>
    <row r="5847" spans="15:17" ht="20.100000000000001" customHeight="1">
      <c r="O5847" s="387"/>
      <c r="P5847" s="387"/>
      <c r="Q5847" s="387"/>
    </row>
    <row r="5848" spans="15:17" ht="20.100000000000001" customHeight="1">
      <c r="O5848" s="387"/>
      <c r="P5848" s="387"/>
      <c r="Q5848" s="387"/>
    </row>
    <row r="5849" spans="15:17" ht="20.100000000000001" customHeight="1">
      <c r="O5849" s="387"/>
      <c r="P5849" s="387"/>
      <c r="Q5849" s="387"/>
    </row>
    <row r="5850" spans="15:17" ht="20.100000000000001" customHeight="1">
      <c r="O5850" s="387"/>
      <c r="P5850" s="387"/>
      <c r="Q5850" s="387"/>
    </row>
    <row r="5851" spans="15:17" ht="20.100000000000001" customHeight="1">
      <c r="O5851" s="387"/>
      <c r="P5851" s="387"/>
      <c r="Q5851" s="387"/>
    </row>
    <row r="5852" spans="15:17" ht="20.100000000000001" customHeight="1">
      <c r="O5852" s="387"/>
      <c r="P5852" s="387"/>
      <c r="Q5852" s="387"/>
    </row>
    <row r="5853" spans="15:17" ht="20.100000000000001" customHeight="1">
      <c r="O5853" s="387"/>
      <c r="P5853" s="387"/>
      <c r="Q5853" s="387"/>
    </row>
    <row r="5854" spans="15:17" ht="20.100000000000001" customHeight="1">
      <c r="O5854" s="387"/>
      <c r="P5854" s="387"/>
      <c r="Q5854" s="387"/>
    </row>
    <row r="5855" spans="15:17" ht="20.100000000000001" customHeight="1">
      <c r="O5855" s="387"/>
      <c r="P5855" s="387"/>
      <c r="Q5855" s="387"/>
    </row>
    <row r="5856" spans="15:17" ht="20.100000000000001" customHeight="1">
      <c r="O5856" s="387"/>
      <c r="P5856" s="387"/>
      <c r="Q5856" s="387"/>
    </row>
    <row r="5857" spans="15:17" ht="20.100000000000001" customHeight="1">
      <c r="O5857" s="387"/>
      <c r="P5857" s="387"/>
      <c r="Q5857" s="387"/>
    </row>
    <row r="5858" spans="15:17" ht="20.100000000000001" customHeight="1">
      <c r="O5858" s="387"/>
      <c r="P5858" s="387"/>
      <c r="Q5858" s="387"/>
    </row>
    <row r="5859" spans="15:17" ht="20.100000000000001" customHeight="1">
      <c r="O5859" s="387"/>
      <c r="P5859" s="387"/>
      <c r="Q5859" s="387"/>
    </row>
    <row r="5860" spans="15:17" ht="20.100000000000001" customHeight="1">
      <c r="O5860" s="387"/>
      <c r="P5860" s="387"/>
      <c r="Q5860" s="387"/>
    </row>
    <row r="5861" spans="15:17" ht="20.100000000000001" customHeight="1">
      <c r="O5861" s="387"/>
      <c r="P5861" s="387"/>
      <c r="Q5861" s="387"/>
    </row>
    <row r="5862" spans="15:17" ht="20.100000000000001" customHeight="1">
      <c r="O5862" s="387"/>
      <c r="P5862" s="387"/>
      <c r="Q5862" s="387"/>
    </row>
    <row r="5863" spans="15:17" ht="20.100000000000001" customHeight="1">
      <c r="O5863" s="387"/>
      <c r="P5863" s="387"/>
      <c r="Q5863" s="387"/>
    </row>
    <row r="5864" spans="15:17" ht="20.100000000000001" customHeight="1">
      <c r="O5864" s="387"/>
      <c r="P5864" s="387"/>
      <c r="Q5864" s="387"/>
    </row>
    <row r="5865" spans="15:17" ht="20.100000000000001" customHeight="1">
      <c r="O5865" s="387"/>
      <c r="P5865" s="387"/>
      <c r="Q5865" s="387"/>
    </row>
    <row r="5866" spans="15:17" ht="20.100000000000001" customHeight="1">
      <c r="O5866" s="387"/>
      <c r="P5866" s="387"/>
      <c r="Q5866" s="387"/>
    </row>
    <row r="5867" spans="15:17" ht="20.100000000000001" customHeight="1">
      <c r="O5867" s="387"/>
      <c r="P5867" s="387"/>
      <c r="Q5867" s="387"/>
    </row>
    <row r="5868" spans="15:17" ht="20.100000000000001" customHeight="1">
      <c r="O5868" s="387"/>
      <c r="P5868" s="387"/>
      <c r="Q5868" s="387"/>
    </row>
    <row r="5869" spans="15:17" ht="20.100000000000001" customHeight="1">
      <c r="O5869" s="387"/>
      <c r="P5869" s="387"/>
      <c r="Q5869" s="387"/>
    </row>
    <row r="5870" spans="15:17" ht="20.100000000000001" customHeight="1">
      <c r="O5870" s="387"/>
      <c r="P5870" s="387"/>
      <c r="Q5870" s="387"/>
    </row>
    <row r="5871" spans="15:17" ht="20.100000000000001" customHeight="1">
      <c r="O5871" s="387"/>
      <c r="P5871" s="387"/>
      <c r="Q5871" s="387"/>
    </row>
    <row r="5872" spans="15:17" ht="20.100000000000001" customHeight="1">
      <c r="O5872" s="387"/>
      <c r="P5872" s="387"/>
      <c r="Q5872" s="387"/>
    </row>
    <row r="5873" spans="15:17" ht="20.100000000000001" customHeight="1">
      <c r="O5873" s="387"/>
      <c r="P5873" s="387"/>
      <c r="Q5873" s="387"/>
    </row>
    <row r="5874" spans="15:17" ht="20.100000000000001" customHeight="1">
      <c r="O5874" s="387"/>
      <c r="P5874" s="387"/>
      <c r="Q5874" s="387"/>
    </row>
    <row r="5875" spans="15:17" ht="20.100000000000001" customHeight="1">
      <c r="O5875" s="387"/>
      <c r="P5875" s="387"/>
      <c r="Q5875" s="387"/>
    </row>
    <row r="5876" spans="15:17" ht="20.100000000000001" customHeight="1">
      <c r="O5876" s="387"/>
      <c r="P5876" s="387"/>
      <c r="Q5876" s="387"/>
    </row>
    <row r="5877" spans="15:17" ht="20.100000000000001" customHeight="1">
      <c r="O5877" s="387"/>
      <c r="P5877" s="387"/>
      <c r="Q5877" s="387"/>
    </row>
    <row r="5878" spans="15:17" ht="20.100000000000001" customHeight="1">
      <c r="O5878" s="387"/>
      <c r="P5878" s="387"/>
      <c r="Q5878" s="387"/>
    </row>
    <row r="5879" spans="15:17" ht="20.100000000000001" customHeight="1">
      <c r="O5879" s="387"/>
      <c r="P5879" s="387"/>
      <c r="Q5879" s="387"/>
    </row>
    <row r="5880" spans="15:17" ht="20.100000000000001" customHeight="1">
      <c r="O5880" s="387"/>
      <c r="P5880" s="387"/>
      <c r="Q5880" s="387"/>
    </row>
    <row r="5881" spans="15:17" ht="20.100000000000001" customHeight="1">
      <c r="O5881" s="387"/>
      <c r="P5881" s="387"/>
      <c r="Q5881" s="387"/>
    </row>
    <row r="5882" spans="15:17" ht="20.100000000000001" customHeight="1">
      <c r="O5882" s="387"/>
      <c r="P5882" s="387"/>
      <c r="Q5882" s="387"/>
    </row>
    <row r="5883" spans="15:17" ht="20.100000000000001" customHeight="1">
      <c r="O5883" s="387"/>
      <c r="P5883" s="387"/>
      <c r="Q5883" s="387"/>
    </row>
    <row r="5884" spans="15:17" ht="20.100000000000001" customHeight="1">
      <c r="O5884" s="387"/>
      <c r="P5884" s="387"/>
      <c r="Q5884" s="387"/>
    </row>
    <row r="5885" spans="15:17" ht="20.100000000000001" customHeight="1">
      <c r="O5885" s="387"/>
      <c r="P5885" s="387"/>
      <c r="Q5885" s="387"/>
    </row>
    <row r="5886" spans="15:17" ht="20.100000000000001" customHeight="1">
      <c r="O5886" s="387"/>
      <c r="P5886" s="387"/>
      <c r="Q5886" s="387"/>
    </row>
    <row r="5887" spans="15:17" ht="20.100000000000001" customHeight="1">
      <c r="O5887" s="387"/>
      <c r="P5887" s="387"/>
      <c r="Q5887" s="387"/>
    </row>
    <row r="5888" spans="15:17" ht="20.100000000000001" customHeight="1">
      <c r="O5888" s="387"/>
      <c r="P5888" s="387"/>
      <c r="Q5888" s="387"/>
    </row>
    <row r="5889" spans="15:17" ht="20.100000000000001" customHeight="1">
      <c r="O5889" s="387"/>
      <c r="P5889" s="387"/>
      <c r="Q5889" s="387"/>
    </row>
    <row r="5890" spans="15:17" ht="20.100000000000001" customHeight="1">
      <c r="O5890" s="387"/>
      <c r="P5890" s="387"/>
      <c r="Q5890" s="387"/>
    </row>
    <row r="5891" spans="15:17" ht="20.100000000000001" customHeight="1">
      <c r="O5891" s="387"/>
      <c r="P5891" s="387"/>
      <c r="Q5891" s="387"/>
    </row>
    <row r="5892" spans="15:17" ht="20.100000000000001" customHeight="1">
      <c r="O5892" s="387"/>
      <c r="P5892" s="387"/>
      <c r="Q5892" s="387"/>
    </row>
    <row r="5893" spans="15:17" ht="20.100000000000001" customHeight="1">
      <c r="O5893" s="387"/>
      <c r="P5893" s="387"/>
      <c r="Q5893" s="387"/>
    </row>
    <row r="5894" spans="15:17" ht="20.100000000000001" customHeight="1">
      <c r="O5894" s="387"/>
      <c r="P5894" s="387"/>
      <c r="Q5894" s="387"/>
    </row>
    <row r="5895" spans="15:17" ht="20.100000000000001" customHeight="1">
      <c r="O5895" s="387"/>
      <c r="P5895" s="387"/>
      <c r="Q5895" s="387"/>
    </row>
    <row r="5896" spans="15:17" ht="20.100000000000001" customHeight="1">
      <c r="O5896" s="387"/>
      <c r="P5896" s="387"/>
      <c r="Q5896" s="387"/>
    </row>
    <row r="5897" spans="15:17" ht="20.100000000000001" customHeight="1">
      <c r="O5897" s="387"/>
      <c r="P5897" s="387"/>
      <c r="Q5897" s="387"/>
    </row>
    <row r="5898" spans="15:17" ht="20.100000000000001" customHeight="1">
      <c r="O5898" s="387"/>
      <c r="P5898" s="387"/>
      <c r="Q5898" s="387"/>
    </row>
    <row r="5899" spans="15:17" ht="20.100000000000001" customHeight="1">
      <c r="O5899" s="387"/>
      <c r="P5899" s="387"/>
      <c r="Q5899" s="387"/>
    </row>
    <row r="5900" spans="15:17" ht="20.100000000000001" customHeight="1">
      <c r="O5900" s="387"/>
      <c r="P5900" s="387"/>
      <c r="Q5900" s="387"/>
    </row>
    <row r="5901" spans="15:17" ht="20.100000000000001" customHeight="1">
      <c r="O5901" s="387"/>
      <c r="P5901" s="387"/>
      <c r="Q5901" s="387"/>
    </row>
    <row r="5902" spans="15:17" ht="20.100000000000001" customHeight="1">
      <c r="O5902" s="387"/>
      <c r="P5902" s="387"/>
      <c r="Q5902" s="387"/>
    </row>
    <row r="5903" spans="15:17" ht="20.100000000000001" customHeight="1">
      <c r="O5903" s="387"/>
      <c r="P5903" s="387"/>
      <c r="Q5903" s="387"/>
    </row>
    <row r="5904" spans="15:17" ht="20.100000000000001" customHeight="1">
      <c r="O5904" s="387"/>
      <c r="P5904" s="387"/>
      <c r="Q5904" s="387"/>
    </row>
    <row r="5905" spans="15:17" ht="20.100000000000001" customHeight="1">
      <c r="O5905" s="387"/>
      <c r="P5905" s="387"/>
      <c r="Q5905" s="387"/>
    </row>
    <row r="5906" spans="15:17" ht="20.100000000000001" customHeight="1">
      <c r="O5906" s="387"/>
      <c r="P5906" s="387"/>
      <c r="Q5906" s="387"/>
    </row>
    <row r="5907" spans="15:17" ht="20.100000000000001" customHeight="1">
      <c r="O5907" s="387"/>
      <c r="P5907" s="387"/>
      <c r="Q5907" s="387"/>
    </row>
    <row r="5908" spans="15:17" ht="20.100000000000001" customHeight="1">
      <c r="O5908" s="387"/>
      <c r="P5908" s="387"/>
      <c r="Q5908" s="387"/>
    </row>
    <row r="5909" spans="15:17" ht="20.100000000000001" customHeight="1">
      <c r="O5909" s="387"/>
      <c r="P5909" s="387"/>
      <c r="Q5909" s="387"/>
    </row>
    <row r="5910" spans="15:17" ht="20.100000000000001" customHeight="1">
      <c r="O5910" s="387"/>
      <c r="P5910" s="387"/>
      <c r="Q5910" s="387"/>
    </row>
    <row r="5911" spans="15:17" ht="20.100000000000001" customHeight="1">
      <c r="O5911" s="387"/>
      <c r="P5911" s="387"/>
      <c r="Q5911" s="387"/>
    </row>
    <row r="5912" spans="15:17" ht="20.100000000000001" customHeight="1">
      <c r="O5912" s="387"/>
      <c r="P5912" s="387"/>
      <c r="Q5912" s="387"/>
    </row>
    <row r="5913" spans="15:17" ht="20.100000000000001" customHeight="1">
      <c r="O5913" s="387"/>
      <c r="P5913" s="387"/>
      <c r="Q5913" s="387"/>
    </row>
    <row r="5914" spans="15:17" ht="20.100000000000001" customHeight="1">
      <c r="O5914" s="387"/>
      <c r="P5914" s="387"/>
      <c r="Q5914" s="387"/>
    </row>
    <row r="5915" spans="15:17" ht="20.100000000000001" customHeight="1">
      <c r="O5915" s="387"/>
      <c r="P5915" s="387"/>
      <c r="Q5915" s="387"/>
    </row>
    <row r="5916" spans="15:17" ht="20.100000000000001" customHeight="1">
      <c r="O5916" s="387"/>
      <c r="P5916" s="387"/>
      <c r="Q5916" s="387"/>
    </row>
    <row r="5917" spans="15:17" ht="20.100000000000001" customHeight="1">
      <c r="O5917" s="387"/>
      <c r="P5917" s="387"/>
      <c r="Q5917" s="387"/>
    </row>
    <row r="5918" spans="15:17" ht="20.100000000000001" customHeight="1">
      <c r="O5918" s="387"/>
      <c r="P5918" s="387"/>
      <c r="Q5918" s="387"/>
    </row>
    <row r="5919" spans="15:17" ht="20.100000000000001" customHeight="1">
      <c r="O5919" s="387"/>
      <c r="P5919" s="387"/>
      <c r="Q5919" s="387"/>
    </row>
    <row r="5920" spans="15:17" ht="20.100000000000001" customHeight="1">
      <c r="O5920" s="387"/>
      <c r="P5920" s="387"/>
      <c r="Q5920" s="387"/>
    </row>
    <row r="5921" spans="15:17" ht="20.100000000000001" customHeight="1">
      <c r="O5921" s="387"/>
      <c r="P5921" s="387"/>
      <c r="Q5921" s="387"/>
    </row>
    <row r="5922" spans="15:17" ht="20.100000000000001" customHeight="1">
      <c r="O5922" s="387"/>
      <c r="P5922" s="387"/>
      <c r="Q5922" s="387"/>
    </row>
    <row r="5923" spans="15:17" ht="20.100000000000001" customHeight="1">
      <c r="O5923" s="387"/>
      <c r="P5923" s="387"/>
      <c r="Q5923" s="387"/>
    </row>
    <row r="5924" spans="15:17" ht="20.100000000000001" customHeight="1">
      <c r="O5924" s="387"/>
      <c r="P5924" s="387"/>
      <c r="Q5924" s="387"/>
    </row>
    <row r="5925" spans="15:17" ht="20.100000000000001" customHeight="1">
      <c r="O5925" s="387"/>
      <c r="P5925" s="387"/>
      <c r="Q5925" s="387"/>
    </row>
    <row r="5926" spans="15:17" ht="20.100000000000001" customHeight="1">
      <c r="O5926" s="387"/>
      <c r="P5926" s="387"/>
      <c r="Q5926" s="387"/>
    </row>
    <row r="5927" spans="15:17" ht="20.100000000000001" customHeight="1">
      <c r="O5927" s="387"/>
      <c r="P5927" s="387"/>
      <c r="Q5927" s="387"/>
    </row>
    <row r="5928" spans="15:17" ht="20.100000000000001" customHeight="1">
      <c r="O5928" s="387"/>
      <c r="P5928" s="387"/>
      <c r="Q5928" s="387"/>
    </row>
    <row r="5929" spans="15:17" ht="20.100000000000001" customHeight="1">
      <c r="O5929" s="387"/>
      <c r="P5929" s="387"/>
      <c r="Q5929" s="387"/>
    </row>
    <row r="5930" spans="15:17" ht="20.100000000000001" customHeight="1">
      <c r="O5930" s="387"/>
      <c r="P5930" s="387"/>
      <c r="Q5930" s="387"/>
    </row>
    <row r="5931" spans="15:17" ht="20.100000000000001" customHeight="1">
      <c r="O5931" s="387"/>
      <c r="P5931" s="387"/>
      <c r="Q5931" s="387"/>
    </row>
    <row r="5932" spans="15:17" ht="20.100000000000001" customHeight="1">
      <c r="O5932" s="387"/>
      <c r="P5932" s="387"/>
      <c r="Q5932" s="387"/>
    </row>
    <row r="5933" spans="15:17" ht="20.100000000000001" customHeight="1">
      <c r="O5933" s="387"/>
      <c r="P5933" s="387"/>
      <c r="Q5933" s="387"/>
    </row>
    <row r="5934" spans="15:17" ht="20.100000000000001" customHeight="1">
      <c r="O5934" s="387"/>
      <c r="P5934" s="387"/>
      <c r="Q5934" s="387"/>
    </row>
    <row r="5935" spans="15:17" ht="20.100000000000001" customHeight="1">
      <c r="O5935" s="387"/>
      <c r="P5935" s="387"/>
      <c r="Q5935" s="387"/>
    </row>
    <row r="5936" spans="15:17" ht="20.100000000000001" customHeight="1">
      <c r="O5936" s="387"/>
      <c r="P5936" s="387"/>
      <c r="Q5936" s="387"/>
    </row>
    <row r="5937" spans="15:17" ht="20.100000000000001" customHeight="1">
      <c r="O5937" s="387"/>
      <c r="P5937" s="387"/>
      <c r="Q5937" s="387"/>
    </row>
    <row r="5938" spans="15:17" ht="20.100000000000001" customHeight="1">
      <c r="O5938" s="387"/>
      <c r="P5938" s="387"/>
      <c r="Q5938" s="387"/>
    </row>
    <row r="5939" spans="15:17" ht="20.100000000000001" customHeight="1">
      <c r="O5939" s="387"/>
      <c r="P5939" s="387"/>
      <c r="Q5939" s="387"/>
    </row>
    <row r="5940" spans="15:17" ht="20.100000000000001" customHeight="1">
      <c r="O5940" s="387"/>
      <c r="P5940" s="387"/>
      <c r="Q5940" s="387"/>
    </row>
    <row r="5941" spans="15:17" ht="20.100000000000001" customHeight="1">
      <c r="O5941" s="387"/>
      <c r="P5941" s="387"/>
      <c r="Q5941" s="387"/>
    </row>
    <row r="5942" spans="15:17" ht="20.100000000000001" customHeight="1">
      <c r="O5942" s="387"/>
      <c r="P5942" s="387"/>
      <c r="Q5942" s="387"/>
    </row>
    <row r="5943" spans="15:17" ht="20.100000000000001" customHeight="1">
      <c r="O5943" s="387"/>
      <c r="P5943" s="387"/>
      <c r="Q5943" s="387"/>
    </row>
    <row r="5944" spans="15:17" ht="20.100000000000001" customHeight="1">
      <c r="O5944" s="387"/>
      <c r="P5944" s="387"/>
      <c r="Q5944" s="387"/>
    </row>
    <row r="5945" spans="15:17" ht="20.100000000000001" customHeight="1">
      <c r="O5945" s="387"/>
      <c r="P5945" s="387"/>
      <c r="Q5945" s="387"/>
    </row>
    <row r="5946" spans="15:17" ht="20.100000000000001" customHeight="1">
      <c r="O5946" s="387"/>
      <c r="P5946" s="387"/>
      <c r="Q5946" s="387"/>
    </row>
    <row r="5947" spans="15:17" ht="20.100000000000001" customHeight="1">
      <c r="O5947" s="387"/>
      <c r="P5947" s="387"/>
      <c r="Q5947" s="387"/>
    </row>
    <row r="5948" spans="15:17" ht="20.100000000000001" customHeight="1">
      <c r="O5948" s="387"/>
      <c r="P5948" s="387"/>
      <c r="Q5948" s="387"/>
    </row>
    <row r="5949" spans="15:17" ht="20.100000000000001" customHeight="1">
      <c r="O5949" s="387"/>
      <c r="P5949" s="387"/>
      <c r="Q5949" s="387"/>
    </row>
    <row r="5950" spans="15:17" ht="20.100000000000001" customHeight="1">
      <c r="O5950" s="387"/>
      <c r="P5950" s="387"/>
      <c r="Q5950" s="387"/>
    </row>
    <row r="5951" spans="15:17" ht="20.100000000000001" customHeight="1">
      <c r="O5951" s="387"/>
      <c r="P5951" s="387"/>
      <c r="Q5951" s="387"/>
    </row>
    <row r="5952" spans="15:17" ht="20.100000000000001" customHeight="1">
      <c r="O5952" s="387"/>
      <c r="P5952" s="387"/>
      <c r="Q5952" s="387"/>
    </row>
    <row r="5953" spans="15:17" ht="20.100000000000001" customHeight="1">
      <c r="O5953" s="387"/>
      <c r="P5953" s="387"/>
      <c r="Q5953" s="387"/>
    </row>
    <row r="5954" spans="15:17" ht="20.100000000000001" customHeight="1">
      <c r="O5954" s="387"/>
      <c r="P5954" s="387"/>
      <c r="Q5954" s="387"/>
    </row>
    <row r="5955" spans="15:17" ht="20.100000000000001" customHeight="1">
      <c r="O5955" s="387"/>
      <c r="P5955" s="387"/>
      <c r="Q5955" s="387"/>
    </row>
    <row r="5956" spans="15:17" ht="20.100000000000001" customHeight="1">
      <c r="O5956" s="387"/>
      <c r="P5956" s="387"/>
      <c r="Q5956" s="387"/>
    </row>
    <row r="5957" spans="15:17" ht="20.100000000000001" customHeight="1">
      <c r="O5957" s="387"/>
      <c r="P5957" s="387"/>
      <c r="Q5957" s="387"/>
    </row>
    <row r="5958" spans="15:17" ht="20.100000000000001" customHeight="1">
      <c r="O5958" s="387"/>
      <c r="P5958" s="387"/>
      <c r="Q5958" s="387"/>
    </row>
    <row r="5959" spans="15:17" ht="20.100000000000001" customHeight="1">
      <c r="O5959" s="387"/>
      <c r="P5959" s="387"/>
      <c r="Q5959" s="387"/>
    </row>
    <row r="5960" spans="15:17" ht="20.100000000000001" customHeight="1">
      <c r="O5960" s="387"/>
      <c r="P5960" s="387"/>
      <c r="Q5960" s="387"/>
    </row>
    <row r="5961" spans="15:17" ht="20.100000000000001" customHeight="1">
      <c r="O5961" s="387"/>
      <c r="P5961" s="387"/>
      <c r="Q5961" s="387"/>
    </row>
    <row r="5962" spans="15:17" ht="20.100000000000001" customHeight="1">
      <c r="O5962" s="387"/>
      <c r="P5962" s="387"/>
      <c r="Q5962" s="387"/>
    </row>
    <row r="5963" spans="15:17" ht="20.100000000000001" customHeight="1">
      <c r="O5963" s="387"/>
      <c r="P5963" s="387"/>
      <c r="Q5963" s="387"/>
    </row>
    <row r="5964" spans="15:17" ht="20.100000000000001" customHeight="1">
      <c r="O5964" s="387"/>
      <c r="P5964" s="387"/>
      <c r="Q5964" s="387"/>
    </row>
    <row r="5965" spans="15:17" ht="20.100000000000001" customHeight="1">
      <c r="O5965" s="387"/>
      <c r="P5965" s="387"/>
      <c r="Q5965" s="387"/>
    </row>
    <row r="5966" spans="15:17" ht="20.100000000000001" customHeight="1">
      <c r="O5966" s="387"/>
      <c r="P5966" s="387"/>
      <c r="Q5966" s="387"/>
    </row>
    <row r="5967" spans="15:17" ht="20.100000000000001" customHeight="1">
      <c r="O5967" s="387"/>
      <c r="P5967" s="387"/>
      <c r="Q5967" s="387"/>
    </row>
    <row r="5968" spans="15:17" ht="20.100000000000001" customHeight="1">
      <c r="O5968" s="387"/>
      <c r="P5968" s="387"/>
      <c r="Q5968" s="387"/>
    </row>
    <row r="5969" spans="15:17" ht="20.100000000000001" customHeight="1">
      <c r="O5969" s="387"/>
      <c r="P5969" s="387"/>
      <c r="Q5969" s="387"/>
    </row>
    <row r="5970" spans="15:17" ht="20.100000000000001" customHeight="1">
      <c r="O5970" s="387"/>
      <c r="P5970" s="387"/>
      <c r="Q5970" s="387"/>
    </row>
    <row r="5971" spans="15:17" ht="20.100000000000001" customHeight="1">
      <c r="O5971" s="387"/>
      <c r="P5971" s="387"/>
      <c r="Q5971" s="387"/>
    </row>
    <row r="5972" spans="15:17" ht="20.100000000000001" customHeight="1">
      <c r="O5972" s="387"/>
      <c r="P5972" s="387"/>
      <c r="Q5972" s="387"/>
    </row>
    <row r="5973" spans="15:17" ht="20.100000000000001" customHeight="1">
      <c r="O5973" s="387"/>
      <c r="P5973" s="387"/>
      <c r="Q5973" s="387"/>
    </row>
    <row r="5974" spans="15:17" ht="20.100000000000001" customHeight="1">
      <c r="O5974" s="387"/>
      <c r="P5974" s="387"/>
      <c r="Q5974" s="387"/>
    </row>
    <row r="5975" spans="15:17" ht="20.100000000000001" customHeight="1">
      <c r="O5975" s="387"/>
      <c r="P5975" s="387"/>
      <c r="Q5975" s="387"/>
    </row>
    <row r="5976" spans="15:17" ht="20.100000000000001" customHeight="1">
      <c r="O5976" s="387"/>
      <c r="P5976" s="387"/>
      <c r="Q5976" s="387"/>
    </row>
    <row r="5977" spans="15:17" ht="20.100000000000001" customHeight="1">
      <c r="O5977" s="387"/>
      <c r="P5977" s="387"/>
      <c r="Q5977" s="387"/>
    </row>
    <row r="5978" spans="15:17" ht="20.100000000000001" customHeight="1">
      <c r="O5978" s="387"/>
      <c r="P5978" s="387"/>
      <c r="Q5978" s="387"/>
    </row>
    <row r="5979" spans="15:17" ht="20.100000000000001" customHeight="1">
      <c r="O5979" s="387"/>
      <c r="P5979" s="387"/>
      <c r="Q5979" s="387"/>
    </row>
    <row r="5980" spans="15:17" ht="20.100000000000001" customHeight="1">
      <c r="O5980" s="387"/>
      <c r="P5980" s="387"/>
      <c r="Q5980" s="387"/>
    </row>
    <row r="5981" spans="15:17" ht="20.100000000000001" customHeight="1">
      <c r="O5981" s="387"/>
      <c r="P5981" s="387"/>
      <c r="Q5981" s="387"/>
    </row>
    <row r="5982" spans="15:17" ht="20.100000000000001" customHeight="1">
      <c r="O5982" s="387"/>
      <c r="P5982" s="387"/>
      <c r="Q5982" s="387"/>
    </row>
    <row r="5983" spans="15:17" ht="20.100000000000001" customHeight="1">
      <c r="O5983" s="387"/>
      <c r="P5983" s="387"/>
      <c r="Q5983" s="387"/>
    </row>
    <row r="5984" spans="15:17" ht="20.100000000000001" customHeight="1">
      <c r="O5984" s="387"/>
      <c r="P5984" s="387"/>
      <c r="Q5984" s="387"/>
    </row>
    <row r="5985" spans="15:17" ht="20.100000000000001" customHeight="1">
      <c r="O5985" s="387"/>
      <c r="P5985" s="387"/>
      <c r="Q5985" s="387"/>
    </row>
    <row r="5986" spans="15:17" ht="20.100000000000001" customHeight="1">
      <c r="O5986" s="387"/>
      <c r="P5986" s="387"/>
      <c r="Q5986" s="387"/>
    </row>
    <row r="5987" spans="15:17" ht="20.100000000000001" customHeight="1">
      <c r="O5987" s="387"/>
      <c r="P5987" s="387"/>
      <c r="Q5987" s="387"/>
    </row>
    <row r="5988" spans="15:17" ht="20.100000000000001" customHeight="1">
      <c r="O5988" s="387"/>
      <c r="P5988" s="387"/>
      <c r="Q5988" s="387"/>
    </row>
    <row r="5989" spans="15:17" ht="20.100000000000001" customHeight="1">
      <c r="O5989" s="387"/>
      <c r="P5989" s="387"/>
      <c r="Q5989" s="387"/>
    </row>
    <row r="5990" spans="15:17" ht="20.100000000000001" customHeight="1">
      <c r="O5990" s="387"/>
      <c r="P5990" s="387"/>
      <c r="Q5990" s="387"/>
    </row>
    <row r="5991" spans="15:17" ht="20.100000000000001" customHeight="1">
      <c r="O5991" s="387"/>
      <c r="P5991" s="387"/>
      <c r="Q5991" s="387"/>
    </row>
    <row r="5992" spans="15:17" ht="20.100000000000001" customHeight="1">
      <c r="O5992" s="387"/>
      <c r="P5992" s="387"/>
      <c r="Q5992" s="387"/>
    </row>
    <row r="5993" spans="15:17" ht="20.100000000000001" customHeight="1">
      <c r="O5993" s="387"/>
      <c r="P5993" s="387"/>
      <c r="Q5993" s="387"/>
    </row>
    <row r="5994" spans="15:17" ht="20.100000000000001" customHeight="1">
      <c r="O5994" s="387"/>
      <c r="P5994" s="387"/>
      <c r="Q5994" s="387"/>
    </row>
    <row r="5995" spans="15:17" ht="20.100000000000001" customHeight="1">
      <c r="O5995" s="387"/>
      <c r="P5995" s="387"/>
      <c r="Q5995" s="387"/>
    </row>
    <row r="5996" spans="15:17" ht="20.100000000000001" customHeight="1">
      <c r="O5996" s="387"/>
      <c r="P5996" s="387"/>
      <c r="Q5996" s="387"/>
    </row>
    <row r="5997" spans="15:17" ht="20.100000000000001" customHeight="1">
      <c r="O5997" s="387"/>
      <c r="P5997" s="387"/>
      <c r="Q5997" s="387"/>
    </row>
    <row r="5998" spans="15:17" ht="20.100000000000001" customHeight="1">
      <c r="O5998" s="387"/>
      <c r="P5998" s="387"/>
      <c r="Q5998" s="387"/>
    </row>
    <row r="5999" spans="15:17" ht="20.100000000000001" customHeight="1">
      <c r="O5999" s="387"/>
      <c r="P5999" s="387"/>
      <c r="Q5999" s="387"/>
    </row>
    <row r="6000" spans="15:17" ht="20.100000000000001" customHeight="1">
      <c r="O6000" s="387"/>
      <c r="P6000" s="387"/>
      <c r="Q6000" s="387"/>
    </row>
    <row r="6001" spans="15:17" ht="20.100000000000001" customHeight="1">
      <c r="O6001" s="387"/>
      <c r="P6001" s="387"/>
      <c r="Q6001" s="387"/>
    </row>
    <row r="6002" spans="15:17" ht="20.100000000000001" customHeight="1">
      <c r="O6002" s="387"/>
      <c r="P6002" s="387"/>
      <c r="Q6002" s="387"/>
    </row>
    <row r="6003" spans="15:17" ht="20.100000000000001" customHeight="1">
      <c r="O6003" s="387"/>
      <c r="P6003" s="387"/>
      <c r="Q6003" s="387"/>
    </row>
    <row r="6004" spans="15:17" ht="20.100000000000001" customHeight="1">
      <c r="O6004" s="387"/>
      <c r="P6004" s="387"/>
      <c r="Q6004" s="387"/>
    </row>
    <row r="6005" spans="15:17" ht="20.100000000000001" customHeight="1">
      <c r="O6005" s="387"/>
      <c r="P6005" s="387"/>
      <c r="Q6005" s="387"/>
    </row>
    <row r="6006" spans="15:17" ht="20.100000000000001" customHeight="1">
      <c r="O6006" s="387"/>
      <c r="P6006" s="387"/>
      <c r="Q6006" s="387"/>
    </row>
    <row r="6007" spans="15:17" ht="20.100000000000001" customHeight="1">
      <c r="O6007" s="387"/>
      <c r="P6007" s="387"/>
      <c r="Q6007" s="387"/>
    </row>
    <row r="6008" spans="15:17" ht="20.100000000000001" customHeight="1">
      <c r="O6008" s="387"/>
      <c r="P6008" s="387"/>
      <c r="Q6008" s="387"/>
    </row>
    <row r="6009" spans="15:17" ht="20.100000000000001" customHeight="1">
      <c r="O6009" s="387"/>
      <c r="P6009" s="387"/>
      <c r="Q6009" s="387"/>
    </row>
    <row r="6010" spans="15:17" ht="20.100000000000001" customHeight="1">
      <c r="O6010" s="387"/>
      <c r="P6010" s="387"/>
      <c r="Q6010" s="387"/>
    </row>
    <row r="6011" spans="15:17" ht="20.100000000000001" customHeight="1">
      <c r="O6011" s="387"/>
      <c r="P6011" s="387"/>
      <c r="Q6011" s="387"/>
    </row>
    <row r="6012" spans="15:17" ht="20.100000000000001" customHeight="1">
      <c r="O6012" s="387"/>
      <c r="P6012" s="387"/>
      <c r="Q6012" s="387"/>
    </row>
    <row r="6013" spans="15:17" ht="20.100000000000001" customHeight="1">
      <c r="O6013" s="387"/>
      <c r="P6013" s="387"/>
      <c r="Q6013" s="387"/>
    </row>
    <row r="6014" spans="15:17" ht="20.100000000000001" customHeight="1">
      <c r="O6014" s="387"/>
      <c r="P6014" s="387"/>
      <c r="Q6014" s="387"/>
    </row>
    <row r="6015" spans="15:17" ht="20.100000000000001" customHeight="1">
      <c r="O6015" s="387"/>
      <c r="P6015" s="387"/>
      <c r="Q6015" s="387"/>
    </row>
    <row r="6016" spans="15:17" ht="20.100000000000001" customHeight="1">
      <c r="O6016" s="387"/>
      <c r="P6016" s="387"/>
      <c r="Q6016" s="387"/>
    </row>
    <row r="6017" spans="15:17" ht="20.100000000000001" customHeight="1">
      <c r="O6017" s="387"/>
      <c r="P6017" s="387"/>
      <c r="Q6017" s="387"/>
    </row>
    <row r="6018" spans="15:17" ht="20.100000000000001" customHeight="1">
      <c r="O6018" s="387"/>
      <c r="P6018" s="387"/>
      <c r="Q6018" s="387"/>
    </row>
    <row r="6019" spans="15:17" ht="20.100000000000001" customHeight="1">
      <c r="O6019" s="387"/>
      <c r="P6019" s="387"/>
      <c r="Q6019" s="387"/>
    </row>
    <row r="6020" spans="15:17" ht="20.100000000000001" customHeight="1">
      <c r="O6020" s="387"/>
      <c r="P6020" s="387"/>
      <c r="Q6020" s="387"/>
    </row>
    <row r="6021" spans="15:17" ht="20.100000000000001" customHeight="1">
      <c r="O6021" s="387"/>
      <c r="P6021" s="387"/>
      <c r="Q6021" s="387"/>
    </row>
    <row r="6022" spans="15:17" ht="20.100000000000001" customHeight="1">
      <c r="O6022" s="387"/>
      <c r="P6022" s="387"/>
      <c r="Q6022" s="387"/>
    </row>
    <row r="6023" spans="15:17" ht="20.100000000000001" customHeight="1">
      <c r="O6023" s="387"/>
      <c r="P6023" s="387"/>
      <c r="Q6023" s="387"/>
    </row>
    <row r="6024" spans="15:17" ht="20.100000000000001" customHeight="1">
      <c r="O6024" s="387"/>
      <c r="P6024" s="387"/>
      <c r="Q6024" s="387"/>
    </row>
    <row r="6025" spans="15:17" ht="20.100000000000001" customHeight="1">
      <c r="O6025" s="387"/>
      <c r="P6025" s="387"/>
      <c r="Q6025" s="387"/>
    </row>
    <row r="6026" spans="15:17" ht="20.100000000000001" customHeight="1">
      <c r="O6026" s="387"/>
      <c r="P6026" s="387"/>
      <c r="Q6026" s="387"/>
    </row>
    <row r="6027" spans="15:17" ht="20.100000000000001" customHeight="1">
      <c r="O6027" s="387"/>
      <c r="P6027" s="387"/>
      <c r="Q6027" s="387"/>
    </row>
    <row r="6028" spans="15:17" ht="20.100000000000001" customHeight="1">
      <c r="O6028" s="387"/>
      <c r="P6028" s="387"/>
      <c r="Q6028" s="387"/>
    </row>
    <row r="6029" spans="15:17" ht="20.100000000000001" customHeight="1">
      <c r="O6029" s="387"/>
      <c r="P6029" s="387"/>
      <c r="Q6029" s="387"/>
    </row>
    <row r="6030" spans="15:17" ht="20.100000000000001" customHeight="1">
      <c r="O6030" s="387"/>
      <c r="P6030" s="387"/>
      <c r="Q6030" s="387"/>
    </row>
    <row r="6031" spans="15:17" ht="20.100000000000001" customHeight="1">
      <c r="O6031" s="387"/>
      <c r="P6031" s="387"/>
      <c r="Q6031" s="387"/>
    </row>
    <row r="6032" spans="15:17" ht="20.100000000000001" customHeight="1">
      <c r="O6032" s="387"/>
      <c r="P6032" s="387"/>
      <c r="Q6032" s="387"/>
    </row>
    <row r="6033" spans="15:17" ht="20.100000000000001" customHeight="1">
      <c r="O6033" s="387"/>
      <c r="P6033" s="387"/>
      <c r="Q6033" s="387"/>
    </row>
    <row r="6034" spans="15:17" ht="20.100000000000001" customHeight="1">
      <c r="O6034" s="387"/>
      <c r="P6034" s="387"/>
      <c r="Q6034" s="387"/>
    </row>
    <row r="6035" spans="15:17" ht="20.100000000000001" customHeight="1">
      <c r="O6035" s="387"/>
      <c r="P6035" s="387"/>
      <c r="Q6035" s="387"/>
    </row>
    <row r="6036" spans="15:17" ht="20.100000000000001" customHeight="1">
      <c r="O6036" s="387"/>
      <c r="P6036" s="387"/>
      <c r="Q6036" s="387"/>
    </row>
    <row r="6037" spans="15:17" ht="20.100000000000001" customHeight="1">
      <c r="O6037" s="387"/>
      <c r="P6037" s="387"/>
      <c r="Q6037" s="387"/>
    </row>
    <row r="6038" spans="15:17" ht="20.100000000000001" customHeight="1">
      <c r="O6038" s="387"/>
      <c r="P6038" s="387"/>
      <c r="Q6038" s="387"/>
    </row>
    <row r="6039" spans="15:17" ht="20.100000000000001" customHeight="1">
      <c r="O6039" s="387"/>
      <c r="P6039" s="387"/>
      <c r="Q6039" s="387"/>
    </row>
    <row r="6040" spans="15:17" ht="20.100000000000001" customHeight="1">
      <c r="O6040" s="387"/>
      <c r="P6040" s="387"/>
      <c r="Q6040" s="387"/>
    </row>
    <row r="6041" spans="15:17" ht="20.100000000000001" customHeight="1">
      <c r="O6041" s="387"/>
      <c r="P6041" s="387"/>
      <c r="Q6041" s="387"/>
    </row>
    <row r="6042" spans="15:17" ht="20.100000000000001" customHeight="1">
      <c r="O6042" s="387"/>
      <c r="P6042" s="387"/>
      <c r="Q6042" s="387"/>
    </row>
    <row r="6043" spans="15:17" ht="20.100000000000001" customHeight="1">
      <c r="O6043" s="387"/>
      <c r="P6043" s="387"/>
      <c r="Q6043" s="387"/>
    </row>
    <row r="6044" spans="15:17" ht="20.100000000000001" customHeight="1">
      <c r="O6044" s="387"/>
      <c r="P6044" s="387"/>
      <c r="Q6044" s="387"/>
    </row>
    <row r="6045" spans="15:17" ht="20.100000000000001" customHeight="1">
      <c r="O6045" s="387"/>
      <c r="P6045" s="387"/>
      <c r="Q6045" s="387"/>
    </row>
    <row r="6046" spans="15:17" ht="20.100000000000001" customHeight="1">
      <c r="O6046" s="387"/>
      <c r="P6046" s="387"/>
      <c r="Q6046" s="387"/>
    </row>
    <row r="6047" spans="15:17" ht="20.100000000000001" customHeight="1">
      <c r="O6047" s="387"/>
      <c r="P6047" s="387"/>
      <c r="Q6047" s="387"/>
    </row>
    <row r="6048" spans="15:17" ht="20.100000000000001" customHeight="1">
      <c r="O6048" s="387"/>
      <c r="P6048" s="387"/>
      <c r="Q6048" s="387"/>
    </row>
    <row r="6049" spans="15:17" ht="20.100000000000001" customHeight="1">
      <c r="O6049" s="387"/>
      <c r="P6049" s="387"/>
      <c r="Q6049" s="387"/>
    </row>
    <row r="6050" spans="15:17" ht="20.100000000000001" customHeight="1">
      <c r="O6050" s="387"/>
      <c r="P6050" s="387"/>
      <c r="Q6050" s="387"/>
    </row>
    <row r="6051" spans="15:17" ht="20.100000000000001" customHeight="1">
      <c r="O6051" s="387"/>
      <c r="P6051" s="387"/>
      <c r="Q6051" s="387"/>
    </row>
    <row r="6052" spans="15:17" ht="20.100000000000001" customHeight="1">
      <c r="O6052" s="387"/>
      <c r="P6052" s="387"/>
      <c r="Q6052" s="387"/>
    </row>
    <row r="6053" spans="15:17" ht="20.100000000000001" customHeight="1">
      <c r="O6053" s="387"/>
      <c r="P6053" s="387"/>
      <c r="Q6053" s="387"/>
    </row>
    <row r="6054" spans="15:17" ht="20.100000000000001" customHeight="1">
      <c r="O6054" s="387"/>
      <c r="P6054" s="387"/>
      <c r="Q6054" s="387"/>
    </row>
    <row r="6055" spans="15:17" ht="20.100000000000001" customHeight="1">
      <c r="O6055" s="387"/>
      <c r="P6055" s="387"/>
      <c r="Q6055" s="387"/>
    </row>
    <row r="6056" spans="15:17" ht="20.100000000000001" customHeight="1">
      <c r="O6056" s="387"/>
      <c r="P6056" s="387"/>
      <c r="Q6056" s="387"/>
    </row>
    <row r="6057" spans="15:17" ht="20.100000000000001" customHeight="1">
      <c r="O6057" s="387"/>
      <c r="P6057" s="387"/>
      <c r="Q6057" s="387"/>
    </row>
    <row r="6058" spans="15:17" ht="20.100000000000001" customHeight="1">
      <c r="O6058" s="387"/>
      <c r="P6058" s="387"/>
      <c r="Q6058" s="387"/>
    </row>
    <row r="6059" spans="15:17" ht="20.100000000000001" customHeight="1">
      <c r="O6059" s="387"/>
      <c r="P6059" s="387"/>
      <c r="Q6059" s="387"/>
    </row>
    <row r="6060" spans="15:17" ht="20.100000000000001" customHeight="1">
      <c r="O6060" s="387"/>
      <c r="P6060" s="387"/>
      <c r="Q6060" s="387"/>
    </row>
    <row r="6061" spans="15:17" ht="20.100000000000001" customHeight="1">
      <c r="O6061" s="387"/>
      <c r="P6061" s="387"/>
      <c r="Q6061" s="387"/>
    </row>
    <row r="6062" spans="15:17" ht="20.100000000000001" customHeight="1">
      <c r="O6062" s="387"/>
      <c r="P6062" s="387"/>
      <c r="Q6062" s="387"/>
    </row>
    <row r="6063" spans="15:17" ht="20.100000000000001" customHeight="1">
      <c r="O6063" s="387"/>
      <c r="P6063" s="387"/>
      <c r="Q6063" s="387"/>
    </row>
    <row r="6064" spans="15:17" ht="20.100000000000001" customHeight="1">
      <c r="O6064" s="387"/>
      <c r="P6064" s="387"/>
      <c r="Q6064" s="387"/>
    </row>
    <row r="6065" spans="15:17" ht="20.100000000000001" customHeight="1">
      <c r="O6065" s="387"/>
      <c r="P6065" s="387"/>
      <c r="Q6065" s="387"/>
    </row>
    <row r="6066" spans="15:17" ht="20.100000000000001" customHeight="1">
      <c r="O6066" s="387"/>
      <c r="P6066" s="387"/>
      <c r="Q6066" s="387"/>
    </row>
    <row r="6067" spans="15:17" ht="20.100000000000001" customHeight="1">
      <c r="O6067" s="387"/>
      <c r="P6067" s="387"/>
      <c r="Q6067" s="387"/>
    </row>
    <row r="6068" spans="15:17" ht="20.100000000000001" customHeight="1">
      <c r="O6068" s="387"/>
      <c r="P6068" s="387"/>
      <c r="Q6068" s="387"/>
    </row>
    <row r="6069" spans="15:17" ht="20.100000000000001" customHeight="1">
      <c r="O6069" s="387"/>
      <c r="P6069" s="387"/>
      <c r="Q6069" s="387"/>
    </row>
    <row r="6070" spans="15:17" ht="20.100000000000001" customHeight="1">
      <c r="O6070" s="387"/>
      <c r="P6070" s="387"/>
      <c r="Q6070" s="387"/>
    </row>
    <row r="6071" spans="15:17" ht="20.100000000000001" customHeight="1">
      <c r="O6071" s="387"/>
      <c r="P6071" s="387"/>
      <c r="Q6071" s="387"/>
    </row>
    <row r="6072" spans="15:17" ht="20.100000000000001" customHeight="1">
      <c r="O6072" s="387"/>
      <c r="P6072" s="387"/>
      <c r="Q6072" s="387"/>
    </row>
    <row r="6073" spans="15:17" ht="20.100000000000001" customHeight="1">
      <c r="O6073" s="387"/>
      <c r="P6073" s="387"/>
      <c r="Q6073" s="387"/>
    </row>
    <row r="6074" spans="15:17" ht="20.100000000000001" customHeight="1">
      <c r="O6074" s="387"/>
      <c r="P6074" s="387"/>
      <c r="Q6074" s="387"/>
    </row>
    <row r="6075" spans="15:17" ht="20.100000000000001" customHeight="1">
      <c r="O6075" s="387"/>
      <c r="P6075" s="387"/>
      <c r="Q6075" s="387"/>
    </row>
    <row r="6076" spans="15:17" ht="20.100000000000001" customHeight="1">
      <c r="O6076" s="387"/>
      <c r="P6076" s="387"/>
      <c r="Q6076" s="387"/>
    </row>
    <row r="6077" spans="15:17" ht="20.100000000000001" customHeight="1">
      <c r="O6077" s="387"/>
      <c r="P6077" s="387"/>
      <c r="Q6077" s="387"/>
    </row>
    <row r="6078" spans="15:17" ht="20.100000000000001" customHeight="1">
      <c r="O6078" s="387"/>
      <c r="P6078" s="387"/>
      <c r="Q6078" s="387"/>
    </row>
    <row r="6079" spans="15:17" ht="20.100000000000001" customHeight="1">
      <c r="O6079" s="387"/>
      <c r="P6079" s="387"/>
      <c r="Q6079" s="387"/>
    </row>
    <row r="6080" spans="15:17" ht="20.100000000000001" customHeight="1">
      <c r="O6080" s="387"/>
      <c r="P6080" s="387"/>
      <c r="Q6080" s="387"/>
    </row>
    <row r="6081" spans="15:17" ht="20.100000000000001" customHeight="1">
      <c r="O6081" s="387"/>
      <c r="P6081" s="387"/>
      <c r="Q6081" s="387"/>
    </row>
    <row r="6082" spans="15:17" ht="20.100000000000001" customHeight="1">
      <c r="O6082" s="387"/>
      <c r="P6082" s="387"/>
      <c r="Q6082" s="387"/>
    </row>
    <row r="6083" spans="15:17" ht="20.100000000000001" customHeight="1">
      <c r="O6083" s="387"/>
      <c r="P6083" s="387"/>
      <c r="Q6083" s="387"/>
    </row>
    <row r="6084" spans="15:17" ht="20.100000000000001" customHeight="1">
      <c r="O6084" s="387"/>
      <c r="P6084" s="387"/>
      <c r="Q6084" s="387"/>
    </row>
    <row r="6085" spans="15:17" ht="20.100000000000001" customHeight="1">
      <c r="O6085" s="387"/>
      <c r="P6085" s="387"/>
      <c r="Q6085" s="387"/>
    </row>
    <row r="6086" spans="15:17" ht="20.100000000000001" customHeight="1">
      <c r="O6086" s="387"/>
      <c r="P6086" s="387"/>
      <c r="Q6086" s="387"/>
    </row>
    <row r="6087" spans="15:17" ht="20.100000000000001" customHeight="1">
      <c r="O6087" s="387"/>
      <c r="P6087" s="387"/>
      <c r="Q6087" s="387"/>
    </row>
    <row r="6088" spans="15:17" ht="20.100000000000001" customHeight="1">
      <c r="O6088" s="387"/>
      <c r="P6088" s="387"/>
      <c r="Q6088" s="387"/>
    </row>
    <row r="6089" spans="15:17" ht="20.100000000000001" customHeight="1">
      <c r="O6089" s="387"/>
      <c r="P6089" s="387"/>
      <c r="Q6089" s="387"/>
    </row>
    <row r="6090" spans="15:17" ht="20.100000000000001" customHeight="1">
      <c r="O6090" s="387"/>
      <c r="P6090" s="387"/>
      <c r="Q6090" s="387"/>
    </row>
    <row r="6091" spans="15:17" ht="20.100000000000001" customHeight="1">
      <c r="O6091" s="387"/>
      <c r="P6091" s="387"/>
      <c r="Q6091" s="387"/>
    </row>
    <row r="6092" spans="15:17" ht="20.100000000000001" customHeight="1">
      <c r="O6092" s="387"/>
      <c r="P6092" s="387"/>
      <c r="Q6092" s="387"/>
    </row>
    <row r="6093" spans="15:17" ht="20.100000000000001" customHeight="1">
      <c r="O6093" s="387"/>
      <c r="P6093" s="387"/>
      <c r="Q6093" s="387"/>
    </row>
    <row r="6094" spans="15:17" ht="20.100000000000001" customHeight="1">
      <c r="O6094" s="387"/>
      <c r="P6094" s="387"/>
      <c r="Q6094" s="387"/>
    </row>
    <row r="6095" spans="15:17" ht="20.100000000000001" customHeight="1">
      <c r="O6095" s="387"/>
      <c r="P6095" s="387"/>
      <c r="Q6095" s="387"/>
    </row>
    <row r="6096" spans="15:17" ht="20.100000000000001" customHeight="1">
      <c r="O6096" s="387"/>
      <c r="P6096" s="387"/>
      <c r="Q6096" s="387"/>
    </row>
    <row r="6097" spans="15:17" ht="20.100000000000001" customHeight="1">
      <c r="O6097" s="387"/>
      <c r="P6097" s="387"/>
      <c r="Q6097" s="387"/>
    </row>
    <row r="6098" spans="15:17" ht="20.100000000000001" customHeight="1">
      <c r="O6098" s="387"/>
      <c r="P6098" s="387"/>
      <c r="Q6098" s="387"/>
    </row>
    <row r="6099" spans="15:17" ht="20.100000000000001" customHeight="1">
      <c r="O6099" s="387"/>
      <c r="P6099" s="387"/>
      <c r="Q6099" s="387"/>
    </row>
    <row r="6100" spans="15:17" ht="20.100000000000001" customHeight="1">
      <c r="O6100" s="387"/>
      <c r="P6100" s="387"/>
      <c r="Q6100" s="387"/>
    </row>
    <row r="6101" spans="15:17" ht="20.100000000000001" customHeight="1">
      <c r="O6101" s="387"/>
      <c r="P6101" s="387"/>
      <c r="Q6101" s="387"/>
    </row>
    <row r="6102" spans="15:17" ht="20.100000000000001" customHeight="1">
      <c r="O6102" s="387"/>
      <c r="P6102" s="387"/>
      <c r="Q6102" s="387"/>
    </row>
    <row r="6103" spans="15:17" ht="20.100000000000001" customHeight="1">
      <c r="O6103" s="387"/>
      <c r="P6103" s="387"/>
      <c r="Q6103" s="387"/>
    </row>
    <row r="6104" spans="15:17" ht="20.100000000000001" customHeight="1">
      <c r="O6104" s="387"/>
      <c r="P6104" s="387"/>
      <c r="Q6104" s="387"/>
    </row>
    <row r="6105" spans="15:17" ht="20.100000000000001" customHeight="1">
      <c r="O6105" s="387"/>
      <c r="P6105" s="387"/>
      <c r="Q6105" s="387"/>
    </row>
    <row r="6106" spans="15:17" ht="20.100000000000001" customHeight="1">
      <c r="O6106" s="387"/>
      <c r="P6106" s="387"/>
      <c r="Q6106" s="387"/>
    </row>
    <row r="6107" spans="15:17" ht="20.100000000000001" customHeight="1">
      <c r="O6107" s="387"/>
      <c r="P6107" s="387"/>
      <c r="Q6107" s="387"/>
    </row>
    <row r="6108" spans="15:17" ht="20.100000000000001" customHeight="1">
      <c r="O6108" s="387"/>
      <c r="P6108" s="387"/>
      <c r="Q6108" s="387"/>
    </row>
    <row r="6109" spans="15:17" ht="20.100000000000001" customHeight="1">
      <c r="O6109" s="387"/>
      <c r="P6109" s="387"/>
      <c r="Q6109" s="387"/>
    </row>
    <row r="6110" spans="15:17" ht="20.100000000000001" customHeight="1">
      <c r="O6110" s="387"/>
      <c r="P6110" s="387"/>
      <c r="Q6110" s="387"/>
    </row>
    <row r="6111" spans="15:17" ht="20.100000000000001" customHeight="1">
      <c r="O6111" s="387"/>
      <c r="P6111" s="387"/>
      <c r="Q6111" s="387"/>
    </row>
    <row r="6112" spans="15:17" ht="20.100000000000001" customHeight="1">
      <c r="O6112" s="387"/>
      <c r="P6112" s="387"/>
      <c r="Q6112" s="387"/>
    </row>
    <row r="6113" spans="15:17" ht="20.100000000000001" customHeight="1">
      <c r="O6113" s="387"/>
      <c r="P6113" s="387"/>
      <c r="Q6113" s="387"/>
    </row>
    <row r="6114" spans="15:17" ht="20.100000000000001" customHeight="1">
      <c r="O6114" s="387"/>
      <c r="P6114" s="387"/>
      <c r="Q6114" s="387"/>
    </row>
    <row r="6115" spans="15:17" ht="20.100000000000001" customHeight="1">
      <c r="O6115" s="387"/>
      <c r="P6115" s="387"/>
      <c r="Q6115" s="387"/>
    </row>
    <row r="6116" spans="15:17" ht="20.100000000000001" customHeight="1">
      <c r="O6116" s="387"/>
      <c r="P6116" s="387"/>
      <c r="Q6116" s="387"/>
    </row>
    <row r="6117" spans="15:17" ht="20.100000000000001" customHeight="1">
      <c r="O6117" s="387"/>
      <c r="P6117" s="387"/>
      <c r="Q6117" s="387"/>
    </row>
    <row r="6118" spans="15:17" ht="20.100000000000001" customHeight="1">
      <c r="O6118" s="387"/>
      <c r="P6118" s="387"/>
      <c r="Q6118" s="387"/>
    </row>
    <row r="6119" spans="15:17" ht="20.100000000000001" customHeight="1">
      <c r="O6119" s="387"/>
      <c r="P6119" s="387"/>
      <c r="Q6119" s="387"/>
    </row>
    <row r="6120" spans="15:17" ht="20.100000000000001" customHeight="1">
      <c r="O6120" s="387"/>
      <c r="P6120" s="387"/>
      <c r="Q6120" s="387"/>
    </row>
    <row r="6121" spans="15:17" ht="20.100000000000001" customHeight="1">
      <c r="O6121" s="387"/>
      <c r="P6121" s="387"/>
      <c r="Q6121" s="387"/>
    </row>
    <row r="6122" spans="15:17" ht="20.100000000000001" customHeight="1">
      <c r="O6122" s="387"/>
      <c r="P6122" s="387"/>
      <c r="Q6122" s="387"/>
    </row>
    <row r="6123" spans="15:17" ht="20.100000000000001" customHeight="1">
      <c r="O6123" s="387"/>
      <c r="P6123" s="387"/>
      <c r="Q6123" s="387"/>
    </row>
    <row r="6124" spans="15:17" ht="20.100000000000001" customHeight="1">
      <c r="O6124" s="387"/>
      <c r="P6124" s="387"/>
      <c r="Q6124" s="387"/>
    </row>
    <row r="6125" spans="15:17" ht="20.100000000000001" customHeight="1">
      <c r="O6125" s="387"/>
      <c r="P6125" s="387"/>
      <c r="Q6125" s="387"/>
    </row>
    <row r="6126" spans="15:17" ht="20.100000000000001" customHeight="1">
      <c r="O6126" s="387"/>
      <c r="P6126" s="387"/>
      <c r="Q6126" s="387"/>
    </row>
    <row r="6127" spans="15:17" ht="20.100000000000001" customHeight="1">
      <c r="O6127" s="387"/>
      <c r="P6127" s="387"/>
      <c r="Q6127" s="387"/>
    </row>
    <row r="6128" spans="15:17" ht="20.100000000000001" customHeight="1">
      <c r="O6128" s="387"/>
      <c r="P6128" s="387"/>
      <c r="Q6128" s="387"/>
    </row>
    <row r="6129" spans="15:17" ht="20.100000000000001" customHeight="1">
      <c r="O6129" s="387"/>
      <c r="P6129" s="387"/>
      <c r="Q6129" s="387"/>
    </row>
    <row r="6130" spans="15:17" ht="20.100000000000001" customHeight="1">
      <c r="O6130" s="387"/>
      <c r="P6130" s="387"/>
      <c r="Q6130" s="387"/>
    </row>
    <row r="6131" spans="15:17" ht="20.100000000000001" customHeight="1">
      <c r="O6131" s="387"/>
      <c r="P6131" s="387"/>
      <c r="Q6131" s="387"/>
    </row>
    <row r="6132" spans="15:17" ht="20.100000000000001" customHeight="1">
      <c r="O6132" s="387"/>
      <c r="P6132" s="387"/>
      <c r="Q6132" s="387"/>
    </row>
    <row r="6133" spans="15:17" ht="20.100000000000001" customHeight="1">
      <c r="O6133" s="387"/>
      <c r="P6133" s="387"/>
      <c r="Q6133" s="387"/>
    </row>
    <row r="6134" spans="15:17" ht="20.100000000000001" customHeight="1">
      <c r="O6134" s="387"/>
      <c r="P6134" s="387"/>
      <c r="Q6134" s="387"/>
    </row>
    <row r="6135" spans="15:17" ht="20.100000000000001" customHeight="1">
      <c r="O6135" s="387"/>
      <c r="P6135" s="387"/>
      <c r="Q6135" s="387"/>
    </row>
    <row r="6136" spans="15:17" ht="20.100000000000001" customHeight="1">
      <c r="O6136" s="387"/>
      <c r="P6136" s="387"/>
      <c r="Q6136" s="387"/>
    </row>
    <row r="6137" spans="15:17" ht="20.100000000000001" customHeight="1">
      <c r="O6137" s="387"/>
      <c r="P6137" s="387"/>
      <c r="Q6137" s="387"/>
    </row>
    <row r="6138" spans="15:17" ht="20.100000000000001" customHeight="1">
      <c r="O6138" s="387"/>
      <c r="P6138" s="387"/>
      <c r="Q6138" s="387"/>
    </row>
    <row r="6139" spans="15:17" ht="20.100000000000001" customHeight="1">
      <c r="O6139" s="387"/>
      <c r="P6139" s="387"/>
      <c r="Q6139" s="387"/>
    </row>
    <row r="6140" spans="15:17" ht="20.100000000000001" customHeight="1">
      <c r="O6140" s="387"/>
      <c r="P6140" s="387"/>
      <c r="Q6140" s="387"/>
    </row>
    <row r="6141" spans="15:17" ht="20.100000000000001" customHeight="1">
      <c r="O6141" s="387"/>
      <c r="P6141" s="387"/>
      <c r="Q6141" s="387"/>
    </row>
    <row r="6142" spans="15:17" ht="20.100000000000001" customHeight="1">
      <c r="O6142" s="387"/>
      <c r="P6142" s="387"/>
      <c r="Q6142" s="387"/>
    </row>
    <row r="6143" spans="15:17" ht="20.100000000000001" customHeight="1">
      <c r="O6143" s="387"/>
      <c r="P6143" s="387"/>
      <c r="Q6143" s="387"/>
    </row>
    <row r="6144" spans="15:17" ht="20.100000000000001" customHeight="1">
      <c r="O6144" s="387"/>
      <c r="P6144" s="387"/>
      <c r="Q6144" s="387"/>
    </row>
    <row r="6145" spans="15:17" ht="20.100000000000001" customHeight="1">
      <c r="O6145" s="387"/>
      <c r="P6145" s="387"/>
      <c r="Q6145" s="387"/>
    </row>
    <row r="6146" spans="15:17" ht="20.100000000000001" customHeight="1">
      <c r="O6146" s="387"/>
      <c r="P6146" s="387"/>
      <c r="Q6146" s="387"/>
    </row>
    <row r="6147" spans="15:17" ht="20.100000000000001" customHeight="1">
      <c r="O6147" s="387"/>
      <c r="P6147" s="387"/>
      <c r="Q6147" s="387"/>
    </row>
    <row r="6148" spans="15:17" ht="20.100000000000001" customHeight="1">
      <c r="O6148" s="387"/>
      <c r="P6148" s="387"/>
      <c r="Q6148" s="387"/>
    </row>
    <row r="6149" spans="15:17" ht="20.100000000000001" customHeight="1">
      <c r="O6149" s="387"/>
      <c r="P6149" s="387"/>
      <c r="Q6149" s="387"/>
    </row>
    <row r="6150" spans="15:17" ht="20.100000000000001" customHeight="1">
      <c r="O6150" s="387"/>
      <c r="P6150" s="387"/>
      <c r="Q6150" s="387"/>
    </row>
    <row r="6151" spans="15:17" ht="20.100000000000001" customHeight="1">
      <c r="O6151" s="387"/>
      <c r="P6151" s="387"/>
      <c r="Q6151" s="387"/>
    </row>
    <row r="6152" spans="15:17" ht="20.100000000000001" customHeight="1">
      <c r="O6152" s="387"/>
      <c r="P6152" s="387"/>
      <c r="Q6152" s="387"/>
    </row>
    <row r="6153" spans="15:17" ht="20.100000000000001" customHeight="1">
      <c r="O6153" s="387"/>
      <c r="P6153" s="387"/>
      <c r="Q6153" s="387"/>
    </row>
    <row r="6154" spans="15:17" ht="20.100000000000001" customHeight="1">
      <c r="O6154" s="387"/>
      <c r="P6154" s="387"/>
      <c r="Q6154" s="387"/>
    </row>
    <row r="6155" spans="15:17" ht="20.100000000000001" customHeight="1">
      <c r="O6155" s="387"/>
      <c r="P6155" s="387"/>
      <c r="Q6155" s="387"/>
    </row>
    <row r="6156" spans="15:17" ht="20.100000000000001" customHeight="1">
      <c r="O6156" s="387"/>
      <c r="P6156" s="387"/>
      <c r="Q6156" s="387"/>
    </row>
    <row r="6157" spans="15:17" ht="20.100000000000001" customHeight="1">
      <c r="O6157" s="387"/>
      <c r="P6157" s="387"/>
      <c r="Q6157" s="387"/>
    </row>
    <row r="6158" spans="15:17" ht="20.100000000000001" customHeight="1">
      <c r="O6158" s="387"/>
      <c r="P6158" s="387"/>
      <c r="Q6158" s="387"/>
    </row>
    <row r="6159" spans="15:17" ht="20.100000000000001" customHeight="1">
      <c r="O6159" s="387"/>
      <c r="P6159" s="387"/>
      <c r="Q6159" s="387"/>
    </row>
    <row r="6160" spans="15:17" ht="20.100000000000001" customHeight="1">
      <c r="O6160" s="387"/>
      <c r="P6160" s="387"/>
      <c r="Q6160" s="387"/>
    </row>
    <row r="6161" spans="15:17" ht="20.100000000000001" customHeight="1">
      <c r="O6161" s="387"/>
      <c r="P6161" s="387"/>
      <c r="Q6161" s="387"/>
    </row>
    <row r="6162" spans="15:17" ht="20.100000000000001" customHeight="1">
      <c r="O6162" s="387"/>
      <c r="P6162" s="387"/>
      <c r="Q6162" s="387"/>
    </row>
    <row r="6163" spans="15:17" ht="20.100000000000001" customHeight="1">
      <c r="O6163" s="387"/>
      <c r="P6163" s="387"/>
      <c r="Q6163" s="387"/>
    </row>
    <row r="6164" spans="15:17" ht="20.100000000000001" customHeight="1">
      <c r="O6164" s="387"/>
      <c r="P6164" s="387"/>
      <c r="Q6164" s="387"/>
    </row>
    <row r="6165" spans="15:17" ht="20.100000000000001" customHeight="1">
      <c r="O6165" s="387"/>
      <c r="P6165" s="387"/>
      <c r="Q6165" s="387"/>
    </row>
    <row r="6166" spans="15:17" ht="20.100000000000001" customHeight="1">
      <c r="O6166" s="387"/>
      <c r="P6166" s="387"/>
      <c r="Q6166" s="387"/>
    </row>
    <row r="6167" spans="15:17" ht="20.100000000000001" customHeight="1">
      <c r="O6167" s="387"/>
      <c r="P6167" s="387"/>
      <c r="Q6167" s="387"/>
    </row>
    <row r="6168" spans="15:17" ht="20.100000000000001" customHeight="1">
      <c r="O6168" s="387"/>
      <c r="P6168" s="387"/>
      <c r="Q6168" s="387"/>
    </row>
    <row r="6169" spans="15:17" ht="20.100000000000001" customHeight="1">
      <c r="O6169" s="387"/>
      <c r="P6169" s="387"/>
      <c r="Q6169" s="387"/>
    </row>
    <row r="6170" spans="15:17" ht="20.100000000000001" customHeight="1">
      <c r="O6170" s="387"/>
      <c r="P6170" s="387"/>
      <c r="Q6170" s="387"/>
    </row>
    <row r="6171" spans="15:17" ht="20.100000000000001" customHeight="1">
      <c r="O6171" s="387"/>
      <c r="P6171" s="387"/>
      <c r="Q6171" s="387"/>
    </row>
    <row r="6172" spans="15:17" ht="20.100000000000001" customHeight="1">
      <c r="O6172" s="387"/>
      <c r="P6172" s="387"/>
      <c r="Q6172" s="387"/>
    </row>
    <row r="6173" spans="15:17" ht="20.100000000000001" customHeight="1">
      <c r="O6173" s="387"/>
      <c r="P6173" s="387"/>
      <c r="Q6173" s="387"/>
    </row>
    <row r="6174" spans="15:17" ht="20.100000000000001" customHeight="1">
      <c r="O6174" s="387"/>
      <c r="P6174" s="387"/>
      <c r="Q6174" s="387"/>
    </row>
    <row r="6175" spans="15:17" ht="20.100000000000001" customHeight="1">
      <c r="O6175" s="387"/>
      <c r="P6175" s="387"/>
      <c r="Q6175" s="387"/>
    </row>
    <row r="6176" spans="15:17" ht="20.100000000000001" customHeight="1">
      <c r="O6176" s="387"/>
      <c r="P6176" s="387"/>
      <c r="Q6176" s="387"/>
    </row>
    <row r="6177" spans="15:17" ht="20.100000000000001" customHeight="1">
      <c r="O6177" s="387"/>
      <c r="P6177" s="387"/>
      <c r="Q6177" s="387"/>
    </row>
    <row r="6178" spans="15:17" ht="20.100000000000001" customHeight="1">
      <c r="O6178" s="387"/>
      <c r="P6178" s="387"/>
      <c r="Q6178" s="387"/>
    </row>
    <row r="6179" spans="15:17" ht="20.100000000000001" customHeight="1">
      <c r="O6179" s="387"/>
      <c r="P6179" s="387"/>
      <c r="Q6179" s="387"/>
    </row>
    <row r="6180" spans="15:17" ht="20.100000000000001" customHeight="1">
      <c r="O6180" s="387"/>
      <c r="P6180" s="387"/>
      <c r="Q6180" s="387"/>
    </row>
    <row r="6181" spans="15:17" ht="20.100000000000001" customHeight="1">
      <c r="O6181" s="387"/>
      <c r="P6181" s="387"/>
      <c r="Q6181" s="387"/>
    </row>
    <row r="6182" spans="15:17" ht="20.100000000000001" customHeight="1">
      <c r="O6182" s="387"/>
      <c r="P6182" s="387"/>
      <c r="Q6182" s="387"/>
    </row>
    <row r="6183" spans="15:17" ht="20.100000000000001" customHeight="1">
      <c r="O6183" s="387"/>
      <c r="P6183" s="387"/>
      <c r="Q6183" s="387"/>
    </row>
    <row r="6184" spans="15:17" ht="20.100000000000001" customHeight="1">
      <c r="O6184" s="387"/>
      <c r="P6184" s="387"/>
      <c r="Q6184" s="387"/>
    </row>
    <row r="6185" spans="15:17" ht="20.100000000000001" customHeight="1">
      <c r="O6185" s="387"/>
      <c r="P6185" s="387"/>
      <c r="Q6185" s="387"/>
    </row>
    <row r="6186" spans="15:17" ht="20.100000000000001" customHeight="1">
      <c r="O6186" s="387"/>
      <c r="P6186" s="387"/>
      <c r="Q6186" s="387"/>
    </row>
    <row r="6187" spans="15:17" ht="20.100000000000001" customHeight="1">
      <c r="O6187" s="387"/>
      <c r="P6187" s="387"/>
      <c r="Q6187" s="387"/>
    </row>
    <row r="6188" spans="15:17" ht="20.100000000000001" customHeight="1">
      <c r="O6188" s="387"/>
      <c r="P6188" s="387"/>
      <c r="Q6188" s="387"/>
    </row>
    <row r="6189" spans="15:17" ht="20.100000000000001" customHeight="1">
      <c r="O6189" s="387"/>
      <c r="P6189" s="387"/>
      <c r="Q6189" s="387"/>
    </row>
    <row r="6190" spans="15:17" ht="20.100000000000001" customHeight="1">
      <c r="O6190" s="387"/>
      <c r="P6190" s="387"/>
      <c r="Q6190" s="387"/>
    </row>
    <row r="6191" spans="15:17" ht="20.100000000000001" customHeight="1">
      <c r="O6191" s="387"/>
      <c r="P6191" s="387"/>
      <c r="Q6191" s="387"/>
    </row>
    <row r="6192" spans="15:17" ht="20.100000000000001" customHeight="1">
      <c r="O6192" s="387"/>
      <c r="P6192" s="387"/>
      <c r="Q6192" s="387"/>
    </row>
    <row r="6193" spans="15:17" ht="20.100000000000001" customHeight="1">
      <c r="O6193" s="387"/>
      <c r="P6193" s="387"/>
      <c r="Q6193" s="387"/>
    </row>
    <row r="6194" spans="15:17" ht="20.100000000000001" customHeight="1">
      <c r="O6194" s="387"/>
      <c r="P6194" s="387"/>
      <c r="Q6194" s="387"/>
    </row>
    <row r="6195" spans="15:17" ht="20.100000000000001" customHeight="1">
      <c r="O6195" s="387"/>
      <c r="P6195" s="387"/>
      <c r="Q6195" s="387"/>
    </row>
    <row r="6196" spans="15:17" ht="20.100000000000001" customHeight="1">
      <c r="O6196" s="387"/>
      <c r="P6196" s="387"/>
      <c r="Q6196" s="387"/>
    </row>
    <row r="6197" spans="15:17" ht="20.100000000000001" customHeight="1">
      <c r="O6197" s="387"/>
      <c r="P6197" s="387"/>
      <c r="Q6197" s="387"/>
    </row>
    <row r="6198" spans="15:17" ht="20.100000000000001" customHeight="1">
      <c r="O6198" s="387"/>
      <c r="P6198" s="387"/>
      <c r="Q6198" s="387"/>
    </row>
    <row r="6199" spans="15:17" ht="20.100000000000001" customHeight="1">
      <c r="O6199" s="387"/>
      <c r="P6199" s="387"/>
      <c r="Q6199" s="387"/>
    </row>
    <row r="6200" spans="15:17" ht="20.100000000000001" customHeight="1">
      <c r="O6200" s="387"/>
      <c r="P6200" s="387"/>
      <c r="Q6200" s="387"/>
    </row>
    <row r="6201" spans="15:17" ht="20.100000000000001" customHeight="1">
      <c r="O6201" s="387"/>
      <c r="P6201" s="387"/>
      <c r="Q6201" s="387"/>
    </row>
    <row r="6202" spans="15:17" ht="20.100000000000001" customHeight="1">
      <c r="O6202" s="387"/>
      <c r="P6202" s="387"/>
      <c r="Q6202" s="387"/>
    </row>
    <row r="6203" spans="15:17" ht="20.100000000000001" customHeight="1">
      <c r="O6203" s="387"/>
      <c r="P6203" s="387"/>
      <c r="Q6203" s="387"/>
    </row>
    <row r="6204" spans="15:17" ht="20.100000000000001" customHeight="1">
      <c r="O6204" s="387"/>
      <c r="P6204" s="387"/>
      <c r="Q6204" s="387"/>
    </row>
    <row r="6205" spans="15:17" ht="20.100000000000001" customHeight="1">
      <c r="O6205" s="387"/>
      <c r="P6205" s="387"/>
      <c r="Q6205" s="387"/>
    </row>
    <row r="6206" spans="15:17" ht="20.100000000000001" customHeight="1">
      <c r="O6206" s="387"/>
      <c r="P6206" s="387"/>
      <c r="Q6206" s="387"/>
    </row>
    <row r="6207" spans="15:17" ht="20.100000000000001" customHeight="1">
      <c r="O6207" s="387"/>
      <c r="P6207" s="387"/>
      <c r="Q6207" s="387"/>
    </row>
    <row r="6208" spans="15:17" ht="20.100000000000001" customHeight="1">
      <c r="O6208" s="387"/>
      <c r="P6208" s="387"/>
      <c r="Q6208" s="387"/>
    </row>
    <row r="6209" spans="15:17" ht="20.100000000000001" customHeight="1">
      <c r="O6209" s="387"/>
      <c r="P6209" s="387"/>
      <c r="Q6209" s="387"/>
    </row>
    <row r="6210" spans="15:17" ht="20.100000000000001" customHeight="1">
      <c r="O6210" s="387"/>
      <c r="P6210" s="387"/>
      <c r="Q6210" s="387"/>
    </row>
    <row r="6211" spans="15:17" ht="20.100000000000001" customHeight="1">
      <c r="O6211" s="387"/>
      <c r="P6211" s="387"/>
      <c r="Q6211" s="387"/>
    </row>
    <row r="6212" spans="15:17" ht="20.100000000000001" customHeight="1">
      <c r="O6212" s="387"/>
      <c r="P6212" s="387"/>
      <c r="Q6212" s="387"/>
    </row>
    <row r="6213" spans="15:17" ht="20.100000000000001" customHeight="1">
      <c r="O6213" s="387"/>
      <c r="P6213" s="387"/>
      <c r="Q6213" s="387"/>
    </row>
    <row r="6214" spans="15:17" ht="20.100000000000001" customHeight="1">
      <c r="O6214" s="387"/>
      <c r="P6214" s="387"/>
      <c r="Q6214" s="387"/>
    </row>
    <row r="6215" spans="15:17" ht="20.100000000000001" customHeight="1">
      <c r="O6215" s="387"/>
      <c r="P6215" s="387"/>
      <c r="Q6215" s="387"/>
    </row>
    <row r="6216" spans="15:17" ht="20.100000000000001" customHeight="1">
      <c r="O6216" s="387"/>
      <c r="P6216" s="387"/>
      <c r="Q6216" s="387"/>
    </row>
    <row r="6217" spans="15:17" ht="20.100000000000001" customHeight="1">
      <c r="O6217" s="387"/>
      <c r="P6217" s="387"/>
      <c r="Q6217" s="387"/>
    </row>
    <row r="6218" spans="15:17" ht="20.100000000000001" customHeight="1">
      <c r="O6218" s="387"/>
      <c r="P6218" s="387"/>
      <c r="Q6218" s="387"/>
    </row>
    <row r="6219" spans="15:17" ht="20.100000000000001" customHeight="1">
      <c r="O6219" s="387"/>
      <c r="P6219" s="387"/>
      <c r="Q6219" s="387"/>
    </row>
    <row r="6220" spans="15:17" ht="20.100000000000001" customHeight="1">
      <c r="O6220" s="387"/>
      <c r="P6220" s="387"/>
      <c r="Q6220" s="387"/>
    </row>
    <row r="6221" spans="15:17" ht="20.100000000000001" customHeight="1">
      <c r="O6221" s="387"/>
      <c r="P6221" s="387"/>
      <c r="Q6221" s="387"/>
    </row>
    <row r="6222" spans="15:17" ht="20.100000000000001" customHeight="1">
      <c r="O6222" s="387"/>
      <c r="P6222" s="387"/>
      <c r="Q6222" s="387"/>
    </row>
    <row r="6223" spans="15:17" ht="20.100000000000001" customHeight="1">
      <c r="O6223" s="387"/>
      <c r="P6223" s="387"/>
      <c r="Q6223" s="387"/>
    </row>
    <row r="6224" spans="15:17" ht="20.100000000000001" customHeight="1">
      <c r="O6224" s="387"/>
      <c r="P6224" s="387"/>
      <c r="Q6224" s="387"/>
    </row>
    <row r="6225" spans="15:17" ht="20.100000000000001" customHeight="1">
      <c r="O6225" s="387"/>
      <c r="P6225" s="387"/>
      <c r="Q6225" s="387"/>
    </row>
    <row r="6226" spans="15:17" ht="20.100000000000001" customHeight="1">
      <c r="O6226" s="387"/>
      <c r="P6226" s="387"/>
      <c r="Q6226" s="387"/>
    </row>
    <row r="6227" spans="15:17" ht="20.100000000000001" customHeight="1">
      <c r="O6227" s="387"/>
      <c r="P6227" s="387"/>
      <c r="Q6227" s="387"/>
    </row>
    <row r="6228" spans="15:17" ht="20.100000000000001" customHeight="1">
      <c r="O6228" s="387"/>
      <c r="P6228" s="387"/>
      <c r="Q6228" s="387"/>
    </row>
    <row r="6229" spans="15:17" ht="20.100000000000001" customHeight="1">
      <c r="O6229" s="387"/>
      <c r="P6229" s="387"/>
      <c r="Q6229" s="387"/>
    </row>
    <row r="6230" spans="15:17" ht="20.100000000000001" customHeight="1">
      <c r="O6230" s="387"/>
      <c r="P6230" s="387"/>
      <c r="Q6230" s="387"/>
    </row>
    <row r="6231" spans="15:17" ht="20.100000000000001" customHeight="1">
      <c r="O6231" s="387"/>
      <c r="P6231" s="387"/>
      <c r="Q6231" s="387"/>
    </row>
    <row r="6232" spans="15:17" ht="20.100000000000001" customHeight="1">
      <c r="O6232" s="387"/>
      <c r="P6232" s="387"/>
      <c r="Q6232" s="387"/>
    </row>
    <row r="6233" spans="15:17" ht="20.100000000000001" customHeight="1">
      <c r="O6233" s="387"/>
      <c r="P6233" s="387"/>
      <c r="Q6233" s="387"/>
    </row>
    <row r="6234" spans="15:17" ht="20.100000000000001" customHeight="1">
      <c r="O6234" s="387"/>
      <c r="P6234" s="387"/>
      <c r="Q6234" s="387"/>
    </row>
    <row r="6235" spans="15:17" ht="20.100000000000001" customHeight="1">
      <c r="O6235" s="387"/>
      <c r="P6235" s="387"/>
      <c r="Q6235" s="387"/>
    </row>
    <row r="6236" spans="15:17" ht="20.100000000000001" customHeight="1">
      <c r="O6236" s="387"/>
      <c r="P6236" s="387"/>
      <c r="Q6236" s="387"/>
    </row>
    <row r="6237" spans="15:17" ht="20.100000000000001" customHeight="1">
      <c r="O6237" s="387"/>
      <c r="P6237" s="387"/>
      <c r="Q6237" s="387"/>
    </row>
    <row r="6238" spans="15:17" ht="20.100000000000001" customHeight="1">
      <c r="O6238" s="387"/>
      <c r="P6238" s="387"/>
      <c r="Q6238" s="387"/>
    </row>
    <row r="6239" spans="15:17" ht="20.100000000000001" customHeight="1">
      <c r="O6239" s="387"/>
      <c r="P6239" s="387"/>
      <c r="Q6239" s="387"/>
    </row>
    <row r="6240" spans="15:17" ht="20.100000000000001" customHeight="1">
      <c r="O6240" s="387"/>
      <c r="P6240" s="387"/>
      <c r="Q6240" s="387"/>
    </row>
    <row r="6241" spans="15:17" ht="20.100000000000001" customHeight="1">
      <c r="O6241" s="387"/>
      <c r="P6241" s="387"/>
      <c r="Q6241" s="387"/>
    </row>
    <row r="6242" spans="15:17" ht="20.100000000000001" customHeight="1">
      <c r="O6242" s="387"/>
      <c r="P6242" s="387"/>
      <c r="Q6242" s="387"/>
    </row>
    <row r="6243" spans="15:17" ht="20.100000000000001" customHeight="1">
      <c r="O6243" s="387"/>
      <c r="P6243" s="387"/>
      <c r="Q6243" s="387"/>
    </row>
    <row r="6244" spans="15:17" ht="20.100000000000001" customHeight="1">
      <c r="O6244" s="387"/>
      <c r="P6244" s="387"/>
      <c r="Q6244" s="387"/>
    </row>
    <row r="6245" spans="15:17" ht="20.100000000000001" customHeight="1">
      <c r="O6245" s="387"/>
      <c r="P6245" s="387"/>
      <c r="Q6245" s="387"/>
    </row>
    <row r="6246" spans="15:17" ht="20.100000000000001" customHeight="1">
      <c r="O6246" s="387"/>
      <c r="P6246" s="387"/>
      <c r="Q6246" s="387"/>
    </row>
    <row r="6247" spans="15:17" ht="20.100000000000001" customHeight="1">
      <c r="O6247" s="387"/>
      <c r="P6247" s="387"/>
      <c r="Q6247" s="387"/>
    </row>
    <row r="6248" spans="15:17" ht="20.100000000000001" customHeight="1">
      <c r="O6248" s="387"/>
      <c r="P6248" s="387"/>
      <c r="Q6248" s="387"/>
    </row>
    <row r="6249" spans="15:17" ht="20.100000000000001" customHeight="1">
      <c r="O6249" s="387"/>
      <c r="P6249" s="387"/>
      <c r="Q6249" s="387"/>
    </row>
    <row r="6250" spans="15:17" ht="20.100000000000001" customHeight="1">
      <c r="O6250" s="387"/>
      <c r="P6250" s="387"/>
      <c r="Q6250" s="387"/>
    </row>
    <row r="6251" spans="15:17" ht="20.100000000000001" customHeight="1">
      <c r="O6251" s="387"/>
      <c r="P6251" s="387"/>
      <c r="Q6251" s="387"/>
    </row>
    <row r="6252" spans="15:17" ht="20.100000000000001" customHeight="1">
      <c r="O6252" s="387"/>
      <c r="P6252" s="387"/>
      <c r="Q6252" s="387"/>
    </row>
    <row r="6253" spans="15:17" ht="20.100000000000001" customHeight="1">
      <c r="O6253" s="387"/>
      <c r="P6253" s="387"/>
      <c r="Q6253" s="387"/>
    </row>
    <row r="6254" spans="15:17" ht="20.100000000000001" customHeight="1">
      <c r="O6254" s="387"/>
      <c r="P6254" s="387"/>
      <c r="Q6254" s="387"/>
    </row>
    <row r="6255" spans="15:17" ht="20.100000000000001" customHeight="1">
      <c r="O6255" s="387"/>
      <c r="P6255" s="387"/>
      <c r="Q6255" s="387"/>
    </row>
    <row r="6256" spans="15:17" ht="20.100000000000001" customHeight="1">
      <c r="O6256" s="387"/>
      <c r="P6256" s="387"/>
      <c r="Q6256" s="387"/>
    </row>
    <row r="6257" spans="15:17" ht="20.100000000000001" customHeight="1">
      <c r="O6257" s="387"/>
      <c r="P6257" s="387"/>
      <c r="Q6257" s="387"/>
    </row>
    <row r="6258" spans="15:17" ht="20.100000000000001" customHeight="1">
      <c r="O6258" s="387"/>
      <c r="P6258" s="387"/>
      <c r="Q6258" s="387"/>
    </row>
    <row r="6259" spans="15:17" ht="20.100000000000001" customHeight="1">
      <c r="O6259" s="387"/>
      <c r="P6259" s="387"/>
      <c r="Q6259" s="387"/>
    </row>
    <row r="6260" spans="15:17" ht="20.100000000000001" customHeight="1">
      <c r="O6260" s="387"/>
      <c r="P6260" s="387"/>
      <c r="Q6260" s="387"/>
    </row>
    <row r="6261" spans="15:17" ht="20.100000000000001" customHeight="1">
      <c r="O6261" s="387"/>
      <c r="P6261" s="387"/>
      <c r="Q6261" s="387"/>
    </row>
    <row r="6262" spans="15:17" ht="20.100000000000001" customHeight="1">
      <c r="O6262" s="387"/>
      <c r="P6262" s="387"/>
      <c r="Q6262" s="387"/>
    </row>
    <row r="6263" spans="15:17" ht="20.100000000000001" customHeight="1">
      <c r="O6263" s="387"/>
      <c r="P6263" s="387"/>
      <c r="Q6263" s="387"/>
    </row>
    <row r="6264" spans="15:17" ht="20.100000000000001" customHeight="1">
      <c r="O6264" s="387"/>
      <c r="P6264" s="387"/>
      <c r="Q6264" s="387"/>
    </row>
    <row r="6265" spans="15:17" ht="20.100000000000001" customHeight="1">
      <c r="O6265" s="387"/>
      <c r="P6265" s="387"/>
      <c r="Q6265" s="387"/>
    </row>
    <row r="6266" spans="15:17" ht="20.100000000000001" customHeight="1">
      <c r="O6266" s="387"/>
      <c r="P6266" s="387"/>
      <c r="Q6266" s="387"/>
    </row>
    <row r="6267" spans="15:17" ht="20.100000000000001" customHeight="1">
      <c r="O6267" s="387"/>
      <c r="P6267" s="387"/>
      <c r="Q6267" s="387"/>
    </row>
    <row r="6268" spans="15:17" ht="20.100000000000001" customHeight="1">
      <c r="O6268" s="387"/>
      <c r="P6268" s="387"/>
      <c r="Q6268" s="387"/>
    </row>
    <row r="6269" spans="15:17" ht="20.100000000000001" customHeight="1">
      <c r="O6269" s="387"/>
      <c r="P6269" s="387"/>
      <c r="Q6269" s="387"/>
    </row>
    <row r="6270" spans="15:17" ht="20.100000000000001" customHeight="1">
      <c r="O6270" s="387"/>
      <c r="P6270" s="387"/>
      <c r="Q6270" s="387"/>
    </row>
    <row r="6271" spans="15:17" ht="20.100000000000001" customHeight="1">
      <c r="O6271" s="387"/>
      <c r="P6271" s="387"/>
      <c r="Q6271" s="387"/>
    </row>
    <row r="6272" spans="15:17" ht="20.100000000000001" customHeight="1">
      <c r="O6272" s="387"/>
      <c r="P6272" s="387"/>
      <c r="Q6272" s="387"/>
    </row>
    <row r="6273" spans="15:17" ht="20.100000000000001" customHeight="1">
      <c r="O6273" s="387"/>
      <c r="P6273" s="387"/>
      <c r="Q6273" s="387"/>
    </row>
    <row r="6274" spans="15:17" ht="20.100000000000001" customHeight="1">
      <c r="O6274" s="387"/>
      <c r="P6274" s="387"/>
      <c r="Q6274" s="387"/>
    </row>
    <row r="6275" spans="15:17" ht="20.100000000000001" customHeight="1">
      <c r="O6275" s="387"/>
      <c r="P6275" s="387"/>
      <c r="Q6275" s="387"/>
    </row>
    <row r="6276" spans="15:17" ht="20.100000000000001" customHeight="1">
      <c r="O6276" s="387"/>
      <c r="P6276" s="387"/>
      <c r="Q6276" s="387"/>
    </row>
    <row r="6277" spans="15:17" ht="20.100000000000001" customHeight="1">
      <c r="O6277" s="387"/>
      <c r="P6277" s="387"/>
      <c r="Q6277" s="387"/>
    </row>
    <row r="6278" spans="15:17" ht="20.100000000000001" customHeight="1">
      <c r="O6278" s="387"/>
      <c r="P6278" s="387"/>
      <c r="Q6278" s="387"/>
    </row>
    <row r="6279" spans="15:17" ht="20.100000000000001" customHeight="1">
      <c r="O6279" s="387"/>
      <c r="P6279" s="387"/>
      <c r="Q6279" s="387"/>
    </row>
    <row r="6280" spans="15:17" ht="20.100000000000001" customHeight="1">
      <c r="O6280" s="387"/>
      <c r="P6280" s="387"/>
      <c r="Q6280" s="387"/>
    </row>
    <row r="6281" spans="15:17" ht="20.100000000000001" customHeight="1">
      <c r="O6281" s="387"/>
      <c r="P6281" s="387"/>
      <c r="Q6281" s="387"/>
    </row>
    <row r="6282" spans="15:17" ht="20.100000000000001" customHeight="1">
      <c r="O6282" s="387"/>
      <c r="P6282" s="387"/>
      <c r="Q6282" s="387"/>
    </row>
    <row r="6283" spans="15:17" ht="20.100000000000001" customHeight="1">
      <c r="O6283" s="387"/>
      <c r="P6283" s="387"/>
      <c r="Q6283" s="387"/>
    </row>
    <row r="6284" spans="15:17" ht="20.100000000000001" customHeight="1">
      <c r="O6284" s="387"/>
      <c r="P6284" s="387"/>
      <c r="Q6284" s="387"/>
    </row>
    <row r="6285" spans="15:17" ht="20.100000000000001" customHeight="1">
      <c r="O6285" s="387"/>
      <c r="P6285" s="387"/>
      <c r="Q6285" s="387"/>
    </row>
    <row r="6286" spans="15:17" ht="20.100000000000001" customHeight="1">
      <c r="O6286" s="387"/>
      <c r="P6286" s="387"/>
      <c r="Q6286" s="387"/>
    </row>
    <row r="6287" spans="15:17" ht="20.100000000000001" customHeight="1">
      <c r="O6287" s="387"/>
      <c r="P6287" s="387"/>
      <c r="Q6287" s="387"/>
    </row>
    <row r="6288" spans="15:17" ht="20.100000000000001" customHeight="1">
      <c r="O6288" s="387"/>
      <c r="P6288" s="387"/>
      <c r="Q6288" s="387"/>
    </row>
    <row r="6289" spans="15:17" ht="20.100000000000001" customHeight="1">
      <c r="O6289" s="387"/>
      <c r="P6289" s="387"/>
      <c r="Q6289" s="387"/>
    </row>
    <row r="6290" spans="15:17" ht="20.100000000000001" customHeight="1">
      <c r="O6290" s="387"/>
      <c r="P6290" s="387"/>
      <c r="Q6290" s="387"/>
    </row>
    <row r="6291" spans="15:17" ht="20.100000000000001" customHeight="1">
      <c r="O6291" s="387"/>
      <c r="P6291" s="387"/>
      <c r="Q6291" s="387"/>
    </row>
    <row r="6292" spans="15:17" ht="20.100000000000001" customHeight="1">
      <c r="O6292" s="387"/>
      <c r="P6292" s="387"/>
      <c r="Q6292" s="387"/>
    </row>
    <row r="6293" spans="15:17" ht="20.100000000000001" customHeight="1">
      <c r="O6293" s="387"/>
      <c r="P6293" s="387"/>
      <c r="Q6293" s="387"/>
    </row>
    <row r="6294" spans="15:17" ht="20.100000000000001" customHeight="1">
      <c r="O6294" s="387"/>
      <c r="P6294" s="387"/>
      <c r="Q6294" s="387"/>
    </row>
    <row r="6295" spans="15:17" ht="20.100000000000001" customHeight="1">
      <c r="O6295" s="387"/>
      <c r="P6295" s="387"/>
      <c r="Q6295" s="387"/>
    </row>
    <row r="6296" spans="15:17" ht="20.100000000000001" customHeight="1">
      <c r="O6296" s="387"/>
      <c r="P6296" s="387"/>
      <c r="Q6296" s="387"/>
    </row>
    <row r="6297" spans="15:17" ht="20.100000000000001" customHeight="1">
      <c r="O6297" s="387"/>
      <c r="P6297" s="387"/>
      <c r="Q6297" s="387"/>
    </row>
    <row r="6298" spans="15:17" ht="20.100000000000001" customHeight="1">
      <c r="O6298" s="387"/>
      <c r="P6298" s="387"/>
      <c r="Q6298" s="387"/>
    </row>
    <row r="6299" spans="15:17" ht="20.100000000000001" customHeight="1">
      <c r="O6299" s="387"/>
      <c r="P6299" s="387"/>
      <c r="Q6299" s="387"/>
    </row>
    <row r="6300" spans="15:17" ht="20.100000000000001" customHeight="1">
      <c r="O6300" s="387"/>
      <c r="P6300" s="387"/>
      <c r="Q6300" s="387"/>
    </row>
    <row r="6301" spans="15:17" ht="20.100000000000001" customHeight="1">
      <c r="O6301" s="387"/>
      <c r="P6301" s="387"/>
      <c r="Q6301" s="387"/>
    </row>
    <row r="6302" spans="15:17" ht="20.100000000000001" customHeight="1">
      <c r="O6302" s="387"/>
      <c r="P6302" s="387"/>
      <c r="Q6302" s="387"/>
    </row>
    <row r="6303" spans="15:17" ht="20.100000000000001" customHeight="1">
      <c r="O6303" s="387"/>
      <c r="P6303" s="387"/>
      <c r="Q6303" s="387"/>
    </row>
    <row r="6304" spans="15:17" ht="20.100000000000001" customHeight="1">
      <c r="O6304" s="387"/>
      <c r="P6304" s="387"/>
      <c r="Q6304" s="387"/>
    </row>
    <row r="6305" spans="15:17" ht="20.100000000000001" customHeight="1">
      <c r="O6305" s="387"/>
      <c r="P6305" s="387"/>
      <c r="Q6305" s="387"/>
    </row>
    <row r="6306" spans="15:17" ht="20.100000000000001" customHeight="1">
      <c r="O6306" s="387"/>
      <c r="P6306" s="387"/>
      <c r="Q6306" s="387"/>
    </row>
    <row r="6307" spans="15:17" ht="20.100000000000001" customHeight="1">
      <c r="O6307" s="387"/>
      <c r="P6307" s="387"/>
      <c r="Q6307" s="387"/>
    </row>
    <row r="6308" spans="15:17" ht="20.100000000000001" customHeight="1">
      <c r="O6308" s="387"/>
      <c r="P6308" s="387"/>
      <c r="Q6308" s="387"/>
    </row>
    <row r="6309" spans="15:17" ht="20.100000000000001" customHeight="1">
      <c r="O6309" s="387"/>
      <c r="P6309" s="387"/>
      <c r="Q6309" s="387"/>
    </row>
    <row r="6310" spans="15:17" ht="20.100000000000001" customHeight="1">
      <c r="O6310" s="387"/>
      <c r="P6310" s="387"/>
      <c r="Q6310" s="387"/>
    </row>
    <row r="6311" spans="15:17" ht="20.100000000000001" customHeight="1">
      <c r="O6311" s="387"/>
      <c r="P6311" s="387"/>
      <c r="Q6311" s="387"/>
    </row>
    <row r="6312" spans="15:17" ht="20.100000000000001" customHeight="1">
      <c r="O6312" s="387"/>
      <c r="P6312" s="387"/>
      <c r="Q6312" s="387"/>
    </row>
    <row r="6313" spans="15:17" ht="20.100000000000001" customHeight="1">
      <c r="O6313" s="387"/>
      <c r="P6313" s="387"/>
      <c r="Q6313" s="387"/>
    </row>
    <row r="6314" spans="15:17" ht="20.100000000000001" customHeight="1">
      <c r="O6314" s="387"/>
      <c r="P6314" s="387"/>
      <c r="Q6314" s="387"/>
    </row>
    <row r="6315" spans="15:17" ht="20.100000000000001" customHeight="1">
      <c r="O6315" s="387"/>
      <c r="P6315" s="387"/>
      <c r="Q6315" s="387"/>
    </row>
    <row r="6316" spans="15:17" ht="20.100000000000001" customHeight="1">
      <c r="O6316" s="387"/>
      <c r="P6316" s="387"/>
      <c r="Q6316" s="387"/>
    </row>
    <row r="6317" spans="15:17" ht="20.100000000000001" customHeight="1">
      <c r="O6317" s="387"/>
      <c r="P6317" s="387"/>
      <c r="Q6317" s="387"/>
    </row>
    <row r="6318" spans="15:17" ht="20.100000000000001" customHeight="1">
      <c r="O6318" s="387"/>
      <c r="P6318" s="387"/>
      <c r="Q6318" s="387"/>
    </row>
    <row r="6319" spans="15:17" ht="20.100000000000001" customHeight="1">
      <c r="O6319" s="387"/>
      <c r="P6319" s="387"/>
      <c r="Q6319" s="387"/>
    </row>
    <row r="6320" spans="15:17" ht="20.100000000000001" customHeight="1">
      <c r="O6320" s="387"/>
      <c r="P6320" s="387"/>
      <c r="Q6320" s="387"/>
    </row>
    <row r="6321" spans="15:17" ht="20.100000000000001" customHeight="1">
      <c r="O6321" s="387"/>
      <c r="P6321" s="387"/>
      <c r="Q6321" s="387"/>
    </row>
    <row r="6322" spans="15:17" ht="20.100000000000001" customHeight="1">
      <c r="O6322" s="387"/>
      <c r="P6322" s="387"/>
      <c r="Q6322" s="387"/>
    </row>
    <row r="6323" spans="15:17" ht="20.100000000000001" customHeight="1">
      <c r="O6323" s="387"/>
      <c r="P6323" s="387"/>
      <c r="Q6323" s="387"/>
    </row>
    <row r="6324" spans="15:17" ht="20.100000000000001" customHeight="1">
      <c r="O6324" s="387"/>
      <c r="P6324" s="387"/>
      <c r="Q6324" s="387"/>
    </row>
    <row r="6325" spans="15:17" ht="20.100000000000001" customHeight="1">
      <c r="O6325" s="387"/>
      <c r="P6325" s="387"/>
      <c r="Q6325" s="387"/>
    </row>
    <row r="6326" spans="15:17" ht="20.100000000000001" customHeight="1">
      <c r="O6326" s="387"/>
      <c r="P6326" s="387"/>
      <c r="Q6326" s="387"/>
    </row>
    <row r="6327" spans="15:17" ht="20.100000000000001" customHeight="1">
      <c r="O6327" s="387"/>
      <c r="P6327" s="387"/>
      <c r="Q6327" s="387"/>
    </row>
    <row r="6328" spans="15:17" ht="20.100000000000001" customHeight="1">
      <c r="O6328" s="387"/>
      <c r="P6328" s="387"/>
      <c r="Q6328" s="387"/>
    </row>
    <row r="6329" spans="15:17" ht="20.100000000000001" customHeight="1">
      <c r="O6329" s="387"/>
      <c r="P6329" s="387"/>
      <c r="Q6329" s="387"/>
    </row>
    <row r="6330" spans="15:17" ht="20.100000000000001" customHeight="1">
      <c r="O6330" s="387"/>
      <c r="P6330" s="387"/>
      <c r="Q6330" s="387"/>
    </row>
    <row r="6331" spans="15:17" ht="20.100000000000001" customHeight="1">
      <c r="O6331" s="387"/>
      <c r="P6331" s="387"/>
      <c r="Q6331" s="387"/>
    </row>
    <row r="6332" spans="15:17" ht="20.100000000000001" customHeight="1">
      <c r="O6332" s="387"/>
      <c r="P6332" s="387"/>
      <c r="Q6332" s="387"/>
    </row>
    <row r="6333" spans="15:17" ht="20.100000000000001" customHeight="1">
      <c r="O6333" s="387"/>
      <c r="P6333" s="387"/>
      <c r="Q6333" s="387"/>
    </row>
    <row r="6334" spans="15:17" ht="20.100000000000001" customHeight="1">
      <c r="O6334" s="387"/>
      <c r="P6334" s="387"/>
      <c r="Q6334" s="387"/>
    </row>
    <row r="6335" spans="15:17" ht="20.100000000000001" customHeight="1">
      <c r="O6335" s="387"/>
      <c r="P6335" s="387"/>
      <c r="Q6335" s="387"/>
    </row>
    <row r="6336" spans="15:17" ht="20.100000000000001" customHeight="1">
      <c r="O6336" s="387"/>
      <c r="P6336" s="387"/>
      <c r="Q6336" s="387"/>
    </row>
    <row r="6337" spans="15:17" ht="20.100000000000001" customHeight="1">
      <c r="O6337" s="387"/>
      <c r="P6337" s="387"/>
      <c r="Q6337" s="387"/>
    </row>
    <row r="6338" spans="15:17" ht="20.100000000000001" customHeight="1">
      <c r="O6338" s="387"/>
      <c r="P6338" s="387"/>
      <c r="Q6338" s="387"/>
    </row>
    <row r="6339" spans="15:17" ht="20.100000000000001" customHeight="1">
      <c r="O6339" s="387"/>
      <c r="P6339" s="387"/>
      <c r="Q6339" s="387"/>
    </row>
    <row r="6340" spans="15:17" ht="20.100000000000001" customHeight="1">
      <c r="O6340" s="387"/>
      <c r="P6340" s="387"/>
      <c r="Q6340" s="387"/>
    </row>
    <row r="6341" spans="15:17" ht="20.100000000000001" customHeight="1">
      <c r="O6341" s="387"/>
      <c r="P6341" s="387"/>
      <c r="Q6341" s="387"/>
    </row>
    <row r="6342" spans="15:17" ht="20.100000000000001" customHeight="1">
      <c r="O6342" s="387"/>
      <c r="P6342" s="387"/>
      <c r="Q6342" s="387"/>
    </row>
    <row r="6343" spans="15:17" ht="20.100000000000001" customHeight="1">
      <c r="O6343" s="387"/>
      <c r="P6343" s="387"/>
      <c r="Q6343" s="387"/>
    </row>
    <row r="6344" spans="15:17" ht="20.100000000000001" customHeight="1">
      <c r="O6344" s="387"/>
      <c r="P6344" s="387"/>
      <c r="Q6344" s="387"/>
    </row>
    <row r="6345" spans="15:17" ht="20.100000000000001" customHeight="1">
      <c r="O6345" s="387"/>
      <c r="P6345" s="387"/>
      <c r="Q6345" s="387"/>
    </row>
    <row r="6346" spans="15:17" ht="20.100000000000001" customHeight="1">
      <c r="O6346" s="387"/>
      <c r="P6346" s="387"/>
      <c r="Q6346" s="387"/>
    </row>
    <row r="6347" spans="15:17" ht="20.100000000000001" customHeight="1">
      <c r="O6347" s="387"/>
      <c r="P6347" s="387"/>
      <c r="Q6347" s="387"/>
    </row>
    <row r="6348" spans="15:17" ht="20.100000000000001" customHeight="1">
      <c r="O6348" s="387"/>
      <c r="P6348" s="387"/>
      <c r="Q6348" s="387"/>
    </row>
    <row r="6349" spans="15:17" ht="20.100000000000001" customHeight="1">
      <c r="O6349" s="387"/>
      <c r="P6349" s="387"/>
      <c r="Q6349" s="387"/>
    </row>
    <row r="6350" spans="15:17" ht="20.100000000000001" customHeight="1">
      <c r="O6350" s="387"/>
      <c r="P6350" s="387"/>
      <c r="Q6350" s="387"/>
    </row>
    <row r="6351" spans="15:17" ht="20.100000000000001" customHeight="1">
      <c r="O6351" s="387"/>
      <c r="P6351" s="387"/>
      <c r="Q6351" s="387"/>
    </row>
    <row r="6352" spans="15:17" ht="20.100000000000001" customHeight="1">
      <c r="O6352" s="387"/>
      <c r="P6352" s="387"/>
      <c r="Q6352" s="387"/>
    </row>
    <row r="6353" spans="15:17" ht="20.100000000000001" customHeight="1">
      <c r="O6353" s="387"/>
      <c r="P6353" s="387"/>
      <c r="Q6353" s="387"/>
    </row>
    <row r="6354" spans="15:17" ht="20.100000000000001" customHeight="1">
      <c r="O6354" s="387"/>
      <c r="P6354" s="387"/>
      <c r="Q6354" s="387"/>
    </row>
    <row r="6355" spans="15:17" ht="20.100000000000001" customHeight="1">
      <c r="O6355" s="387"/>
      <c r="P6355" s="387"/>
      <c r="Q6355" s="387"/>
    </row>
    <row r="6356" spans="15:17" ht="20.100000000000001" customHeight="1">
      <c r="O6356" s="387"/>
      <c r="P6356" s="387"/>
      <c r="Q6356" s="387"/>
    </row>
    <row r="6357" spans="15:17" ht="20.100000000000001" customHeight="1">
      <c r="O6357" s="387"/>
      <c r="P6357" s="387"/>
      <c r="Q6357" s="387"/>
    </row>
    <row r="6358" spans="15:17" ht="20.100000000000001" customHeight="1">
      <c r="O6358" s="387"/>
      <c r="P6358" s="387"/>
      <c r="Q6358" s="387"/>
    </row>
    <row r="6359" spans="15:17" ht="20.100000000000001" customHeight="1">
      <c r="O6359" s="387"/>
      <c r="P6359" s="387"/>
      <c r="Q6359" s="387"/>
    </row>
    <row r="6360" spans="15:17" ht="20.100000000000001" customHeight="1">
      <c r="O6360" s="387"/>
      <c r="P6360" s="387"/>
      <c r="Q6360" s="387"/>
    </row>
    <row r="6361" spans="15:17" ht="20.100000000000001" customHeight="1">
      <c r="O6361" s="387"/>
      <c r="P6361" s="387"/>
      <c r="Q6361" s="387"/>
    </row>
    <row r="6362" spans="15:17" ht="20.100000000000001" customHeight="1">
      <c r="O6362" s="387"/>
      <c r="P6362" s="387"/>
      <c r="Q6362" s="387"/>
    </row>
    <row r="6363" spans="15:17" ht="20.100000000000001" customHeight="1">
      <c r="O6363" s="387"/>
      <c r="P6363" s="387"/>
      <c r="Q6363" s="387"/>
    </row>
    <row r="6364" spans="15:17" ht="20.100000000000001" customHeight="1">
      <c r="O6364" s="387"/>
      <c r="P6364" s="387"/>
      <c r="Q6364" s="387"/>
    </row>
    <row r="6365" spans="15:17" ht="20.100000000000001" customHeight="1">
      <c r="O6365" s="387"/>
      <c r="P6365" s="387"/>
      <c r="Q6365" s="387"/>
    </row>
    <row r="6366" spans="15:17" ht="20.100000000000001" customHeight="1">
      <c r="O6366" s="387"/>
      <c r="P6366" s="387"/>
      <c r="Q6366" s="387"/>
    </row>
    <row r="6367" spans="15:17" ht="20.100000000000001" customHeight="1">
      <c r="O6367" s="387"/>
      <c r="P6367" s="387"/>
      <c r="Q6367" s="387"/>
    </row>
    <row r="6368" spans="15:17" ht="20.100000000000001" customHeight="1">
      <c r="O6368" s="387"/>
      <c r="P6368" s="387"/>
      <c r="Q6368" s="387"/>
    </row>
    <row r="6369" spans="15:17" ht="20.100000000000001" customHeight="1">
      <c r="O6369" s="387"/>
      <c r="P6369" s="387"/>
      <c r="Q6369" s="387"/>
    </row>
    <row r="6370" spans="15:17" ht="20.100000000000001" customHeight="1">
      <c r="O6370" s="387"/>
      <c r="P6370" s="387"/>
      <c r="Q6370" s="387"/>
    </row>
    <row r="6371" spans="15:17" ht="20.100000000000001" customHeight="1">
      <c r="O6371" s="387"/>
      <c r="P6371" s="387"/>
      <c r="Q6371" s="387"/>
    </row>
    <row r="6372" spans="15:17" ht="20.100000000000001" customHeight="1">
      <c r="O6372" s="387"/>
      <c r="P6372" s="387"/>
      <c r="Q6372" s="387"/>
    </row>
    <row r="6373" spans="15:17" ht="20.100000000000001" customHeight="1">
      <c r="O6373" s="387"/>
      <c r="P6373" s="387"/>
      <c r="Q6373" s="387"/>
    </row>
    <row r="6374" spans="15:17" ht="20.100000000000001" customHeight="1">
      <c r="O6374" s="387"/>
      <c r="P6374" s="387"/>
      <c r="Q6374" s="387"/>
    </row>
    <row r="6375" spans="15:17" ht="20.100000000000001" customHeight="1">
      <c r="O6375" s="387"/>
      <c r="P6375" s="387"/>
      <c r="Q6375" s="387"/>
    </row>
    <row r="6376" spans="15:17" ht="20.100000000000001" customHeight="1">
      <c r="O6376" s="387"/>
      <c r="P6376" s="387"/>
      <c r="Q6376" s="387"/>
    </row>
    <row r="6377" spans="15:17" ht="20.100000000000001" customHeight="1">
      <c r="O6377" s="387"/>
      <c r="P6377" s="387"/>
      <c r="Q6377" s="387"/>
    </row>
    <row r="6378" spans="15:17" ht="20.100000000000001" customHeight="1">
      <c r="O6378" s="387"/>
      <c r="P6378" s="387"/>
      <c r="Q6378" s="387"/>
    </row>
    <row r="6379" spans="15:17" ht="20.100000000000001" customHeight="1">
      <c r="O6379" s="387"/>
      <c r="P6379" s="387"/>
      <c r="Q6379" s="387"/>
    </row>
    <row r="6380" spans="15:17" ht="20.100000000000001" customHeight="1">
      <c r="O6380" s="387"/>
      <c r="P6380" s="387"/>
      <c r="Q6380" s="387"/>
    </row>
    <row r="6381" spans="15:17" ht="20.100000000000001" customHeight="1">
      <c r="O6381" s="387"/>
      <c r="P6381" s="387"/>
      <c r="Q6381" s="387"/>
    </row>
    <row r="6382" spans="15:17" ht="20.100000000000001" customHeight="1">
      <c r="O6382" s="387"/>
      <c r="P6382" s="387"/>
      <c r="Q6382" s="387"/>
    </row>
    <row r="6383" spans="15:17" ht="20.100000000000001" customHeight="1">
      <c r="O6383" s="387"/>
      <c r="P6383" s="387"/>
      <c r="Q6383" s="387"/>
    </row>
    <row r="6384" spans="15:17" ht="20.100000000000001" customHeight="1">
      <c r="O6384" s="387"/>
      <c r="P6384" s="387"/>
      <c r="Q6384" s="387"/>
    </row>
    <row r="6385" spans="15:17" ht="20.100000000000001" customHeight="1">
      <c r="O6385" s="387"/>
      <c r="P6385" s="387"/>
      <c r="Q6385" s="387"/>
    </row>
    <row r="6386" spans="15:17" ht="20.100000000000001" customHeight="1">
      <c r="O6386" s="387"/>
      <c r="P6386" s="387"/>
      <c r="Q6386" s="387"/>
    </row>
    <row r="6387" spans="15:17" ht="20.100000000000001" customHeight="1">
      <c r="O6387" s="387"/>
      <c r="P6387" s="387"/>
      <c r="Q6387" s="387"/>
    </row>
    <row r="6388" spans="15:17" ht="20.100000000000001" customHeight="1">
      <c r="O6388" s="387"/>
      <c r="P6388" s="387"/>
      <c r="Q6388" s="387"/>
    </row>
    <row r="6389" spans="15:17" ht="20.100000000000001" customHeight="1">
      <c r="O6389" s="387"/>
      <c r="P6389" s="387"/>
      <c r="Q6389" s="387"/>
    </row>
    <row r="6390" spans="15:17" ht="20.100000000000001" customHeight="1">
      <c r="O6390" s="387"/>
      <c r="P6390" s="387"/>
      <c r="Q6390" s="387"/>
    </row>
    <row r="6391" spans="15:17" ht="20.100000000000001" customHeight="1">
      <c r="O6391" s="387"/>
      <c r="P6391" s="387"/>
      <c r="Q6391" s="387"/>
    </row>
    <row r="6392" spans="15:17" ht="20.100000000000001" customHeight="1">
      <c r="O6392" s="387"/>
      <c r="P6392" s="387"/>
      <c r="Q6392" s="387"/>
    </row>
    <row r="6393" spans="15:17" ht="20.100000000000001" customHeight="1">
      <c r="O6393" s="387"/>
      <c r="P6393" s="387"/>
      <c r="Q6393" s="387"/>
    </row>
    <row r="6394" spans="15:17" ht="20.100000000000001" customHeight="1">
      <c r="O6394" s="387"/>
      <c r="P6394" s="387"/>
      <c r="Q6394" s="387"/>
    </row>
    <row r="6395" spans="15:17" ht="20.100000000000001" customHeight="1">
      <c r="O6395" s="387"/>
      <c r="P6395" s="387"/>
      <c r="Q6395" s="387"/>
    </row>
    <row r="6396" spans="15:17" ht="20.100000000000001" customHeight="1">
      <c r="O6396" s="387"/>
      <c r="P6396" s="387"/>
      <c r="Q6396" s="387"/>
    </row>
    <row r="6397" spans="15:17" ht="20.100000000000001" customHeight="1">
      <c r="O6397" s="387"/>
      <c r="P6397" s="387"/>
      <c r="Q6397" s="387"/>
    </row>
    <row r="6398" spans="15:17" ht="20.100000000000001" customHeight="1">
      <c r="O6398" s="387"/>
      <c r="P6398" s="387"/>
      <c r="Q6398" s="387"/>
    </row>
    <row r="6399" spans="15:17" ht="20.100000000000001" customHeight="1">
      <c r="O6399" s="387"/>
      <c r="P6399" s="387"/>
      <c r="Q6399" s="387"/>
    </row>
    <row r="6400" spans="15:17" ht="20.100000000000001" customHeight="1">
      <c r="O6400" s="387"/>
      <c r="P6400" s="387"/>
      <c r="Q6400" s="387"/>
    </row>
    <row r="6401" spans="15:17" ht="20.100000000000001" customHeight="1">
      <c r="O6401" s="387"/>
      <c r="P6401" s="387"/>
      <c r="Q6401" s="387"/>
    </row>
    <row r="6402" spans="15:17" ht="20.100000000000001" customHeight="1">
      <c r="O6402" s="387"/>
      <c r="P6402" s="387"/>
      <c r="Q6402" s="387"/>
    </row>
    <row r="6403" spans="15:17" ht="20.100000000000001" customHeight="1">
      <c r="O6403" s="387"/>
      <c r="P6403" s="387"/>
      <c r="Q6403" s="387"/>
    </row>
    <row r="6404" spans="15:17" ht="20.100000000000001" customHeight="1">
      <c r="O6404" s="387"/>
      <c r="P6404" s="387"/>
      <c r="Q6404" s="387"/>
    </row>
    <row r="6405" spans="15:17" ht="20.100000000000001" customHeight="1">
      <c r="O6405" s="387"/>
      <c r="P6405" s="387"/>
      <c r="Q6405" s="387"/>
    </row>
    <row r="6406" spans="15:17" ht="20.100000000000001" customHeight="1">
      <c r="O6406" s="387"/>
      <c r="P6406" s="387"/>
      <c r="Q6406" s="387"/>
    </row>
    <row r="6407" spans="15:17" ht="20.100000000000001" customHeight="1">
      <c r="O6407" s="387"/>
      <c r="P6407" s="387"/>
      <c r="Q6407" s="387"/>
    </row>
    <row r="6408" spans="15:17" ht="20.100000000000001" customHeight="1">
      <c r="O6408" s="387"/>
      <c r="P6408" s="387"/>
      <c r="Q6408" s="387"/>
    </row>
    <row r="6409" spans="15:17" ht="20.100000000000001" customHeight="1">
      <c r="O6409" s="387"/>
      <c r="P6409" s="387"/>
      <c r="Q6409" s="387"/>
    </row>
    <row r="6410" spans="15:17" ht="20.100000000000001" customHeight="1">
      <c r="O6410" s="387"/>
      <c r="P6410" s="387"/>
      <c r="Q6410" s="387"/>
    </row>
    <row r="6411" spans="15:17" ht="20.100000000000001" customHeight="1">
      <c r="O6411" s="387"/>
      <c r="P6411" s="387"/>
      <c r="Q6411" s="387"/>
    </row>
    <row r="6412" spans="15:17" ht="20.100000000000001" customHeight="1">
      <c r="O6412" s="387"/>
      <c r="P6412" s="387"/>
      <c r="Q6412" s="387"/>
    </row>
    <row r="6413" spans="15:17" ht="20.100000000000001" customHeight="1">
      <c r="O6413" s="387"/>
      <c r="P6413" s="387"/>
      <c r="Q6413" s="387"/>
    </row>
    <row r="6414" spans="15:17" ht="20.100000000000001" customHeight="1">
      <c r="O6414" s="387"/>
      <c r="P6414" s="387"/>
      <c r="Q6414" s="387"/>
    </row>
    <row r="6415" spans="15:17" ht="20.100000000000001" customHeight="1">
      <c r="O6415" s="387"/>
      <c r="P6415" s="387"/>
      <c r="Q6415" s="387"/>
    </row>
    <row r="6416" spans="15:17" ht="20.100000000000001" customHeight="1">
      <c r="O6416" s="387"/>
      <c r="P6416" s="387"/>
      <c r="Q6416" s="387"/>
    </row>
    <row r="6417" spans="15:17" ht="20.100000000000001" customHeight="1">
      <c r="O6417" s="387"/>
      <c r="P6417" s="387"/>
      <c r="Q6417" s="387"/>
    </row>
    <row r="6418" spans="15:17" ht="20.100000000000001" customHeight="1">
      <c r="O6418" s="387"/>
      <c r="P6418" s="387"/>
      <c r="Q6418" s="387"/>
    </row>
    <row r="6419" spans="15:17" ht="20.100000000000001" customHeight="1">
      <c r="O6419" s="387"/>
      <c r="P6419" s="387"/>
      <c r="Q6419" s="387"/>
    </row>
    <row r="6420" spans="15:17" ht="20.100000000000001" customHeight="1">
      <c r="O6420" s="387"/>
      <c r="P6420" s="387"/>
      <c r="Q6420" s="387"/>
    </row>
    <row r="6421" spans="15:17" ht="20.100000000000001" customHeight="1">
      <c r="O6421" s="387"/>
      <c r="P6421" s="387"/>
      <c r="Q6421" s="387"/>
    </row>
    <row r="6422" spans="15:17" ht="20.100000000000001" customHeight="1">
      <c r="O6422" s="387"/>
      <c r="P6422" s="387"/>
      <c r="Q6422" s="387"/>
    </row>
    <row r="6423" spans="15:17" ht="20.100000000000001" customHeight="1">
      <c r="O6423" s="387"/>
      <c r="P6423" s="387"/>
      <c r="Q6423" s="387"/>
    </row>
    <row r="6424" spans="15:17" ht="20.100000000000001" customHeight="1">
      <c r="O6424" s="387"/>
      <c r="P6424" s="387"/>
      <c r="Q6424" s="387"/>
    </row>
    <row r="6425" spans="15:17" ht="20.100000000000001" customHeight="1">
      <c r="O6425" s="387"/>
      <c r="P6425" s="387"/>
      <c r="Q6425" s="387"/>
    </row>
    <row r="6426" spans="15:17" ht="20.100000000000001" customHeight="1">
      <c r="O6426" s="387"/>
      <c r="P6426" s="387"/>
      <c r="Q6426" s="387"/>
    </row>
    <row r="6427" spans="15:17" ht="20.100000000000001" customHeight="1">
      <c r="O6427" s="387"/>
      <c r="P6427" s="387"/>
      <c r="Q6427" s="387"/>
    </row>
    <row r="6428" spans="15:17" ht="20.100000000000001" customHeight="1">
      <c r="O6428" s="387"/>
      <c r="P6428" s="387"/>
      <c r="Q6428" s="387"/>
    </row>
    <row r="6429" spans="15:17" ht="20.100000000000001" customHeight="1">
      <c r="O6429" s="387"/>
      <c r="P6429" s="387"/>
      <c r="Q6429" s="387"/>
    </row>
    <row r="6430" spans="15:17" ht="20.100000000000001" customHeight="1">
      <c r="O6430" s="387"/>
      <c r="P6430" s="387"/>
      <c r="Q6430" s="387"/>
    </row>
    <row r="6431" spans="15:17" ht="20.100000000000001" customHeight="1">
      <c r="O6431" s="387"/>
      <c r="P6431" s="387"/>
      <c r="Q6431" s="387"/>
    </row>
    <row r="6432" spans="15:17" ht="20.100000000000001" customHeight="1">
      <c r="O6432" s="387"/>
      <c r="P6432" s="387"/>
      <c r="Q6432" s="387"/>
    </row>
    <row r="6433" spans="15:17" ht="20.100000000000001" customHeight="1">
      <c r="O6433" s="387"/>
      <c r="P6433" s="387"/>
      <c r="Q6433" s="387"/>
    </row>
    <row r="6434" spans="15:17" ht="20.100000000000001" customHeight="1">
      <c r="O6434" s="387"/>
      <c r="P6434" s="387"/>
      <c r="Q6434" s="387"/>
    </row>
    <row r="6435" spans="15:17" ht="20.100000000000001" customHeight="1">
      <c r="O6435" s="387"/>
      <c r="P6435" s="387"/>
      <c r="Q6435" s="387"/>
    </row>
    <row r="6436" spans="15:17" ht="20.100000000000001" customHeight="1">
      <c r="O6436" s="387"/>
      <c r="P6436" s="387"/>
      <c r="Q6436" s="387"/>
    </row>
    <row r="6437" spans="15:17" ht="20.100000000000001" customHeight="1">
      <c r="O6437" s="387"/>
      <c r="P6437" s="387"/>
      <c r="Q6437" s="387"/>
    </row>
    <row r="6438" spans="15:17" ht="20.100000000000001" customHeight="1">
      <c r="O6438" s="387"/>
      <c r="P6438" s="387"/>
      <c r="Q6438" s="387"/>
    </row>
    <row r="6439" spans="15:17" ht="20.100000000000001" customHeight="1">
      <c r="O6439" s="387"/>
      <c r="P6439" s="387"/>
      <c r="Q6439" s="387"/>
    </row>
    <row r="6440" spans="15:17" ht="20.100000000000001" customHeight="1">
      <c r="O6440" s="387"/>
      <c r="P6440" s="387"/>
      <c r="Q6440" s="387"/>
    </row>
    <row r="6441" spans="15:17" ht="20.100000000000001" customHeight="1">
      <c r="O6441" s="387"/>
      <c r="P6441" s="387"/>
      <c r="Q6441" s="387"/>
    </row>
    <row r="6442" spans="15:17" ht="20.100000000000001" customHeight="1">
      <c r="O6442" s="387"/>
      <c r="P6442" s="387"/>
      <c r="Q6442" s="387"/>
    </row>
    <row r="6443" spans="15:17" ht="20.100000000000001" customHeight="1">
      <c r="O6443" s="387"/>
      <c r="P6443" s="387"/>
      <c r="Q6443" s="387"/>
    </row>
    <row r="6444" spans="15:17" ht="20.100000000000001" customHeight="1">
      <c r="O6444" s="387"/>
      <c r="P6444" s="387"/>
      <c r="Q6444" s="387"/>
    </row>
    <row r="6445" spans="15:17" ht="20.100000000000001" customHeight="1">
      <c r="O6445" s="387"/>
      <c r="P6445" s="387"/>
      <c r="Q6445" s="387"/>
    </row>
    <row r="6446" spans="15:17" ht="20.100000000000001" customHeight="1">
      <c r="O6446" s="387"/>
      <c r="P6446" s="387"/>
      <c r="Q6446" s="387"/>
    </row>
    <row r="6447" spans="15:17" ht="20.100000000000001" customHeight="1">
      <c r="O6447" s="387"/>
      <c r="P6447" s="387"/>
      <c r="Q6447" s="387"/>
    </row>
    <row r="6448" spans="15:17" ht="20.100000000000001" customHeight="1">
      <c r="O6448" s="387"/>
      <c r="P6448" s="387"/>
      <c r="Q6448" s="387"/>
    </row>
    <row r="6449" spans="15:17" ht="20.100000000000001" customHeight="1">
      <c r="O6449" s="387"/>
      <c r="P6449" s="387"/>
      <c r="Q6449" s="387"/>
    </row>
    <row r="6450" spans="15:17" ht="20.100000000000001" customHeight="1">
      <c r="O6450" s="387"/>
      <c r="P6450" s="387"/>
      <c r="Q6450" s="387"/>
    </row>
    <row r="6451" spans="15:17" ht="20.100000000000001" customHeight="1">
      <c r="O6451" s="387"/>
      <c r="P6451" s="387"/>
      <c r="Q6451" s="387"/>
    </row>
    <row r="6452" spans="15:17" ht="20.100000000000001" customHeight="1">
      <c r="O6452" s="387"/>
      <c r="P6452" s="387"/>
      <c r="Q6452" s="387"/>
    </row>
    <row r="6453" spans="15:17" ht="20.100000000000001" customHeight="1">
      <c r="O6453" s="387"/>
      <c r="P6453" s="387"/>
      <c r="Q6453" s="387"/>
    </row>
    <row r="6454" spans="15:17" ht="20.100000000000001" customHeight="1">
      <c r="O6454" s="387"/>
      <c r="P6454" s="387"/>
      <c r="Q6454" s="387"/>
    </row>
    <row r="6455" spans="15:17" ht="20.100000000000001" customHeight="1">
      <c r="O6455" s="387"/>
      <c r="P6455" s="387"/>
      <c r="Q6455" s="387"/>
    </row>
    <row r="6456" spans="15:17" ht="20.100000000000001" customHeight="1">
      <c r="O6456" s="387"/>
      <c r="P6456" s="387"/>
      <c r="Q6456" s="387"/>
    </row>
    <row r="6457" spans="15:17" ht="20.100000000000001" customHeight="1">
      <c r="O6457" s="387"/>
      <c r="P6457" s="387"/>
      <c r="Q6457" s="387"/>
    </row>
    <row r="6458" spans="15:17" ht="20.100000000000001" customHeight="1">
      <c r="O6458" s="387"/>
      <c r="P6458" s="387"/>
      <c r="Q6458" s="387"/>
    </row>
    <row r="6459" spans="15:17" ht="20.100000000000001" customHeight="1">
      <c r="O6459" s="387"/>
      <c r="P6459" s="387"/>
      <c r="Q6459" s="387"/>
    </row>
    <row r="6460" spans="15:17" ht="20.100000000000001" customHeight="1">
      <c r="O6460" s="387"/>
      <c r="P6460" s="387"/>
      <c r="Q6460" s="387"/>
    </row>
    <row r="6461" spans="15:17" ht="20.100000000000001" customHeight="1">
      <c r="O6461" s="387"/>
      <c r="P6461" s="387"/>
      <c r="Q6461" s="387"/>
    </row>
    <row r="6462" spans="15:17" ht="20.100000000000001" customHeight="1">
      <c r="O6462" s="387"/>
      <c r="P6462" s="387"/>
      <c r="Q6462" s="387"/>
    </row>
    <row r="6463" spans="15:17" ht="20.100000000000001" customHeight="1">
      <c r="O6463" s="387"/>
      <c r="P6463" s="387"/>
      <c r="Q6463" s="387"/>
    </row>
    <row r="6464" spans="15:17" ht="20.100000000000001" customHeight="1">
      <c r="O6464" s="387"/>
      <c r="P6464" s="387"/>
      <c r="Q6464" s="387"/>
    </row>
    <row r="6465" spans="15:17" ht="20.100000000000001" customHeight="1">
      <c r="O6465" s="387"/>
      <c r="P6465" s="387"/>
      <c r="Q6465" s="387"/>
    </row>
    <row r="6466" spans="15:17" ht="20.100000000000001" customHeight="1">
      <c r="O6466" s="387"/>
      <c r="P6466" s="387"/>
      <c r="Q6466" s="387"/>
    </row>
    <row r="6467" spans="15:17" ht="20.100000000000001" customHeight="1">
      <c r="O6467" s="387"/>
      <c r="P6467" s="387"/>
      <c r="Q6467" s="387"/>
    </row>
    <row r="6468" spans="15:17" ht="20.100000000000001" customHeight="1">
      <c r="O6468" s="387"/>
      <c r="P6468" s="387"/>
      <c r="Q6468" s="387"/>
    </row>
    <row r="6469" spans="15:17" ht="20.100000000000001" customHeight="1">
      <c r="O6469" s="387"/>
      <c r="P6469" s="387"/>
      <c r="Q6469" s="387"/>
    </row>
    <row r="6470" spans="15:17" ht="20.100000000000001" customHeight="1">
      <c r="O6470" s="387"/>
      <c r="P6470" s="387"/>
      <c r="Q6470" s="387"/>
    </row>
    <row r="6471" spans="15:17" ht="20.100000000000001" customHeight="1">
      <c r="O6471" s="387"/>
      <c r="P6471" s="387"/>
      <c r="Q6471" s="387"/>
    </row>
    <row r="6472" spans="15:17" ht="20.100000000000001" customHeight="1">
      <c r="O6472" s="387"/>
      <c r="P6472" s="387"/>
      <c r="Q6472" s="387"/>
    </row>
    <row r="6473" spans="15:17" ht="20.100000000000001" customHeight="1">
      <c r="O6473" s="387"/>
      <c r="P6473" s="387"/>
      <c r="Q6473" s="387"/>
    </row>
    <row r="6474" spans="15:17" ht="20.100000000000001" customHeight="1">
      <c r="O6474" s="387"/>
      <c r="P6474" s="387"/>
      <c r="Q6474" s="387"/>
    </row>
    <row r="6475" spans="15:17" ht="20.100000000000001" customHeight="1">
      <c r="O6475" s="387"/>
      <c r="P6475" s="387"/>
      <c r="Q6475" s="387"/>
    </row>
    <row r="6476" spans="15:17" ht="20.100000000000001" customHeight="1">
      <c r="O6476" s="387"/>
      <c r="P6476" s="387"/>
      <c r="Q6476" s="387"/>
    </row>
    <row r="6477" spans="15:17" ht="20.100000000000001" customHeight="1">
      <c r="O6477" s="387"/>
      <c r="P6477" s="387"/>
      <c r="Q6477" s="387"/>
    </row>
    <row r="6478" spans="15:17" ht="20.100000000000001" customHeight="1">
      <c r="O6478" s="387"/>
      <c r="P6478" s="387"/>
      <c r="Q6478" s="387"/>
    </row>
    <row r="6479" spans="15:17" ht="20.100000000000001" customHeight="1">
      <c r="O6479" s="387"/>
      <c r="P6479" s="387"/>
      <c r="Q6479" s="387"/>
    </row>
    <row r="6480" spans="15:17" ht="20.100000000000001" customHeight="1">
      <c r="O6480" s="387"/>
      <c r="P6480" s="387"/>
      <c r="Q6480" s="387"/>
    </row>
    <row r="6481" spans="15:17" ht="20.100000000000001" customHeight="1">
      <c r="O6481" s="387"/>
      <c r="P6481" s="387"/>
      <c r="Q6481" s="387"/>
    </row>
    <row r="6482" spans="15:17" ht="20.100000000000001" customHeight="1">
      <c r="O6482" s="387"/>
      <c r="P6482" s="387"/>
      <c r="Q6482" s="387"/>
    </row>
    <row r="6483" spans="15:17" ht="20.100000000000001" customHeight="1">
      <c r="O6483" s="387"/>
      <c r="P6483" s="387"/>
      <c r="Q6483" s="387"/>
    </row>
    <row r="6484" spans="15:17" ht="20.100000000000001" customHeight="1">
      <c r="O6484" s="387"/>
      <c r="P6484" s="387"/>
      <c r="Q6484" s="387"/>
    </row>
    <row r="6485" spans="15:17" ht="20.100000000000001" customHeight="1">
      <c r="O6485" s="387"/>
      <c r="P6485" s="387"/>
      <c r="Q6485" s="387"/>
    </row>
    <row r="6486" spans="15:17" ht="20.100000000000001" customHeight="1">
      <c r="O6486" s="387"/>
      <c r="P6486" s="387"/>
      <c r="Q6486" s="387"/>
    </row>
    <row r="6487" spans="15:17" ht="20.100000000000001" customHeight="1">
      <c r="O6487" s="387"/>
      <c r="P6487" s="387"/>
      <c r="Q6487" s="387"/>
    </row>
    <row r="6488" spans="15:17" ht="20.100000000000001" customHeight="1">
      <c r="O6488" s="387"/>
      <c r="P6488" s="387"/>
      <c r="Q6488" s="387"/>
    </row>
    <row r="6489" spans="15:17" ht="20.100000000000001" customHeight="1">
      <c r="O6489" s="387"/>
      <c r="P6489" s="387"/>
      <c r="Q6489" s="387"/>
    </row>
    <row r="6490" spans="15:17" ht="20.100000000000001" customHeight="1">
      <c r="O6490" s="387"/>
      <c r="P6490" s="387"/>
      <c r="Q6490" s="387"/>
    </row>
    <row r="6491" spans="15:17" ht="20.100000000000001" customHeight="1">
      <c r="O6491" s="387"/>
      <c r="P6491" s="387"/>
      <c r="Q6491" s="387"/>
    </row>
    <row r="6492" spans="15:17" ht="20.100000000000001" customHeight="1">
      <c r="O6492" s="387"/>
      <c r="P6492" s="387"/>
      <c r="Q6492" s="387"/>
    </row>
    <row r="6493" spans="15:17" ht="20.100000000000001" customHeight="1">
      <c r="O6493" s="387"/>
      <c r="P6493" s="387"/>
      <c r="Q6493" s="387"/>
    </row>
    <row r="6494" spans="15:17" ht="20.100000000000001" customHeight="1">
      <c r="O6494" s="387"/>
      <c r="P6494" s="387"/>
      <c r="Q6494" s="387"/>
    </row>
    <row r="6495" spans="15:17" ht="20.100000000000001" customHeight="1">
      <c r="O6495" s="387"/>
      <c r="P6495" s="387"/>
      <c r="Q6495" s="387"/>
    </row>
    <row r="6496" spans="15:17" ht="20.100000000000001" customHeight="1">
      <c r="O6496" s="387"/>
      <c r="P6496" s="387"/>
      <c r="Q6496" s="387"/>
    </row>
    <row r="6497" spans="15:17" ht="20.100000000000001" customHeight="1">
      <c r="O6497" s="387"/>
      <c r="P6497" s="387"/>
      <c r="Q6497" s="387"/>
    </row>
    <row r="6498" spans="15:17" ht="20.100000000000001" customHeight="1">
      <c r="O6498" s="387"/>
      <c r="P6498" s="387"/>
      <c r="Q6498" s="387"/>
    </row>
    <row r="6499" spans="15:17" ht="20.100000000000001" customHeight="1">
      <c r="O6499" s="387"/>
      <c r="P6499" s="387"/>
      <c r="Q6499" s="387"/>
    </row>
    <row r="6500" spans="15:17" ht="20.100000000000001" customHeight="1">
      <c r="O6500" s="387"/>
      <c r="P6500" s="387"/>
      <c r="Q6500" s="387"/>
    </row>
    <row r="6501" spans="15:17" ht="20.100000000000001" customHeight="1">
      <c r="O6501" s="387"/>
      <c r="P6501" s="387"/>
      <c r="Q6501" s="387"/>
    </row>
    <row r="6502" spans="15:17" ht="20.100000000000001" customHeight="1">
      <c r="O6502" s="387"/>
      <c r="P6502" s="387"/>
      <c r="Q6502" s="387"/>
    </row>
    <row r="6503" spans="15:17" ht="20.100000000000001" customHeight="1">
      <c r="O6503" s="387"/>
      <c r="P6503" s="387"/>
      <c r="Q6503" s="387"/>
    </row>
    <row r="6504" spans="15:17" ht="20.100000000000001" customHeight="1">
      <c r="O6504" s="387"/>
      <c r="P6504" s="387"/>
      <c r="Q6504" s="387"/>
    </row>
    <row r="6505" spans="15:17" ht="20.100000000000001" customHeight="1">
      <c r="O6505" s="387"/>
      <c r="P6505" s="387"/>
      <c r="Q6505" s="387"/>
    </row>
    <row r="6506" spans="15:17" ht="20.100000000000001" customHeight="1">
      <c r="O6506" s="387"/>
      <c r="P6506" s="387"/>
      <c r="Q6506" s="387"/>
    </row>
    <row r="6507" spans="15:17" ht="20.100000000000001" customHeight="1">
      <c r="O6507" s="387"/>
      <c r="P6507" s="387"/>
      <c r="Q6507" s="387"/>
    </row>
    <row r="6508" spans="15:17" ht="20.100000000000001" customHeight="1">
      <c r="O6508" s="387"/>
      <c r="P6508" s="387"/>
      <c r="Q6508" s="387"/>
    </row>
    <row r="6509" spans="15:17" ht="20.100000000000001" customHeight="1">
      <c r="O6509" s="387"/>
      <c r="P6509" s="387"/>
      <c r="Q6509" s="387"/>
    </row>
    <row r="6510" spans="15:17" ht="20.100000000000001" customHeight="1">
      <c r="O6510" s="387"/>
      <c r="P6510" s="387"/>
      <c r="Q6510" s="387"/>
    </row>
    <row r="6511" spans="15:17" ht="20.100000000000001" customHeight="1">
      <c r="O6511" s="387"/>
      <c r="P6511" s="387"/>
      <c r="Q6511" s="387"/>
    </row>
    <row r="6512" spans="15:17" ht="20.100000000000001" customHeight="1">
      <c r="O6512" s="387"/>
      <c r="P6512" s="387"/>
      <c r="Q6512" s="387"/>
    </row>
    <row r="6513" spans="15:17" ht="20.100000000000001" customHeight="1">
      <c r="O6513" s="387"/>
      <c r="P6513" s="387"/>
      <c r="Q6513" s="387"/>
    </row>
    <row r="6514" spans="15:17" ht="20.100000000000001" customHeight="1">
      <c r="O6514" s="387"/>
      <c r="P6514" s="387"/>
      <c r="Q6514" s="387"/>
    </row>
    <row r="6515" spans="15:17" ht="20.100000000000001" customHeight="1">
      <c r="O6515" s="387"/>
      <c r="P6515" s="387"/>
      <c r="Q6515" s="387"/>
    </row>
    <row r="6516" spans="15:17" ht="20.100000000000001" customHeight="1">
      <c r="O6516" s="387"/>
      <c r="P6516" s="387"/>
      <c r="Q6516" s="387"/>
    </row>
    <row r="6517" spans="15:17" ht="20.100000000000001" customHeight="1">
      <c r="O6517" s="387"/>
      <c r="P6517" s="387"/>
      <c r="Q6517" s="387"/>
    </row>
    <row r="6518" spans="15:17" ht="20.100000000000001" customHeight="1">
      <c r="O6518" s="387"/>
      <c r="P6518" s="387"/>
      <c r="Q6518" s="387"/>
    </row>
    <row r="6519" spans="15:17" ht="20.100000000000001" customHeight="1">
      <c r="O6519" s="387"/>
      <c r="P6519" s="387"/>
      <c r="Q6519" s="387"/>
    </row>
    <row r="6520" spans="15:17" ht="20.100000000000001" customHeight="1">
      <c r="O6520" s="387"/>
      <c r="P6520" s="387"/>
      <c r="Q6520" s="387"/>
    </row>
    <row r="6521" spans="15:17" ht="20.100000000000001" customHeight="1">
      <c r="O6521" s="387"/>
      <c r="P6521" s="387"/>
      <c r="Q6521" s="387"/>
    </row>
    <row r="6522" spans="15:17" ht="20.100000000000001" customHeight="1">
      <c r="O6522" s="387"/>
      <c r="P6522" s="387"/>
      <c r="Q6522" s="387"/>
    </row>
    <row r="6523" spans="15:17" ht="20.100000000000001" customHeight="1">
      <c r="O6523" s="387"/>
      <c r="P6523" s="387"/>
      <c r="Q6523" s="387"/>
    </row>
    <row r="6524" spans="15:17" ht="20.100000000000001" customHeight="1">
      <c r="O6524" s="387"/>
      <c r="P6524" s="387"/>
      <c r="Q6524" s="387"/>
    </row>
    <row r="6525" spans="15:17" ht="20.100000000000001" customHeight="1">
      <c r="O6525" s="387"/>
      <c r="P6525" s="387"/>
      <c r="Q6525" s="387"/>
    </row>
    <row r="6526" spans="15:17" ht="20.100000000000001" customHeight="1">
      <c r="O6526" s="387"/>
      <c r="P6526" s="387"/>
      <c r="Q6526" s="387"/>
    </row>
    <row r="6527" spans="15:17" ht="20.100000000000001" customHeight="1">
      <c r="O6527" s="387"/>
      <c r="P6527" s="387"/>
      <c r="Q6527" s="387"/>
    </row>
    <row r="6528" spans="15:17" ht="20.100000000000001" customHeight="1">
      <c r="O6528" s="387"/>
      <c r="P6528" s="387"/>
      <c r="Q6528" s="387"/>
    </row>
    <row r="6529" spans="15:17" ht="20.100000000000001" customHeight="1">
      <c r="O6529" s="387"/>
      <c r="P6529" s="387"/>
      <c r="Q6529" s="387"/>
    </row>
    <row r="6530" spans="15:17" ht="20.100000000000001" customHeight="1">
      <c r="O6530" s="387"/>
      <c r="P6530" s="387"/>
      <c r="Q6530" s="387"/>
    </row>
    <row r="6531" spans="15:17" ht="20.100000000000001" customHeight="1">
      <c r="O6531" s="387"/>
      <c r="P6531" s="387"/>
      <c r="Q6531" s="387"/>
    </row>
    <row r="6532" spans="15:17" ht="20.100000000000001" customHeight="1">
      <c r="O6532" s="387"/>
      <c r="P6532" s="387"/>
      <c r="Q6532" s="387"/>
    </row>
    <row r="6533" spans="15:17" ht="20.100000000000001" customHeight="1">
      <c r="O6533" s="387"/>
      <c r="P6533" s="387"/>
      <c r="Q6533" s="387"/>
    </row>
    <row r="6534" spans="15:17" ht="20.100000000000001" customHeight="1">
      <c r="O6534" s="387"/>
      <c r="P6534" s="387"/>
      <c r="Q6534" s="387"/>
    </row>
    <row r="6535" spans="15:17" ht="20.100000000000001" customHeight="1">
      <c r="O6535" s="387"/>
      <c r="P6535" s="387"/>
      <c r="Q6535" s="387"/>
    </row>
    <row r="6536" spans="15:17" ht="20.100000000000001" customHeight="1">
      <c r="O6536" s="387"/>
      <c r="P6536" s="387"/>
      <c r="Q6536" s="387"/>
    </row>
    <row r="6537" spans="15:17" ht="20.100000000000001" customHeight="1">
      <c r="O6537" s="387"/>
      <c r="P6537" s="387"/>
      <c r="Q6537" s="387"/>
    </row>
    <row r="6538" spans="15:17" ht="20.100000000000001" customHeight="1">
      <c r="O6538" s="387"/>
      <c r="P6538" s="387"/>
      <c r="Q6538" s="387"/>
    </row>
    <row r="6539" spans="15:17" ht="20.100000000000001" customHeight="1">
      <c r="O6539" s="387"/>
      <c r="P6539" s="387"/>
      <c r="Q6539" s="387"/>
    </row>
    <row r="6540" spans="15:17" ht="20.100000000000001" customHeight="1">
      <c r="O6540" s="387"/>
      <c r="P6540" s="387"/>
      <c r="Q6540" s="387"/>
    </row>
    <row r="6541" spans="15:17" ht="20.100000000000001" customHeight="1">
      <c r="O6541" s="387"/>
      <c r="P6541" s="387"/>
      <c r="Q6541" s="387"/>
    </row>
    <row r="6542" spans="15:17" ht="20.100000000000001" customHeight="1">
      <c r="O6542" s="387"/>
      <c r="P6542" s="387"/>
      <c r="Q6542" s="387"/>
    </row>
    <row r="6543" spans="15:17" ht="20.100000000000001" customHeight="1">
      <c r="O6543" s="387"/>
      <c r="P6543" s="387"/>
      <c r="Q6543" s="387"/>
    </row>
    <row r="6544" spans="15:17" ht="20.100000000000001" customHeight="1">
      <c r="O6544" s="387"/>
      <c r="P6544" s="387"/>
      <c r="Q6544" s="387"/>
    </row>
    <row r="6545" spans="15:17" ht="20.100000000000001" customHeight="1">
      <c r="O6545" s="387"/>
      <c r="P6545" s="387"/>
      <c r="Q6545" s="387"/>
    </row>
    <row r="6546" spans="15:17" ht="20.100000000000001" customHeight="1">
      <c r="O6546" s="387"/>
      <c r="P6546" s="387"/>
      <c r="Q6546" s="387"/>
    </row>
    <row r="6547" spans="15:17" ht="20.100000000000001" customHeight="1">
      <c r="O6547" s="387"/>
      <c r="P6547" s="387"/>
      <c r="Q6547" s="387"/>
    </row>
    <row r="6548" spans="15:17" ht="20.100000000000001" customHeight="1">
      <c r="O6548" s="387"/>
      <c r="P6548" s="387"/>
      <c r="Q6548" s="387"/>
    </row>
    <row r="6549" spans="15:17" ht="20.100000000000001" customHeight="1">
      <c r="O6549" s="387"/>
      <c r="P6549" s="387"/>
      <c r="Q6549" s="387"/>
    </row>
    <row r="6550" spans="15:17" ht="20.100000000000001" customHeight="1">
      <c r="O6550" s="387"/>
      <c r="P6550" s="387"/>
      <c r="Q6550" s="387"/>
    </row>
    <row r="6551" spans="15:17" ht="20.100000000000001" customHeight="1">
      <c r="O6551" s="387"/>
      <c r="P6551" s="387"/>
      <c r="Q6551" s="387"/>
    </row>
    <row r="6552" spans="15:17" ht="20.100000000000001" customHeight="1">
      <c r="O6552" s="387"/>
      <c r="P6552" s="387"/>
      <c r="Q6552" s="387"/>
    </row>
    <row r="6553" spans="15:17" ht="20.100000000000001" customHeight="1">
      <c r="O6553" s="387"/>
      <c r="P6553" s="387"/>
      <c r="Q6553" s="387"/>
    </row>
    <row r="6554" spans="15:17" ht="20.100000000000001" customHeight="1">
      <c r="O6554" s="387"/>
      <c r="P6554" s="387"/>
      <c r="Q6554" s="387"/>
    </row>
    <row r="6555" spans="15:17" ht="20.100000000000001" customHeight="1">
      <c r="O6555" s="387"/>
      <c r="P6555" s="387"/>
      <c r="Q6555" s="387"/>
    </row>
    <row r="6556" spans="15:17" ht="20.100000000000001" customHeight="1">
      <c r="O6556" s="387"/>
      <c r="P6556" s="387"/>
      <c r="Q6556" s="387"/>
    </row>
    <row r="6557" spans="15:17" ht="20.100000000000001" customHeight="1">
      <c r="O6557" s="387"/>
      <c r="P6557" s="387"/>
      <c r="Q6557" s="387"/>
    </row>
    <row r="6558" spans="15:17" ht="20.100000000000001" customHeight="1">
      <c r="O6558" s="387"/>
      <c r="P6558" s="387"/>
      <c r="Q6558" s="387"/>
    </row>
    <row r="6559" spans="15:17" ht="20.100000000000001" customHeight="1">
      <c r="O6559" s="387"/>
      <c r="P6559" s="387"/>
      <c r="Q6559" s="387"/>
    </row>
    <row r="6560" spans="15:17" ht="20.100000000000001" customHeight="1">
      <c r="O6560" s="387"/>
      <c r="P6560" s="387"/>
      <c r="Q6560" s="387"/>
    </row>
    <row r="6561" spans="15:17" ht="20.100000000000001" customHeight="1">
      <c r="O6561" s="387"/>
      <c r="P6561" s="387"/>
      <c r="Q6561" s="387"/>
    </row>
    <row r="6562" spans="15:17" ht="20.100000000000001" customHeight="1">
      <c r="O6562" s="387"/>
      <c r="P6562" s="387"/>
      <c r="Q6562" s="387"/>
    </row>
    <row r="6563" spans="15:17" ht="20.100000000000001" customHeight="1">
      <c r="O6563" s="387"/>
      <c r="P6563" s="387"/>
      <c r="Q6563" s="387"/>
    </row>
    <row r="6564" spans="15:17" ht="20.100000000000001" customHeight="1">
      <c r="O6564" s="387"/>
      <c r="P6564" s="387"/>
      <c r="Q6564" s="387"/>
    </row>
    <row r="6565" spans="15:17" ht="20.100000000000001" customHeight="1">
      <c r="O6565" s="387"/>
      <c r="P6565" s="387"/>
      <c r="Q6565" s="387"/>
    </row>
    <row r="6566" spans="15:17" ht="20.100000000000001" customHeight="1">
      <c r="O6566" s="387"/>
      <c r="P6566" s="387"/>
      <c r="Q6566" s="387"/>
    </row>
    <row r="6567" spans="15:17" ht="20.100000000000001" customHeight="1">
      <c r="O6567" s="387"/>
      <c r="P6567" s="387"/>
      <c r="Q6567" s="387"/>
    </row>
    <row r="6568" spans="15:17" ht="20.100000000000001" customHeight="1">
      <c r="O6568" s="387"/>
      <c r="P6568" s="387"/>
      <c r="Q6568" s="387"/>
    </row>
    <row r="6569" spans="15:17" ht="20.100000000000001" customHeight="1">
      <c r="O6569" s="387"/>
      <c r="P6569" s="387"/>
      <c r="Q6569" s="387"/>
    </row>
    <row r="6570" spans="15:17" ht="20.100000000000001" customHeight="1">
      <c r="O6570" s="387"/>
      <c r="P6570" s="387"/>
      <c r="Q6570" s="387"/>
    </row>
    <row r="6571" spans="15:17" ht="20.100000000000001" customHeight="1">
      <c r="O6571" s="387"/>
      <c r="P6571" s="387"/>
      <c r="Q6571" s="387"/>
    </row>
    <row r="6572" spans="15:17" ht="20.100000000000001" customHeight="1">
      <c r="O6572" s="387"/>
      <c r="P6572" s="387"/>
      <c r="Q6572" s="387"/>
    </row>
    <row r="6573" spans="15:17" ht="20.100000000000001" customHeight="1">
      <c r="O6573" s="387"/>
      <c r="P6573" s="387"/>
      <c r="Q6573" s="387"/>
    </row>
    <row r="6574" spans="15:17" ht="20.100000000000001" customHeight="1">
      <c r="O6574" s="387"/>
      <c r="P6574" s="387"/>
      <c r="Q6574" s="387"/>
    </row>
    <row r="6575" spans="15:17" ht="20.100000000000001" customHeight="1">
      <c r="O6575" s="387"/>
      <c r="P6575" s="387"/>
      <c r="Q6575" s="387"/>
    </row>
    <row r="6576" spans="15:17" ht="20.100000000000001" customHeight="1">
      <c r="O6576" s="387"/>
      <c r="P6576" s="387"/>
      <c r="Q6576" s="387"/>
    </row>
    <row r="6577" spans="15:17" ht="20.100000000000001" customHeight="1">
      <c r="O6577" s="387"/>
      <c r="P6577" s="387"/>
      <c r="Q6577" s="387"/>
    </row>
    <row r="6578" spans="15:17" ht="20.100000000000001" customHeight="1">
      <c r="O6578" s="387"/>
      <c r="P6578" s="387"/>
      <c r="Q6578" s="387"/>
    </row>
    <row r="6579" spans="15:17" ht="20.100000000000001" customHeight="1">
      <c r="O6579" s="387"/>
      <c r="P6579" s="387"/>
      <c r="Q6579" s="387"/>
    </row>
    <row r="6580" spans="15:17" ht="20.100000000000001" customHeight="1">
      <c r="O6580" s="387"/>
      <c r="P6580" s="387"/>
      <c r="Q6580" s="387"/>
    </row>
    <row r="6581" spans="15:17" ht="20.100000000000001" customHeight="1">
      <c r="O6581" s="387"/>
      <c r="P6581" s="387"/>
      <c r="Q6581" s="387"/>
    </row>
    <row r="6582" spans="15:17" ht="20.100000000000001" customHeight="1">
      <c r="O6582" s="387"/>
      <c r="P6582" s="387"/>
      <c r="Q6582" s="387"/>
    </row>
    <row r="6583" spans="15:17" ht="20.100000000000001" customHeight="1">
      <c r="O6583" s="387"/>
      <c r="P6583" s="387"/>
      <c r="Q6583" s="387"/>
    </row>
    <row r="6584" spans="15:17" ht="20.100000000000001" customHeight="1">
      <c r="O6584" s="387"/>
      <c r="P6584" s="387"/>
      <c r="Q6584" s="387"/>
    </row>
    <row r="6585" spans="15:17" ht="20.100000000000001" customHeight="1">
      <c r="O6585" s="387"/>
      <c r="P6585" s="387"/>
      <c r="Q6585" s="387"/>
    </row>
    <row r="6586" spans="15:17" ht="20.100000000000001" customHeight="1">
      <c r="O6586" s="387"/>
      <c r="P6586" s="387"/>
      <c r="Q6586" s="387"/>
    </row>
    <row r="6587" spans="15:17" ht="20.100000000000001" customHeight="1">
      <c r="O6587" s="387"/>
      <c r="P6587" s="387"/>
      <c r="Q6587" s="387"/>
    </row>
    <row r="6588" spans="15:17" ht="20.100000000000001" customHeight="1">
      <c r="O6588" s="387"/>
      <c r="P6588" s="387"/>
      <c r="Q6588" s="387"/>
    </row>
    <row r="6589" spans="15:17" ht="20.100000000000001" customHeight="1">
      <c r="O6589" s="387"/>
      <c r="P6589" s="387"/>
      <c r="Q6589" s="387"/>
    </row>
    <row r="6590" spans="15:17" ht="20.100000000000001" customHeight="1">
      <c r="O6590" s="387"/>
      <c r="P6590" s="387"/>
      <c r="Q6590" s="387"/>
    </row>
    <row r="6591" spans="15:17" ht="20.100000000000001" customHeight="1">
      <c r="O6591" s="387"/>
      <c r="P6591" s="387"/>
      <c r="Q6591" s="387"/>
    </row>
    <row r="6592" spans="15:17" ht="20.100000000000001" customHeight="1">
      <c r="O6592" s="387"/>
      <c r="P6592" s="387"/>
      <c r="Q6592" s="387"/>
    </row>
    <row r="6593" spans="15:17" ht="20.100000000000001" customHeight="1">
      <c r="O6593" s="387"/>
      <c r="P6593" s="387"/>
      <c r="Q6593" s="387"/>
    </row>
    <row r="6594" spans="15:17" ht="20.100000000000001" customHeight="1">
      <c r="O6594" s="387"/>
      <c r="P6594" s="387"/>
      <c r="Q6594" s="387"/>
    </row>
    <row r="6595" spans="15:17" ht="20.100000000000001" customHeight="1">
      <c r="O6595" s="387"/>
      <c r="P6595" s="387"/>
      <c r="Q6595" s="387"/>
    </row>
    <row r="6596" spans="15:17" ht="20.100000000000001" customHeight="1">
      <c r="O6596" s="387"/>
      <c r="P6596" s="387"/>
      <c r="Q6596" s="387"/>
    </row>
    <row r="6597" spans="15:17" ht="20.100000000000001" customHeight="1">
      <c r="O6597" s="387"/>
      <c r="P6597" s="387"/>
      <c r="Q6597" s="387"/>
    </row>
    <row r="6598" spans="15:17" ht="20.100000000000001" customHeight="1">
      <c r="O6598" s="387"/>
      <c r="P6598" s="387"/>
      <c r="Q6598" s="387"/>
    </row>
    <row r="6599" spans="15:17" ht="20.100000000000001" customHeight="1">
      <c r="O6599" s="387"/>
      <c r="P6599" s="387"/>
      <c r="Q6599" s="387"/>
    </row>
    <row r="6600" spans="15:17" ht="20.100000000000001" customHeight="1">
      <c r="O6600" s="387"/>
      <c r="P6600" s="387"/>
      <c r="Q6600" s="387"/>
    </row>
    <row r="6601" spans="15:17" ht="20.100000000000001" customHeight="1">
      <c r="O6601" s="387"/>
      <c r="P6601" s="387"/>
      <c r="Q6601" s="387"/>
    </row>
    <row r="6602" spans="15:17" ht="20.100000000000001" customHeight="1">
      <c r="O6602" s="387"/>
      <c r="P6602" s="387"/>
      <c r="Q6602" s="387"/>
    </row>
    <row r="6603" spans="15:17" ht="20.100000000000001" customHeight="1">
      <c r="O6603" s="387"/>
      <c r="P6603" s="387"/>
      <c r="Q6603" s="387"/>
    </row>
    <row r="6604" spans="15:17" ht="20.100000000000001" customHeight="1">
      <c r="O6604" s="387"/>
      <c r="P6604" s="387"/>
      <c r="Q6604" s="387"/>
    </row>
    <row r="6605" spans="15:17" ht="20.100000000000001" customHeight="1">
      <c r="O6605" s="387"/>
      <c r="P6605" s="387"/>
      <c r="Q6605" s="387"/>
    </row>
    <row r="6606" spans="15:17" ht="20.100000000000001" customHeight="1">
      <c r="O6606" s="387"/>
      <c r="P6606" s="387"/>
      <c r="Q6606" s="387"/>
    </row>
    <row r="6607" spans="15:17" ht="20.100000000000001" customHeight="1">
      <c r="O6607" s="387"/>
      <c r="P6607" s="387"/>
      <c r="Q6607" s="387"/>
    </row>
    <row r="6608" spans="15:17" ht="20.100000000000001" customHeight="1">
      <c r="O6608" s="387"/>
      <c r="P6608" s="387"/>
      <c r="Q6608" s="387"/>
    </row>
    <row r="6609" spans="15:17" ht="20.100000000000001" customHeight="1">
      <c r="O6609" s="387"/>
      <c r="P6609" s="387"/>
      <c r="Q6609" s="387"/>
    </row>
    <row r="6610" spans="15:17" ht="20.100000000000001" customHeight="1">
      <c r="O6610" s="387"/>
      <c r="P6610" s="387"/>
      <c r="Q6610" s="387"/>
    </row>
    <row r="6611" spans="15:17" ht="20.100000000000001" customHeight="1">
      <c r="O6611" s="387"/>
      <c r="P6611" s="387"/>
      <c r="Q6611" s="387"/>
    </row>
    <row r="6612" spans="15:17" ht="20.100000000000001" customHeight="1">
      <c r="O6612" s="387"/>
      <c r="P6612" s="387"/>
      <c r="Q6612" s="387"/>
    </row>
    <row r="6613" spans="15:17" ht="20.100000000000001" customHeight="1">
      <c r="O6613" s="387"/>
      <c r="P6613" s="387"/>
      <c r="Q6613" s="387"/>
    </row>
    <row r="6614" spans="15:17" ht="20.100000000000001" customHeight="1">
      <c r="O6614" s="387"/>
      <c r="P6614" s="387"/>
      <c r="Q6614" s="387"/>
    </row>
    <row r="6615" spans="15:17" ht="20.100000000000001" customHeight="1">
      <c r="O6615" s="387"/>
      <c r="P6615" s="387"/>
      <c r="Q6615" s="387"/>
    </row>
    <row r="6616" spans="15:17" ht="20.100000000000001" customHeight="1">
      <c r="O6616" s="387"/>
      <c r="P6616" s="387"/>
      <c r="Q6616" s="387"/>
    </row>
    <row r="6617" spans="15:17" ht="20.100000000000001" customHeight="1">
      <c r="O6617" s="387"/>
      <c r="P6617" s="387"/>
      <c r="Q6617" s="387"/>
    </row>
    <row r="6618" spans="15:17" ht="20.100000000000001" customHeight="1">
      <c r="O6618" s="387"/>
      <c r="P6618" s="387"/>
      <c r="Q6618" s="387"/>
    </row>
    <row r="6619" spans="15:17" ht="20.100000000000001" customHeight="1">
      <c r="O6619" s="387"/>
      <c r="P6619" s="387"/>
      <c r="Q6619" s="387"/>
    </row>
    <row r="6620" spans="15:17" ht="20.100000000000001" customHeight="1">
      <c r="O6620" s="387"/>
      <c r="P6620" s="387"/>
      <c r="Q6620" s="387"/>
    </row>
    <row r="6621" spans="15:17" ht="20.100000000000001" customHeight="1">
      <c r="O6621" s="387"/>
      <c r="P6621" s="387"/>
      <c r="Q6621" s="387"/>
    </row>
    <row r="6622" spans="15:17" ht="20.100000000000001" customHeight="1">
      <c r="O6622" s="387"/>
      <c r="P6622" s="387"/>
      <c r="Q6622" s="387"/>
    </row>
    <row r="6623" spans="15:17" ht="20.100000000000001" customHeight="1">
      <c r="O6623" s="387"/>
      <c r="P6623" s="387"/>
      <c r="Q6623" s="387"/>
    </row>
    <row r="6624" spans="15:17" ht="20.100000000000001" customHeight="1">
      <c r="O6624" s="387"/>
      <c r="P6624" s="387"/>
      <c r="Q6624" s="387"/>
    </row>
    <row r="6625" spans="15:17" ht="20.100000000000001" customHeight="1">
      <c r="O6625" s="387"/>
      <c r="P6625" s="387"/>
      <c r="Q6625" s="387"/>
    </row>
    <row r="6626" spans="15:17" ht="20.100000000000001" customHeight="1">
      <c r="O6626" s="387"/>
      <c r="P6626" s="387"/>
      <c r="Q6626" s="387"/>
    </row>
    <row r="6627" spans="15:17" ht="20.100000000000001" customHeight="1">
      <c r="O6627" s="387"/>
      <c r="P6627" s="387"/>
      <c r="Q6627" s="387"/>
    </row>
    <row r="6628" spans="15:17" ht="20.100000000000001" customHeight="1">
      <c r="O6628" s="387"/>
      <c r="P6628" s="387"/>
      <c r="Q6628" s="387"/>
    </row>
    <row r="6629" spans="15:17" ht="20.100000000000001" customHeight="1">
      <c r="O6629" s="387"/>
      <c r="P6629" s="387"/>
      <c r="Q6629" s="387"/>
    </row>
    <row r="6630" spans="15:17" ht="20.100000000000001" customHeight="1">
      <c r="O6630" s="387"/>
      <c r="P6630" s="387"/>
      <c r="Q6630" s="387"/>
    </row>
    <row r="6631" spans="15:17" ht="20.100000000000001" customHeight="1">
      <c r="O6631" s="387"/>
      <c r="P6631" s="387"/>
      <c r="Q6631" s="387"/>
    </row>
    <row r="6632" spans="15:17" ht="20.100000000000001" customHeight="1">
      <c r="O6632" s="387"/>
      <c r="P6632" s="387"/>
      <c r="Q6632" s="387"/>
    </row>
    <row r="6633" spans="15:17" ht="20.100000000000001" customHeight="1">
      <c r="O6633" s="387"/>
      <c r="P6633" s="387"/>
      <c r="Q6633" s="387"/>
    </row>
    <row r="6634" spans="15:17" ht="20.100000000000001" customHeight="1">
      <c r="O6634" s="387"/>
      <c r="P6634" s="387"/>
      <c r="Q6634" s="387"/>
    </row>
    <row r="6635" spans="15:17" ht="20.100000000000001" customHeight="1">
      <c r="O6635" s="387"/>
      <c r="P6635" s="387"/>
      <c r="Q6635" s="387"/>
    </row>
    <row r="6636" spans="15:17" ht="20.100000000000001" customHeight="1">
      <c r="O6636" s="387"/>
      <c r="P6636" s="387"/>
      <c r="Q6636" s="387"/>
    </row>
    <row r="6637" spans="15:17" ht="20.100000000000001" customHeight="1">
      <c r="O6637" s="387"/>
      <c r="P6637" s="387"/>
      <c r="Q6637" s="387"/>
    </row>
    <row r="6638" spans="15:17" ht="20.100000000000001" customHeight="1">
      <c r="O6638" s="387"/>
      <c r="P6638" s="387"/>
      <c r="Q6638" s="387"/>
    </row>
    <row r="6639" spans="15:17" ht="20.100000000000001" customHeight="1">
      <c r="O6639" s="387"/>
      <c r="P6639" s="387"/>
      <c r="Q6639" s="387"/>
    </row>
    <row r="6640" spans="15:17" ht="20.100000000000001" customHeight="1">
      <c r="O6640" s="387"/>
      <c r="P6640" s="387"/>
      <c r="Q6640" s="387"/>
    </row>
    <row r="6641" spans="15:17" ht="20.100000000000001" customHeight="1">
      <c r="O6641" s="387"/>
      <c r="P6641" s="387"/>
      <c r="Q6641" s="387"/>
    </row>
    <row r="6642" spans="15:17" ht="20.100000000000001" customHeight="1">
      <c r="O6642" s="387"/>
      <c r="P6642" s="387"/>
      <c r="Q6642" s="387"/>
    </row>
    <row r="6643" spans="15:17" ht="20.100000000000001" customHeight="1">
      <c r="O6643" s="387"/>
      <c r="P6643" s="387"/>
      <c r="Q6643" s="387"/>
    </row>
    <row r="6644" spans="15:17" ht="20.100000000000001" customHeight="1">
      <c r="O6644" s="387"/>
      <c r="P6644" s="387"/>
      <c r="Q6644" s="387"/>
    </row>
    <row r="6645" spans="15:17" ht="20.100000000000001" customHeight="1">
      <c r="O6645" s="387"/>
      <c r="P6645" s="387"/>
      <c r="Q6645" s="387"/>
    </row>
    <row r="6646" spans="15:17" ht="20.100000000000001" customHeight="1">
      <c r="O6646" s="387"/>
      <c r="P6646" s="387"/>
      <c r="Q6646" s="387"/>
    </row>
    <row r="6647" spans="15:17" ht="20.100000000000001" customHeight="1">
      <c r="O6647" s="387"/>
      <c r="P6647" s="387"/>
      <c r="Q6647" s="387"/>
    </row>
    <row r="6648" spans="15:17" ht="20.100000000000001" customHeight="1">
      <c r="O6648" s="387"/>
      <c r="P6648" s="387"/>
      <c r="Q6648" s="387"/>
    </row>
    <row r="6649" spans="15:17" ht="20.100000000000001" customHeight="1">
      <c r="O6649" s="387"/>
      <c r="P6649" s="387"/>
      <c r="Q6649" s="387"/>
    </row>
    <row r="6650" spans="15:17" ht="20.100000000000001" customHeight="1">
      <c r="O6650" s="387"/>
      <c r="P6650" s="387"/>
      <c r="Q6650" s="387"/>
    </row>
    <row r="6651" spans="15:17" ht="20.100000000000001" customHeight="1">
      <c r="O6651" s="387"/>
      <c r="P6651" s="387"/>
      <c r="Q6651" s="387"/>
    </row>
    <row r="6652" spans="15:17" ht="20.100000000000001" customHeight="1">
      <c r="O6652" s="387"/>
      <c r="P6652" s="387"/>
      <c r="Q6652" s="387"/>
    </row>
    <row r="6653" spans="15:17" ht="20.100000000000001" customHeight="1">
      <c r="O6653" s="387"/>
      <c r="P6653" s="387"/>
      <c r="Q6653" s="387"/>
    </row>
    <row r="6654" spans="15:17" ht="20.100000000000001" customHeight="1">
      <c r="O6654" s="387"/>
      <c r="P6654" s="387"/>
      <c r="Q6654" s="387"/>
    </row>
    <row r="6655" spans="15:17" ht="20.100000000000001" customHeight="1">
      <c r="O6655" s="387"/>
      <c r="P6655" s="387"/>
      <c r="Q6655" s="387"/>
    </row>
    <row r="6656" spans="15:17" ht="20.100000000000001" customHeight="1">
      <c r="O6656" s="387"/>
      <c r="P6656" s="387"/>
      <c r="Q6656" s="387"/>
    </row>
    <row r="6657" spans="15:17" ht="20.100000000000001" customHeight="1">
      <c r="O6657" s="387"/>
      <c r="P6657" s="387"/>
      <c r="Q6657" s="387"/>
    </row>
    <row r="6658" spans="15:17" ht="20.100000000000001" customHeight="1">
      <c r="O6658" s="387"/>
      <c r="P6658" s="387"/>
      <c r="Q6658" s="387"/>
    </row>
    <row r="6659" spans="15:17" ht="20.100000000000001" customHeight="1">
      <c r="O6659" s="387"/>
      <c r="P6659" s="387"/>
      <c r="Q6659" s="387"/>
    </row>
    <row r="6660" spans="15:17" ht="20.100000000000001" customHeight="1">
      <c r="O6660" s="387"/>
      <c r="P6660" s="387"/>
      <c r="Q6660" s="387"/>
    </row>
    <row r="6661" spans="15:17" ht="20.100000000000001" customHeight="1">
      <c r="O6661" s="387"/>
      <c r="P6661" s="387"/>
      <c r="Q6661" s="387"/>
    </row>
    <row r="6662" spans="15:17" ht="20.100000000000001" customHeight="1">
      <c r="O6662" s="387"/>
      <c r="P6662" s="387"/>
      <c r="Q6662" s="387"/>
    </row>
    <row r="6663" spans="15:17" ht="20.100000000000001" customHeight="1">
      <c r="O6663" s="387"/>
      <c r="P6663" s="387"/>
      <c r="Q6663" s="387"/>
    </row>
    <row r="6664" spans="15:17" ht="20.100000000000001" customHeight="1">
      <c r="O6664" s="387"/>
      <c r="P6664" s="387"/>
      <c r="Q6664" s="387"/>
    </row>
    <row r="6665" spans="15:17" ht="20.100000000000001" customHeight="1">
      <c r="O6665" s="387"/>
      <c r="P6665" s="387"/>
      <c r="Q6665" s="387"/>
    </row>
    <row r="6666" spans="15:17" ht="20.100000000000001" customHeight="1">
      <c r="O6666" s="387"/>
      <c r="P6666" s="387"/>
      <c r="Q6666" s="387"/>
    </row>
    <row r="6667" spans="15:17" ht="20.100000000000001" customHeight="1">
      <c r="O6667" s="387"/>
      <c r="P6667" s="387"/>
      <c r="Q6667" s="387"/>
    </row>
    <row r="6668" spans="15:17" ht="20.100000000000001" customHeight="1">
      <c r="O6668" s="387"/>
      <c r="P6668" s="387"/>
      <c r="Q6668" s="387"/>
    </row>
    <row r="6669" spans="15:17" ht="20.100000000000001" customHeight="1">
      <c r="O6669" s="387"/>
      <c r="P6669" s="387"/>
      <c r="Q6669" s="387"/>
    </row>
    <row r="6670" spans="15:17" ht="20.100000000000001" customHeight="1">
      <c r="O6670" s="387"/>
      <c r="P6670" s="387"/>
      <c r="Q6670" s="387"/>
    </row>
    <row r="6671" spans="15:17" ht="20.100000000000001" customHeight="1">
      <c r="O6671" s="387"/>
      <c r="P6671" s="387"/>
      <c r="Q6671" s="387"/>
    </row>
    <row r="6672" spans="15:17" ht="20.100000000000001" customHeight="1">
      <c r="O6672" s="387"/>
      <c r="P6672" s="387"/>
      <c r="Q6672" s="387"/>
    </row>
    <row r="6673" spans="15:17" ht="20.100000000000001" customHeight="1">
      <c r="O6673" s="387"/>
      <c r="P6673" s="387"/>
      <c r="Q6673" s="387"/>
    </row>
    <row r="6674" spans="15:17" ht="20.100000000000001" customHeight="1">
      <c r="O6674" s="387"/>
      <c r="P6674" s="387"/>
      <c r="Q6674" s="387"/>
    </row>
    <row r="6675" spans="15:17" ht="20.100000000000001" customHeight="1">
      <c r="O6675" s="387"/>
      <c r="P6675" s="387"/>
      <c r="Q6675" s="387"/>
    </row>
    <row r="6676" spans="15:17" ht="20.100000000000001" customHeight="1">
      <c r="O6676" s="387"/>
      <c r="P6676" s="387"/>
      <c r="Q6676" s="387"/>
    </row>
    <row r="6677" spans="15:17" ht="20.100000000000001" customHeight="1">
      <c r="O6677" s="387"/>
      <c r="P6677" s="387"/>
      <c r="Q6677" s="387"/>
    </row>
    <row r="6678" spans="15:17" ht="20.100000000000001" customHeight="1">
      <c r="O6678" s="387"/>
      <c r="P6678" s="387"/>
      <c r="Q6678" s="387"/>
    </row>
    <row r="6679" spans="15:17" ht="20.100000000000001" customHeight="1">
      <c r="O6679" s="387"/>
      <c r="P6679" s="387"/>
      <c r="Q6679" s="387"/>
    </row>
    <row r="6680" spans="15:17" ht="20.100000000000001" customHeight="1">
      <c r="O6680" s="387"/>
      <c r="P6680" s="387"/>
      <c r="Q6680" s="387"/>
    </row>
    <row r="6681" spans="15:17" ht="20.100000000000001" customHeight="1">
      <c r="O6681" s="387"/>
      <c r="P6681" s="387"/>
      <c r="Q6681" s="387"/>
    </row>
    <row r="6682" spans="15:17" ht="20.100000000000001" customHeight="1">
      <c r="O6682" s="387"/>
      <c r="P6682" s="387"/>
      <c r="Q6682" s="387"/>
    </row>
    <row r="6683" spans="15:17" ht="20.100000000000001" customHeight="1">
      <c r="O6683" s="387"/>
      <c r="P6683" s="387"/>
      <c r="Q6683" s="387"/>
    </row>
    <row r="6684" spans="15:17" ht="20.100000000000001" customHeight="1">
      <c r="O6684" s="387"/>
      <c r="P6684" s="387"/>
      <c r="Q6684" s="387"/>
    </row>
    <row r="6685" spans="15:17" ht="20.100000000000001" customHeight="1">
      <c r="O6685" s="387"/>
      <c r="P6685" s="387"/>
      <c r="Q6685" s="387"/>
    </row>
    <row r="6686" spans="15:17" ht="20.100000000000001" customHeight="1">
      <c r="O6686" s="387"/>
      <c r="P6686" s="387"/>
      <c r="Q6686" s="387"/>
    </row>
    <row r="6687" spans="15:17" ht="20.100000000000001" customHeight="1">
      <c r="O6687" s="387"/>
      <c r="P6687" s="387"/>
      <c r="Q6687" s="387"/>
    </row>
    <row r="6688" spans="15:17" ht="20.100000000000001" customHeight="1">
      <c r="O6688" s="387"/>
      <c r="P6688" s="387"/>
      <c r="Q6688" s="387"/>
    </row>
    <row r="6689" spans="15:17" ht="20.100000000000001" customHeight="1">
      <c r="O6689" s="387"/>
      <c r="P6689" s="387"/>
      <c r="Q6689" s="387"/>
    </row>
    <row r="6690" spans="15:17" ht="20.100000000000001" customHeight="1">
      <c r="O6690" s="387"/>
      <c r="P6690" s="387"/>
      <c r="Q6690" s="387"/>
    </row>
    <row r="6691" spans="15:17" ht="20.100000000000001" customHeight="1">
      <c r="O6691" s="387"/>
      <c r="P6691" s="387"/>
      <c r="Q6691" s="387"/>
    </row>
    <row r="6692" spans="15:17" ht="20.100000000000001" customHeight="1">
      <c r="O6692" s="387"/>
      <c r="P6692" s="387"/>
      <c r="Q6692" s="387"/>
    </row>
    <row r="6693" spans="15:17" ht="20.100000000000001" customHeight="1">
      <c r="O6693" s="387"/>
      <c r="P6693" s="387"/>
      <c r="Q6693" s="387"/>
    </row>
    <row r="6694" spans="15:17" ht="20.100000000000001" customHeight="1">
      <c r="O6694" s="387"/>
      <c r="P6694" s="387"/>
      <c r="Q6694" s="387"/>
    </row>
    <row r="6695" spans="15:17" ht="20.100000000000001" customHeight="1">
      <c r="O6695" s="387"/>
      <c r="P6695" s="387"/>
      <c r="Q6695" s="387"/>
    </row>
    <row r="6696" spans="15:17" ht="20.100000000000001" customHeight="1">
      <c r="O6696" s="387"/>
      <c r="P6696" s="387"/>
      <c r="Q6696" s="387"/>
    </row>
    <row r="6697" spans="15:17" ht="20.100000000000001" customHeight="1">
      <c r="O6697" s="387"/>
      <c r="P6697" s="387"/>
      <c r="Q6697" s="387"/>
    </row>
    <row r="6698" spans="15:17" ht="20.100000000000001" customHeight="1">
      <c r="O6698" s="387"/>
      <c r="P6698" s="387"/>
      <c r="Q6698" s="387"/>
    </row>
    <row r="6699" spans="15:17" ht="20.100000000000001" customHeight="1">
      <c r="O6699" s="387"/>
      <c r="P6699" s="387"/>
      <c r="Q6699" s="387"/>
    </row>
    <row r="6700" spans="15:17" ht="20.100000000000001" customHeight="1">
      <c r="O6700" s="387"/>
      <c r="P6700" s="387"/>
      <c r="Q6700" s="387"/>
    </row>
    <row r="6701" spans="15:17" ht="20.100000000000001" customHeight="1">
      <c r="O6701" s="387"/>
      <c r="P6701" s="387"/>
      <c r="Q6701" s="387"/>
    </row>
    <row r="6702" spans="15:17" ht="20.100000000000001" customHeight="1">
      <c r="O6702" s="387"/>
      <c r="P6702" s="387"/>
      <c r="Q6702" s="387"/>
    </row>
    <row r="6703" spans="15:17" ht="20.100000000000001" customHeight="1">
      <c r="O6703" s="387"/>
      <c r="P6703" s="387"/>
      <c r="Q6703" s="387"/>
    </row>
    <row r="6704" spans="15:17" ht="20.100000000000001" customHeight="1">
      <c r="O6704" s="387"/>
      <c r="P6704" s="387"/>
      <c r="Q6704" s="387"/>
    </row>
    <row r="6705" spans="15:17" ht="20.100000000000001" customHeight="1">
      <c r="O6705" s="387"/>
      <c r="P6705" s="387"/>
      <c r="Q6705" s="387"/>
    </row>
    <row r="6706" spans="15:17" ht="20.100000000000001" customHeight="1">
      <c r="O6706" s="387"/>
      <c r="P6706" s="387"/>
      <c r="Q6706" s="387"/>
    </row>
    <row r="6707" spans="15:17" ht="20.100000000000001" customHeight="1">
      <c r="O6707" s="387"/>
      <c r="P6707" s="387"/>
      <c r="Q6707" s="387"/>
    </row>
    <row r="6708" spans="15:17" ht="20.100000000000001" customHeight="1">
      <c r="O6708" s="387"/>
      <c r="P6708" s="387"/>
      <c r="Q6708" s="387"/>
    </row>
    <row r="6709" spans="15:17" ht="20.100000000000001" customHeight="1">
      <c r="O6709" s="387"/>
      <c r="P6709" s="387"/>
      <c r="Q6709" s="387"/>
    </row>
    <row r="6710" spans="15:17" ht="20.100000000000001" customHeight="1">
      <c r="O6710" s="387"/>
      <c r="P6710" s="387"/>
      <c r="Q6710" s="387"/>
    </row>
    <row r="6711" spans="15:17" ht="20.100000000000001" customHeight="1">
      <c r="O6711" s="387"/>
      <c r="P6711" s="387"/>
      <c r="Q6711" s="387"/>
    </row>
    <row r="6712" spans="15:17" ht="20.100000000000001" customHeight="1">
      <c r="O6712" s="387"/>
      <c r="P6712" s="387"/>
      <c r="Q6712" s="387"/>
    </row>
    <row r="6713" spans="15:17" ht="20.100000000000001" customHeight="1">
      <c r="O6713" s="387"/>
      <c r="P6713" s="387"/>
      <c r="Q6713" s="387"/>
    </row>
    <row r="6714" spans="15:17" ht="20.100000000000001" customHeight="1">
      <c r="O6714" s="387"/>
      <c r="P6714" s="387"/>
      <c r="Q6714" s="387"/>
    </row>
    <row r="6715" spans="15:17" ht="20.100000000000001" customHeight="1">
      <c r="O6715" s="387"/>
      <c r="P6715" s="387"/>
      <c r="Q6715" s="387"/>
    </row>
    <row r="6716" spans="15:17" ht="20.100000000000001" customHeight="1">
      <c r="O6716" s="387"/>
      <c r="P6716" s="387"/>
      <c r="Q6716" s="387"/>
    </row>
    <row r="6717" spans="15:17" ht="20.100000000000001" customHeight="1">
      <c r="O6717" s="387"/>
      <c r="P6717" s="387"/>
      <c r="Q6717" s="387"/>
    </row>
    <row r="6718" spans="15:17" ht="20.100000000000001" customHeight="1">
      <c r="O6718" s="387"/>
      <c r="P6718" s="387"/>
      <c r="Q6718" s="387"/>
    </row>
    <row r="6719" spans="15:17" ht="20.100000000000001" customHeight="1">
      <c r="O6719" s="387"/>
      <c r="P6719" s="387"/>
      <c r="Q6719" s="387"/>
    </row>
    <row r="6720" spans="15:17" ht="20.100000000000001" customHeight="1">
      <c r="O6720" s="387"/>
      <c r="P6720" s="387"/>
      <c r="Q6720" s="387"/>
    </row>
    <row r="6721" spans="15:17" ht="20.100000000000001" customHeight="1">
      <c r="O6721" s="387"/>
      <c r="P6721" s="387"/>
      <c r="Q6721" s="387"/>
    </row>
    <row r="6722" spans="15:17" ht="20.100000000000001" customHeight="1">
      <c r="O6722" s="387"/>
      <c r="P6722" s="387"/>
      <c r="Q6722" s="387"/>
    </row>
    <row r="6723" spans="15:17" ht="20.100000000000001" customHeight="1">
      <c r="O6723" s="387"/>
      <c r="P6723" s="387"/>
      <c r="Q6723" s="387"/>
    </row>
    <row r="6724" spans="15:17" ht="20.100000000000001" customHeight="1">
      <c r="O6724" s="387"/>
      <c r="P6724" s="387"/>
      <c r="Q6724" s="387"/>
    </row>
    <row r="6725" spans="15:17" ht="20.100000000000001" customHeight="1">
      <c r="O6725" s="387"/>
      <c r="P6725" s="387"/>
      <c r="Q6725" s="387"/>
    </row>
    <row r="6726" spans="15:17" ht="20.100000000000001" customHeight="1">
      <c r="O6726" s="387"/>
      <c r="P6726" s="387"/>
      <c r="Q6726" s="387"/>
    </row>
    <row r="6727" spans="15:17" ht="20.100000000000001" customHeight="1">
      <c r="O6727" s="387"/>
      <c r="P6727" s="387"/>
      <c r="Q6727" s="387"/>
    </row>
    <row r="6728" spans="15:17" ht="20.100000000000001" customHeight="1">
      <c r="O6728" s="387"/>
      <c r="P6728" s="387"/>
      <c r="Q6728" s="387"/>
    </row>
    <row r="6729" spans="15:17" ht="20.100000000000001" customHeight="1">
      <c r="O6729" s="387"/>
      <c r="P6729" s="387"/>
      <c r="Q6729" s="387"/>
    </row>
    <row r="6730" spans="15:17" ht="20.100000000000001" customHeight="1">
      <c r="O6730" s="387"/>
      <c r="P6730" s="387"/>
      <c r="Q6730" s="387"/>
    </row>
    <row r="6731" spans="15:17" ht="20.100000000000001" customHeight="1">
      <c r="O6731" s="387"/>
      <c r="P6731" s="387"/>
      <c r="Q6731" s="387"/>
    </row>
    <row r="6732" spans="15:17" ht="20.100000000000001" customHeight="1">
      <c r="O6732" s="387"/>
      <c r="P6732" s="387"/>
      <c r="Q6732" s="387"/>
    </row>
    <row r="6733" spans="15:17" ht="20.100000000000001" customHeight="1">
      <c r="O6733" s="387"/>
      <c r="P6733" s="387"/>
      <c r="Q6733" s="387"/>
    </row>
    <row r="6734" spans="15:17" ht="20.100000000000001" customHeight="1">
      <c r="O6734" s="387"/>
      <c r="P6734" s="387"/>
      <c r="Q6734" s="387"/>
    </row>
    <row r="6735" spans="15:17" ht="20.100000000000001" customHeight="1">
      <c r="O6735" s="387"/>
      <c r="P6735" s="387"/>
      <c r="Q6735" s="387"/>
    </row>
    <row r="6736" spans="15:17" ht="20.100000000000001" customHeight="1">
      <c r="O6736" s="387"/>
      <c r="P6736" s="387"/>
      <c r="Q6736" s="387"/>
    </row>
    <row r="6737" spans="15:17" ht="20.100000000000001" customHeight="1">
      <c r="O6737" s="387"/>
      <c r="P6737" s="387"/>
      <c r="Q6737" s="387"/>
    </row>
    <row r="6738" spans="15:17" ht="20.100000000000001" customHeight="1">
      <c r="O6738" s="387"/>
      <c r="P6738" s="387"/>
      <c r="Q6738" s="387"/>
    </row>
    <row r="6739" spans="15:17" ht="20.100000000000001" customHeight="1">
      <c r="O6739" s="387"/>
      <c r="P6739" s="387"/>
      <c r="Q6739" s="387"/>
    </row>
    <row r="6740" spans="15:17" ht="20.100000000000001" customHeight="1">
      <c r="O6740" s="387"/>
      <c r="P6740" s="387"/>
      <c r="Q6740" s="387"/>
    </row>
    <row r="6741" spans="15:17" ht="20.100000000000001" customHeight="1">
      <c r="O6741" s="387"/>
      <c r="P6741" s="387"/>
      <c r="Q6741" s="387"/>
    </row>
    <row r="6742" spans="15:17" ht="20.100000000000001" customHeight="1">
      <c r="O6742" s="387"/>
      <c r="P6742" s="387"/>
      <c r="Q6742" s="387"/>
    </row>
    <row r="6743" spans="15:17" ht="20.100000000000001" customHeight="1">
      <c r="O6743" s="387"/>
      <c r="P6743" s="387"/>
      <c r="Q6743" s="387"/>
    </row>
    <row r="6744" spans="15:17" ht="20.100000000000001" customHeight="1">
      <c r="O6744" s="387"/>
      <c r="P6744" s="387"/>
      <c r="Q6744" s="387"/>
    </row>
    <row r="6745" spans="15:17" ht="20.100000000000001" customHeight="1">
      <c r="O6745" s="387"/>
      <c r="P6745" s="387"/>
      <c r="Q6745" s="387"/>
    </row>
    <row r="6746" spans="15:17" ht="20.100000000000001" customHeight="1">
      <c r="O6746" s="387"/>
      <c r="P6746" s="387"/>
      <c r="Q6746" s="387"/>
    </row>
    <row r="6747" spans="15:17" ht="20.100000000000001" customHeight="1">
      <c r="O6747" s="387"/>
      <c r="P6747" s="387"/>
      <c r="Q6747" s="387"/>
    </row>
    <row r="6748" spans="15:17" ht="20.100000000000001" customHeight="1">
      <c r="O6748" s="387"/>
      <c r="P6748" s="387"/>
      <c r="Q6748" s="387"/>
    </row>
    <row r="6749" spans="15:17" ht="20.100000000000001" customHeight="1">
      <c r="O6749" s="387"/>
      <c r="P6749" s="387"/>
      <c r="Q6749" s="387"/>
    </row>
    <row r="6750" spans="15:17" ht="20.100000000000001" customHeight="1">
      <c r="O6750" s="387"/>
      <c r="P6750" s="387"/>
      <c r="Q6750" s="387"/>
    </row>
    <row r="6751" spans="15:17" ht="20.100000000000001" customHeight="1">
      <c r="O6751" s="387"/>
      <c r="P6751" s="387"/>
      <c r="Q6751" s="387"/>
    </row>
    <row r="6752" spans="15:17" ht="20.100000000000001" customHeight="1">
      <c r="O6752" s="387"/>
      <c r="P6752" s="387"/>
      <c r="Q6752" s="387"/>
    </row>
    <row r="6753" spans="15:17" ht="20.100000000000001" customHeight="1">
      <c r="O6753" s="387"/>
      <c r="P6753" s="387"/>
      <c r="Q6753" s="387"/>
    </row>
    <row r="6754" spans="15:17" ht="20.100000000000001" customHeight="1">
      <c r="O6754" s="387"/>
      <c r="P6754" s="387"/>
      <c r="Q6754" s="387"/>
    </row>
    <row r="6755" spans="15:17" ht="20.100000000000001" customHeight="1">
      <c r="O6755" s="387"/>
      <c r="P6755" s="387"/>
      <c r="Q6755" s="387"/>
    </row>
    <row r="6756" spans="15:17" ht="20.100000000000001" customHeight="1">
      <c r="O6756" s="387"/>
      <c r="P6756" s="387"/>
      <c r="Q6756" s="387"/>
    </row>
    <row r="6757" spans="15:17" ht="20.100000000000001" customHeight="1">
      <c r="O6757" s="387"/>
      <c r="P6757" s="387"/>
      <c r="Q6757" s="387"/>
    </row>
    <row r="6758" spans="15:17" ht="20.100000000000001" customHeight="1">
      <c r="O6758" s="387"/>
      <c r="P6758" s="387"/>
      <c r="Q6758" s="387"/>
    </row>
    <row r="6759" spans="15:17" ht="20.100000000000001" customHeight="1">
      <c r="O6759" s="387"/>
      <c r="P6759" s="387"/>
      <c r="Q6759" s="387"/>
    </row>
    <row r="6760" spans="15:17" ht="20.100000000000001" customHeight="1">
      <c r="O6760" s="387"/>
      <c r="P6760" s="387"/>
      <c r="Q6760" s="387"/>
    </row>
    <row r="6761" spans="15:17" ht="20.100000000000001" customHeight="1">
      <c r="O6761" s="387"/>
      <c r="P6761" s="387"/>
      <c r="Q6761" s="387"/>
    </row>
    <row r="6762" spans="15:17" ht="20.100000000000001" customHeight="1">
      <c r="O6762" s="387"/>
      <c r="P6762" s="387"/>
      <c r="Q6762" s="387"/>
    </row>
    <row r="6763" spans="15:17" ht="20.100000000000001" customHeight="1">
      <c r="O6763" s="387"/>
      <c r="P6763" s="387"/>
      <c r="Q6763" s="387"/>
    </row>
    <row r="6764" spans="15:17" ht="20.100000000000001" customHeight="1">
      <c r="O6764" s="387"/>
      <c r="P6764" s="387"/>
      <c r="Q6764" s="387"/>
    </row>
    <row r="6765" spans="15:17" ht="20.100000000000001" customHeight="1">
      <c r="O6765" s="387"/>
      <c r="P6765" s="387"/>
      <c r="Q6765" s="387"/>
    </row>
    <row r="6766" spans="15:17" ht="20.100000000000001" customHeight="1">
      <c r="O6766" s="387"/>
      <c r="P6766" s="387"/>
      <c r="Q6766" s="387"/>
    </row>
    <row r="6767" spans="15:17" ht="20.100000000000001" customHeight="1">
      <c r="O6767" s="387"/>
      <c r="P6767" s="387"/>
      <c r="Q6767" s="387"/>
    </row>
    <row r="6768" spans="15:17" ht="20.100000000000001" customHeight="1">
      <c r="O6768" s="387"/>
      <c r="P6768" s="387"/>
      <c r="Q6768" s="387"/>
    </row>
    <row r="6769" spans="15:17" ht="20.100000000000001" customHeight="1">
      <c r="O6769" s="387"/>
      <c r="P6769" s="387"/>
      <c r="Q6769" s="387"/>
    </row>
    <row r="6770" spans="15:17" ht="20.100000000000001" customHeight="1">
      <c r="O6770" s="387"/>
      <c r="P6770" s="387"/>
      <c r="Q6770" s="387"/>
    </row>
    <row r="6771" spans="15:17" ht="20.100000000000001" customHeight="1">
      <c r="O6771" s="387"/>
      <c r="P6771" s="387"/>
      <c r="Q6771" s="387"/>
    </row>
    <row r="6772" spans="15:17" ht="20.100000000000001" customHeight="1">
      <c r="O6772" s="387"/>
      <c r="P6772" s="387"/>
      <c r="Q6772" s="387"/>
    </row>
    <row r="6773" spans="15:17" ht="20.100000000000001" customHeight="1">
      <c r="O6773" s="387"/>
      <c r="P6773" s="387"/>
      <c r="Q6773" s="387"/>
    </row>
    <row r="6774" spans="15:17" ht="20.100000000000001" customHeight="1">
      <c r="O6774" s="387"/>
      <c r="P6774" s="387"/>
      <c r="Q6774" s="387"/>
    </row>
    <row r="6775" spans="15:17" ht="20.100000000000001" customHeight="1">
      <c r="O6775" s="387"/>
      <c r="P6775" s="387"/>
      <c r="Q6775" s="387"/>
    </row>
    <row r="6776" spans="15:17" ht="20.100000000000001" customHeight="1">
      <c r="O6776" s="387"/>
      <c r="P6776" s="387"/>
      <c r="Q6776" s="387"/>
    </row>
    <row r="6777" spans="15:17" ht="20.100000000000001" customHeight="1">
      <c r="O6777" s="387"/>
      <c r="P6777" s="387"/>
      <c r="Q6777" s="387"/>
    </row>
    <row r="6778" spans="15:17" ht="20.100000000000001" customHeight="1">
      <c r="O6778" s="387"/>
      <c r="P6778" s="387"/>
      <c r="Q6778" s="387"/>
    </row>
    <row r="6779" spans="15:17" ht="20.100000000000001" customHeight="1">
      <c r="O6779" s="387"/>
      <c r="P6779" s="387"/>
      <c r="Q6779" s="387"/>
    </row>
    <row r="6780" spans="15:17" ht="20.100000000000001" customHeight="1">
      <c r="O6780" s="387"/>
      <c r="P6780" s="387"/>
      <c r="Q6780" s="387"/>
    </row>
    <row r="6781" spans="15:17" ht="20.100000000000001" customHeight="1">
      <c r="O6781" s="387"/>
      <c r="P6781" s="387"/>
      <c r="Q6781" s="387"/>
    </row>
    <row r="6782" spans="15:17" ht="20.100000000000001" customHeight="1">
      <c r="O6782" s="387"/>
      <c r="P6782" s="387"/>
      <c r="Q6782" s="387"/>
    </row>
    <row r="6783" spans="15:17" ht="20.100000000000001" customHeight="1">
      <c r="O6783" s="387"/>
      <c r="P6783" s="387"/>
      <c r="Q6783" s="387"/>
    </row>
    <row r="6784" spans="15:17" ht="20.100000000000001" customHeight="1">
      <c r="O6784" s="387"/>
      <c r="P6784" s="387"/>
      <c r="Q6784" s="387"/>
    </row>
    <row r="6785" spans="15:17" ht="20.100000000000001" customHeight="1">
      <c r="O6785" s="387"/>
      <c r="P6785" s="387"/>
      <c r="Q6785" s="387"/>
    </row>
    <row r="6786" spans="15:17" ht="20.100000000000001" customHeight="1">
      <c r="O6786" s="387"/>
      <c r="P6786" s="387"/>
      <c r="Q6786" s="387"/>
    </row>
    <row r="6787" spans="15:17" ht="20.100000000000001" customHeight="1">
      <c r="O6787" s="387"/>
      <c r="P6787" s="387"/>
      <c r="Q6787" s="387"/>
    </row>
    <row r="6788" spans="15:17" ht="20.100000000000001" customHeight="1">
      <c r="O6788" s="387"/>
      <c r="P6788" s="387"/>
      <c r="Q6788" s="387"/>
    </row>
    <row r="6789" spans="15:17" ht="20.100000000000001" customHeight="1">
      <c r="O6789" s="387"/>
      <c r="P6789" s="387"/>
      <c r="Q6789" s="387"/>
    </row>
    <row r="6790" spans="15:17" ht="20.100000000000001" customHeight="1">
      <c r="O6790" s="387"/>
      <c r="P6790" s="387"/>
      <c r="Q6790" s="387"/>
    </row>
    <row r="6791" spans="15:17" ht="20.100000000000001" customHeight="1">
      <c r="O6791" s="387"/>
      <c r="P6791" s="387"/>
      <c r="Q6791" s="387"/>
    </row>
    <row r="6792" spans="15:17" ht="20.100000000000001" customHeight="1">
      <c r="O6792" s="387"/>
      <c r="P6792" s="387"/>
      <c r="Q6792" s="387"/>
    </row>
    <row r="6793" spans="15:17" ht="20.100000000000001" customHeight="1">
      <c r="O6793" s="387"/>
      <c r="P6793" s="387"/>
      <c r="Q6793" s="387"/>
    </row>
    <row r="6794" spans="15:17" ht="20.100000000000001" customHeight="1">
      <c r="O6794" s="387"/>
      <c r="P6794" s="387"/>
      <c r="Q6794" s="387"/>
    </row>
    <row r="6795" spans="15:17" ht="20.100000000000001" customHeight="1">
      <c r="O6795" s="387"/>
      <c r="P6795" s="387"/>
      <c r="Q6795" s="387"/>
    </row>
    <row r="6796" spans="15:17" ht="20.100000000000001" customHeight="1">
      <c r="O6796" s="387"/>
      <c r="P6796" s="387"/>
      <c r="Q6796" s="387"/>
    </row>
    <row r="6797" spans="15:17" ht="20.100000000000001" customHeight="1">
      <c r="O6797" s="387"/>
      <c r="P6797" s="387"/>
      <c r="Q6797" s="387"/>
    </row>
    <row r="6798" spans="15:17" ht="20.100000000000001" customHeight="1">
      <c r="O6798" s="387"/>
      <c r="P6798" s="387"/>
      <c r="Q6798" s="387"/>
    </row>
    <row r="6799" spans="15:17" ht="20.100000000000001" customHeight="1">
      <c r="O6799" s="387"/>
      <c r="P6799" s="387"/>
      <c r="Q6799" s="387"/>
    </row>
    <row r="6800" spans="15:17" ht="20.100000000000001" customHeight="1">
      <c r="O6800" s="387"/>
      <c r="P6800" s="387"/>
      <c r="Q6800" s="387"/>
    </row>
    <row r="6801" spans="15:17" ht="20.100000000000001" customHeight="1">
      <c r="O6801" s="387"/>
      <c r="P6801" s="387"/>
      <c r="Q6801" s="387"/>
    </row>
    <row r="6802" spans="15:17" ht="20.100000000000001" customHeight="1">
      <c r="O6802" s="387"/>
      <c r="P6802" s="387"/>
      <c r="Q6802" s="387"/>
    </row>
    <row r="6803" spans="15:17" ht="20.100000000000001" customHeight="1">
      <c r="O6803" s="387"/>
      <c r="P6803" s="387"/>
      <c r="Q6803" s="387"/>
    </row>
    <row r="6804" spans="15:17" ht="20.100000000000001" customHeight="1">
      <c r="O6804" s="387"/>
      <c r="P6804" s="387"/>
      <c r="Q6804" s="387"/>
    </row>
    <row r="6805" spans="15:17" ht="20.100000000000001" customHeight="1">
      <c r="O6805" s="387"/>
      <c r="P6805" s="387"/>
      <c r="Q6805" s="387"/>
    </row>
    <row r="6806" spans="15:17" ht="20.100000000000001" customHeight="1">
      <c r="O6806" s="387"/>
      <c r="P6806" s="387"/>
      <c r="Q6806" s="387"/>
    </row>
    <row r="6807" spans="15:17" ht="20.100000000000001" customHeight="1">
      <c r="O6807" s="387"/>
      <c r="P6807" s="387"/>
      <c r="Q6807" s="387"/>
    </row>
    <row r="6808" spans="15:17" ht="20.100000000000001" customHeight="1">
      <c r="O6808" s="387"/>
      <c r="P6808" s="387"/>
      <c r="Q6808" s="387"/>
    </row>
    <row r="6809" spans="15:17" ht="20.100000000000001" customHeight="1">
      <c r="O6809" s="387"/>
      <c r="P6809" s="387"/>
      <c r="Q6809" s="387"/>
    </row>
    <row r="6810" spans="15:17" ht="20.100000000000001" customHeight="1">
      <c r="O6810" s="387"/>
      <c r="P6810" s="387"/>
      <c r="Q6810" s="387"/>
    </row>
    <row r="6811" spans="15:17" ht="20.100000000000001" customHeight="1">
      <c r="O6811" s="387"/>
      <c r="P6811" s="387"/>
      <c r="Q6811" s="387"/>
    </row>
    <row r="6812" spans="15:17" ht="20.100000000000001" customHeight="1">
      <c r="O6812" s="387"/>
      <c r="P6812" s="387"/>
      <c r="Q6812" s="387"/>
    </row>
    <row r="6813" spans="15:17" ht="20.100000000000001" customHeight="1">
      <c r="O6813" s="387"/>
      <c r="P6813" s="387"/>
      <c r="Q6813" s="387"/>
    </row>
    <row r="6814" spans="15:17" ht="20.100000000000001" customHeight="1">
      <c r="O6814" s="387"/>
      <c r="P6814" s="387"/>
      <c r="Q6814" s="387"/>
    </row>
    <row r="6815" spans="15:17" ht="20.100000000000001" customHeight="1">
      <c r="O6815" s="387"/>
      <c r="P6815" s="387"/>
      <c r="Q6815" s="387"/>
    </row>
    <row r="6816" spans="15:17" ht="20.100000000000001" customHeight="1">
      <c r="O6816" s="387"/>
      <c r="P6816" s="387"/>
      <c r="Q6816" s="387"/>
    </row>
    <row r="6817" spans="15:17" ht="20.100000000000001" customHeight="1">
      <c r="O6817" s="387"/>
      <c r="P6817" s="387"/>
      <c r="Q6817" s="387"/>
    </row>
    <row r="6818" spans="15:17" ht="20.100000000000001" customHeight="1">
      <c r="O6818" s="387"/>
      <c r="P6818" s="387"/>
      <c r="Q6818" s="387"/>
    </row>
    <row r="6819" spans="15:17" ht="20.100000000000001" customHeight="1">
      <c r="O6819" s="387"/>
      <c r="P6819" s="387"/>
      <c r="Q6819" s="387"/>
    </row>
    <row r="6820" spans="15:17" ht="20.100000000000001" customHeight="1">
      <c r="O6820" s="387"/>
      <c r="P6820" s="387"/>
      <c r="Q6820" s="387"/>
    </row>
    <row r="6821" spans="15:17" ht="20.100000000000001" customHeight="1">
      <c r="O6821" s="387"/>
      <c r="P6821" s="387"/>
      <c r="Q6821" s="387"/>
    </row>
    <row r="6822" spans="15:17" ht="20.100000000000001" customHeight="1">
      <c r="O6822" s="387"/>
      <c r="P6822" s="387"/>
      <c r="Q6822" s="387"/>
    </row>
    <row r="6823" spans="15:17" ht="20.100000000000001" customHeight="1">
      <c r="O6823" s="387"/>
      <c r="P6823" s="387"/>
      <c r="Q6823" s="387"/>
    </row>
    <row r="6824" spans="15:17" ht="20.100000000000001" customHeight="1">
      <c r="O6824" s="387"/>
      <c r="P6824" s="387"/>
      <c r="Q6824" s="387"/>
    </row>
    <row r="6825" spans="15:17" ht="20.100000000000001" customHeight="1">
      <c r="O6825" s="387"/>
      <c r="P6825" s="387"/>
      <c r="Q6825" s="387"/>
    </row>
    <row r="6826" spans="15:17" ht="20.100000000000001" customHeight="1">
      <c r="O6826" s="387"/>
      <c r="P6826" s="387"/>
      <c r="Q6826" s="387"/>
    </row>
    <row r="6827" spans="15:17" ht="20.100000000000001" customHeight="1">
      <c r="O6827" s="387"/>
      <c r="P6827" s="387"/>
      <c r="Q6827" s="387"/>
    </row>
    <row r="6828" spans="15:17" ht="20.100000000000001" customHeight="1">
      <c r="O6828" s="387"/>
      <c r="P6828" s="387"/>
      <c r="Q6828" s="387"/>
    </row>
    <row r="6829" spans="15:17" ht="20.100000000000001" customHeight="1">
      <c r="O6829" s="387"/>
      <c r="P6829" s="387"/>
      <c r="Q6829" s="387"/>
    </row>
    <row r="6830" spans="15:17" ht="20.100000000000001" customHeight="1">
      <c r="O6830" s="387"/>
      <c r="P6830" s="387"/>
      <c r="Q6830" s="387"/>
    </row>
    <row r="6831" spans="15:17" ht="20.100000000000001" customHeight="1">
      <c r="O6831" s="387"/>
      <c r="P6831" s="387"/>
      <c r="Q6831" s="387"/>
    </row>
    <row r="6832" spans="15:17" ht="20.100000000000001" customHeight="1">
      <c r="O6832" s="387"/>
      <c r="P6832" s="387"/>
      <c r="Q6832" s="387"/>
    </row>
    <row r="6833" spans="15:17" ht="20.100000000000001" customHeight="1">
      <c r="O6833" s="387"/>
      <c r="P6833" s="387"/>
      <c r="Q6833" s="387"/>
    </row>
    <row r="6834" spans="15:17" ht="20.100000000000001" customHeight="1">
      <c r="O6834" s="387"/>
      <c r="P6834" s="387"/>
      <c r="Q6834" s="387"/>
    </row>
    <row r="6835" spans="15:17" ht="20.100000000000001" customHeight="1">
      <c r="O6835" s="387"/>
      <c r="P6835" s="387"/>
      <c r="Q6835" s="387"/>
    </row>
    <row r="6836" spans="15:17" ht="20.100000000000001" customHeight="1">
      <c r="O6836" s="387"/>
      <c r="P6836" s="387"/>
      <c r="Q6836" s="387"/>
    </row>
    <row r="6837" spans="15:17" ht="20.100000000000001" customHeight="1">
      <c r="O6837" s="387"/>
      <c r="P6837" s="387"/>
      <c r="Q6837" s="387"/>
    </row>
    <row r="6838" spans="15:17" ht="20.100000000000001" customHeight="1">
      <c r="O6838" s="387"/>
      <c r="P6838" s="387"/>
      <c r="Q6838" s="387"/>
    </row>
    <row r="6839" spans="15:17" ht="20.100000000000001" customHeight="1">
      <c r="O6839" s="387"/>
      <c r="P6839" s="387"/>
      <c r="Q6839" s="387"/>
    </row>
    <row r="6840" spans="15:17" ht="20.100000000000001" customHeight="1">
      <c r="O6840" s="387"/>
      <c r="P6840" s="387"/>
      <c r="Q6840" s="387"/>
    </row>
    <row r="6841" spans="15:17" ht="20.100000000000001" customHeight="1">
      <c r="O6841" s="387"/>
      <c r="P6841" s="387"/>
      <c r="Q6841" s="387"/>
    </row>
    <row r="6842" spans="15:17" ht="20.100000000000001" customHeight="1">
      <c r="O6842" s="387"/>
      <c r="P6842" s="387"/>
      <c r="Q6842" s="387"/>
    </row>
    <row r="6843" spans="15:17" ht="20.100000000000001" customHeight="1">
      <c r="O6843" s="387"/>
      <c r="P6843" s="387"/>
      <c r="Q6843" s="387"/>
    </row>
    <row r="6844" spans="15:17" ht="20.100000000000001" customHeight="1">
      <c r="O6844" s="387"/>
      <c r="P6844" s="387"/>
      <c r="Q6844" s="387"/>
    </row>
    <row r="6845" spans="15:17" ht="20.100000000000001" customHeight="1">
      <c r="O6845" s="387"/>
      <c r="P6845" s="387"/>
      <c r="Q6845" s="387"/>
    </row>
    <row r="6846" spans="15:17" ht="20.100000000000001" customHeight="1">
      <c r="O6846" s="387"/>
      <c r="P6846" s="387"/>
      <c r="Q6846" s="387"/>
    </row>
    <row r="6847" spans="15:17" ht="20.100000000000001" customHeight="1">
      <c r="O6847" s="387"/>
      <c r="P6847" s="387"/>
      <c r="Q6847" s="387"/>
    </row>
    <row r="6848" spans="15:17" ht="20.100000000000001" customHeight="1">
      <c r="O6848" s="387"/>
      <c r="P6848" s="387"/>
      <c r="Q6848" s="387"/>
    </row>
    <row r="6849" spans="15:17" ht="20.100000000000001" customHeight="1">
      <c r="O6849" s="387"/>
      <c r="P6849" s="387"/>
      <c r="Q6849" s="387"/>
    </row>
    <row r="6850" spans="15:17" ht="20.100000000000001" customHeight="1">
      <c r="O6850" s="387"/>
      <c r="P6850" s="387"/>
      <c r="Q6850" s="387"/>
    </row>
    <row r="6851" spans="15:17" ht="20.100000000000001" customHeight="1">
      <c r="O6851" s="387"/>
      <c r="P6851" s="387"/>
      <c r="Q6851" s="387"/>
    </row>
    <row r="6852" spans="15:17" ht="20.100000000000001" customHeight="1">
      <c r="O6852" s="387"/>
      <c r="P6852" s="387"/>
      <c r="Q6852" s="387"/>
    </row>
    <row r="6853" spans="15:17" ht="20.100000000000001" customHeight="1">
      <c r="O6853" s="387"/>
      <c r="P6853" s="387"/>
      <c r="Q6853" s="387"/>
    </row>
    <row r="6854" spans="15:17" ht="20.100000000000001" customHeight="1">
      <c r="O6854" s="387"/>
      <c r="P6854" s="387"/>
      <c r="Q6854" s="387"/>
    </row>
    <row r="6855" spans="15:17" ht="20.100000000000001" customHeight="1">
      <c r="O6855" s="387"/>
      <c r="P6855" s="387"/>
      <c r="Q6855" s="387"/>
    </row>
    <row r="6856" spans="15:17" ht="20.100000000000001" customHeight="1">
      <c r="O6856" s="387"/>
      <c r="P6856" s="387"/>
      <c r="Q6856" s="387"/>
    </row>
    <row r="6857" spans="15:17" ht="20.100000000000001" customHeight="1">
      <c r="O6857" s="387"/>
      <c r="P6857" s="387"/>
      <c r="Q6857" s="387"/>
    </row>
    <row r="6858" spans="15:17" ht="20.100000000000001" customHeight="1">
      <c r="O6858" s="387"/>
      <c r="P6858" s="387"/>
      <c r="Q6858" s="387"/>
    </row>
    <row r="6859" spans="15:17" ht="20.100000000000001" customHeight="1">
      <c r="O6859" s="387"/>
      <c r="P6859" s="387"/>
      <c r="Q6859" s="387"/>
    </row>
    <row r="6860" spans="15:17" ht="20.100000000000001" customHeight="1">
      <c r="O6860" s="387"/>
      <c r="P6860" s="387"/>
      <c r="Q6860" s="387"/>
    </row>
    <row r="6861" spans="15:17" ht="20.100000000000001" customHeight="1">
      <c r="O6861" s="387"/>
      <c r="P6861" s="387"/>
      <c r="Q6861" s="387"/>
    </row>
    <row r="6862" spans="15:17" ht="20.100000000000001" customHeight="1">
      <c r="O6862" s="387"/>
      <c r="P6862" s="387"/>
      <c r="Q6862" s="387"/>
    </row>
    <row r="6863" spans="15:17" ht="20.100000000000001" customHeight="1">
      <c r="O6863" s="387"/>
      <c r="P6863" s="387"/>
      <c r="Q6863" s="387"/>
    </row>
    <row r="6864" spans="15:17" ht="20.100000000000001" customHeight="1">
      <c r="O6864" s="387"/>
      <c r="P6864" s="387"/>
      <c r="Q6864" s="387"/>
    </row>
    <row r="6865" spans="15:17" ht="20.100000000000001" customHeight="1">
      <c r="O6865" s="387"/>
      <c r="P6865" s="387"/>
      <c r="Q6865" s="387"/>
    </row>
    <row r="6866" spans="15:17" ht="20.100000000000001" customHeight="1">
      <c r="O6866" s="387"/>
      <c r="P6866" s="387"/>
      <c r="Q6866" s="387"/>
    </row>
    <row r="6867" spans="15:17" ht="20.100000000000001" customHeight="1">
      <c r="O6867" s="387"/>
      <c r="P6867" s="387"/>
      <c r="Q6867" s="387"/>
    </row>
    <row r="6868" spans="15:17" ht="20.100000000000001" customHeight="1">
      <c r="O6868" s="387"/>
      <c r="P6868" s="387"/>
      <c r="Q6868" s="387"/>
    </row>
    <row r="6869" spans="15:17" ht="20.100000000000001" customHeight="1">
      <c r="O6869" s="387"/>
      <c r="P6869" s="387"/>
      <c r="Q6869" s="387"/>
    </row>
    <row r="6870" spans="15:17" ht="20.100000000000001" customHeight="1">
      <c r="O6870" s="387"/>
      <c r="P6870" s="387"/>
      <c r="Q6870" s="387"/>
    </row>
    <row r="6871" spans="15:17" ht="20.100000000000001" customHeight="1">
      <c r="O6871" s="387"/>
      <c r="P6871" s="387"/>
      <c r="Q6871" s="387"/>
    </row>
    <row r="6872" spans="15:17" ht="20.100000000000001" customHeight="1">
      <c r="O6872" s="387"/>
      <c r="P6872" s="387"/>
      <c r="Q6872" s="387"/>
    </row>
    <row r="6873" spans="15:17" ht="20.100000000000001" customHeight="1">
      <c r="O6873" s="387"/>
      <c r="P6873" s="387"/>
      <c r="Q6873" s="387"/>
    </row>
    <row r="6874" spans="15:17" ht="20.100000000000001" customHeight="1">
      <c r="O6874" s="387"/>
      <c r="P6874" s="387"/>
      <c r="Q6874" s="387"/>
    </row>
    <row r="6875" spans="15:17" ht="20.100000000000001" customHeight="1">
      <c r="O6875" s="387"/>
      <c r="P6875" s="387"/>
      <c r="Q6875" s="387"/>
    </row>
    <row r="6876" spans="15:17" ht="20.100000000000001" customHeight="1">
      <c r="O6876" s="387"/>
      <c r="P6876" s="387"/>
      <c r="Q6876" s="387"/>
    </row>
    <row r="6877" spans="15:17" ht="20.100000000000001" customHeight="1">
      <c r="O6877" s="387"/>
      <c r="P6877" s="387"/>
      <c r="Q6877" s="387"/>
    </row>
    <row r="6878" spans="15:17" ht="20.100000000000001" customHeight="1">
      <c r="O6878" s="387"/>
      <c r="P6878" s="387"/>
      <c r="Q6878" s="387"/>
    </row>
    <row r="6879" spans="15:17" ht="20.100000000000001" customHeight="1">
      <c r="O6879" s="387"/>
      <c r="P6879" s="387"/>
      <c r="Q6879" s="387"/>
    </row>
    <row r="6880" spans="15:17" ht="20.100000000000001" customHeight="1">
      <c r="O6880" s="387"/>
      <c r="P6880" s="387"/>
      <c r="Q6880" s="387"/>
    </row>
    <row r="6881" spans="15:17" ht="20.100000000000001" customHeight="1">
      <c r="O6881" s="387"/>
      <c r="P6881" s="387"/>
      <c r="Q6881" s="387"/>
    </row>
    <row r="6882" spans="15:17" ht="20.100000000000001" customHeight="1">
      <c r="O6882" s="387"/>
      <c r="P6882" s="387"/>
      <c r="Q6882" s="387"/>
    </row>
    <row r="6883" spans="15:17" ht="20.100000000000001" customHeight="1">
      <c r="O6883" s="387"/>
      <c r="P6883" s="387"/>
      <c r="Q6883" s="387"/>
    </row>
    <row r="6884" spans="15:17" ht="20.100000000000001" customHeight="1">
      <c r="O6884" s="387"/>
      <c r="P6884" s="387"/>
      <c r="Q6884" s="387"/>
    </row>
    <row r="6885" spans="15:17" ht="20.100000000000001" customHeight="1">
      <c r="O6885" s="387"/>
      <c r="P6885" s="387"/>
      <c r="Q6885" s="387"/>
    </row>
    <row r="6886" spans="15:17" ht="20.100000000000001" customHeight="1">
      <c r="O6886" s="387"/>
      <c r="P6886" s="387"/>
      <c r="Q6886" s="387"/>
    </row>
    <row r="6887" spans="15:17" ht="20.100000000000001" customHeight="1">
      <c r="O6887" s="387"/>
      <c r="P6887" s="387"/>
      <c r="Q6887" s="387"/>
    </row>
    <row r="6888" spans="15:17" ht="20.100000000000001" customHeight="1">
      <c r="O6888" s="387"/>
      <c r="P6888" s="387"/>
      <c r="Q6888" s="387"/>
    </row>
    <row r="6889" spans="15:17" ht="20.100000000000001" customHeight="1">
      <c r="O6889" s="387"/>
      <c r="P6889" s="387"/>
      <c r="Q6889" s="387"/>
    </row>
    <row r="6890" spans="15:17" ht="20.100000000000001" customHeight="1">
      <c r="O6890" s="387"/>
      <c r="P6890" s="387"/>
      <c r="Q6890" s="387"/>
    </row>
    <row r="6891" spans="15:17" ht="20.100000000000001" customHeight="1">
      <c r="O6891" s="387"/>
      <c r="P6891" s="387"/>
      <c r="Q6891" s="387"/>
    </row>
    <row r="6892" spans="15:17" ht="20.100000000000001" customHeight="1">
      <c r="O6892" s="387"/>
      <c r="P6892" s="387"/>
      <c r="Q6892" s="387"/>
    </row>
    <row r="6893" spans="15:17" ht="20.100000000000001" customHeight="1">
      <c r="O6893" s="387"/>
      <c r="P6893" s="387"/>
      <c r="Q6893" s="387"/>
    </row>
    <row r="6894" spans="15:17" ht="20.100000000000001" customHeight="1">
      <c r="O6894" s="387"/>
      <c r="P6894" s="387"/>
      <c r="Q6894" s="387"/>
    </row>
    <row r="6895" spans="15:17" ht="20.100000000000001" customHeight="1">
      <c r="O6895" s="387"/>
      <c r="P6895" s="387"/>
      <c r="Q6895" s="387"/>
    </row>
    <row r="6896" spans="15:17" ht="20.100000000000001" customHeight="1">
      <c r="O6896" s="387"/>
      <c r="P6896" s="387"/>
      <c r="Q6896" s="387"/>
    </row>
    <row r="6897" spans="15:17" ht="20.100000000000001" customHeight="1">
      <c r="O6897" s="387"/>
      <c r="P6897" s="387"/>
      <c r="Q6897" s="387"/>
    </row>
    <row r="6898" spans="15:17" ht="20.100000000000001" customHeight="1">
      <c r="O6898" s="387"/>
      <c r="P6898" s="387"/>
      <c r="Q6898" s="387"/>
    </row>
    <row r="6899" spans="15:17" ht="20.100000000000001" customHeight="1">
      <c r="O6899" s="387"/>
      <c r="P6899" s="387"/>
      <c r="Q6899" s="387"/>
    </row>
    <row r="6900" spans="15:17" ht="20.100000000000001" customHeight="1">
      <c r="O6900" s="387"/>
      <c r="P6900" s="387"/>
      <c r="Q6900" s="387"/>
    </row>
    <row r="6901" spans="15:17" ht="20.100000000000001" customHeight="1">
      <c r="O6901" s="387"/>
      <c r="P6901" s="387"/>
      <c r="Q6901" s="387"/>
    </row>
    <row r="6902" spans="15:17" ht="20.100000000000001" customHeight="1">
      <c r="O6902" s="387"/>
      <c r="P6902" s="387"/>
      <c r="Q6902" s="387"/>
    </row>
    <row r="6903" spans="15:17" ht="20.100000000000001" customHeight="1">
      <c r="O6903" s="387"/>
      <c r="P6903" s="387"/>
      <c r="Q6903" s="387"/>
    </row>
    <row r="6904" spans="15:17" ht="20.100000000000001" customHeight="1">
      <c r="O6904" s="387"/>
      <c r="P6904" s="387"/>
      <c r="Q6904" s="387"/>
    </row>
    <row r="6905" spans="15:17" ht="20.100000000000001" customHeight="1">
      <c r="O6905" s="387"/>
      <c r="P6905" s="387"/>
      <c r="Q6905" s="387"/>
    </row>
    <row r="6906" spans="15:17" ht="20.100000000000001" customHeight="1">
      <c r="O6906" s="387"/>
      <c r="P6906" s="387"/>
      <c r="Q6906" s="387"/>
    </row>
    <row r="6907" spans="15:17" ht="20.100000000000001" customHeight="1">
      <c r="O6907" s="387"/>
      <c r="P6907" s="387"/>
      <c r="Q6907" s="387"/>
    </row>
    <row r="6908" spans="15:17" ht="20.100000000000001" customHeight="1">
      <c r="O6908" s="387"/>
      <c r="P6908" s="387"/>
      <c r="Q6908" s="387"/>
    </row>
    <row r="6909" spans="15:17" ht="20.100000000000001" customHeight="1">
      <c r="O6909" s="387"/>
      <c r="P6909" s="387"/>
      <c r="Q6909" s="387"/>
    </row>
    <row r="6910" spans="15:17" ht="20.100000000000001" customHeight="1">
      <c r="O6910" s="387"/>
      <c r="P6910" s="387"/>
      <c r="Q6910" s="387"/>
    </row>
    <row r="6911" spans="15:17" ht="20.100000000000001" customHeight="1">
      <c r="O6911" s="387"/>
      <c r="P6911" s="387"/>
      <c r="Q6911" s="387"/>
    </row>
    <row r="6912" spans="15:17" ht="20.100000000000001" customHeight="1">
      <c r="O6912" s="387"/>
      <c r="P6912" s="387"/>
      <c r="Q6912" s="387"/>
    </row>
    <row r="6913" spans="15:17" ht="20.100000000000001" customHeight="1">
      <c r="O6913" s="387"/>
      <c r="P6913" s="387"/>
      <c r="Q6913" s="387"/>
    </row>
    <row r="6914" spans="15:17" ht="20.100000000000001" customHeight="1">
      <c r="O6914" s="387"/>
      <c r="P6914" s="387"/>
      <c r="Q6914" s="387"/>
    </row>
    <row r="6915" spans="15:17" ht="20.100000000000001" customHeight="1">
      <c r="O6915" s="387"/>
      <c r="P6915" s="387"/>
      <c r="Q6915" s="387"/>
    </row>
    <row r="6916" spans="15:17" ht="20.100000000000001" customHeight="1">
      <c r="O6916" s="387"/>
      <c r="P6916" s="387"/>
      <c r="Q6916" s="387"/>
    </row>
    <row r="6917" spans="15:17" ht="20.100000000000001" customHeight="1">
      <c r="O6917" s="387"/>
      <c r="P6917" s="387"/>
      <c r="Q6917" s="387"/>
    </row>
    <row r="6918" spans="15:17" ht="20.100000000000001" customHeight="1">
      <c r="O6918" s="387"/>
      <c r="P6918" s="387"/>
      <c r="Q6918" s="387"/>
    </row>
    <row r="6919" spans="15:17" ht="20.100000000000001" customHeight="1">
      <c r="O6919" s="387"/>
      <c r="P6919" s="387"/>
      <c r="Q6919" s="387"/>
    </row>
    <row r="6920" spans="15:17" ht="20.100000000000001" customHeight="1">
      <c r="O6920" s="387"/>
      <c r="P6920" s="387"/>
      <c r="Q6920" s="387"/>
    </row>
    <row r="6921" spans="15:17" ht="20.100000000000001" customHeight="1">
      <c r="O6921" s="387"/>
      <c r="P6921" s="387"/>
      <c r="Q6921" s="387"/>
    </row>
    <row r="6922" spans="15:17" ht="20.100000000000001" customHeight="1">
      <c r="O6922" s="387"/>
      <c r="P6922" s="387"/>
      <c r="Q6922" s="387"/>
    </row>
    <row r="6923" spans="15:17" ht="20.100000000000001" customHeight="1">
      <c r="O6923" s="387"/>
      <c r="P6923" s="387"/>
      <c r="Q6923" s="387"/>
    </row>
    <row r="6924" spans="15:17" ht="20.100000000000001" customHeight="1">
      <c r="O6924" s="387"/>
      <c r="P6924" s="387"/>
      <c r="Q6924" s="387"/>
    </row>
    <row r="6925" spans="15:17" ht="20.100000000000001" customHeight="1">
      <c r="O6925" s="387"/>
      <c r="P6925" s="387"/>
      <c r="Q6925" s="387"/>
    </row>
    <row r="6926" spans="15:17" ht="20.100000000000001" customHeight="1">
      <c r="O6926" s="387"/>
      <c r="P6926" s="387"/>
      <c r="Q6926" s="387"/>
    </row>
    <row r="6927" spans="15:17" ht="20.100000000000001" customHeight="1">
      <c r="O6927" s="387"/>
      <c r="P6927" s="387"/>
      <c r="Q6927" s="387"/>
    </row>
    <row r="6928" spans="15:17" ht="20.100000000000001" customHeight="1">
      <c r="O6928" s="387"/>
      <c r="P6928" s="387"/>
      <c r="Q6928" s="387"/>
    </row>
    <row r="6929" spans="15:17" ht="20.100000000000001" customHeight="1">
      <c r="O6929" s="387"/>
      <c r="P6929" s="387"/>
      <c r="Q6929" s="387"/>
    </row>
    <row r="6930" spans="15:17" ht="20.100000000000001" customHeight="1">
      <c r="O6930" s="387"/>
      <c r="P6930" s="387"/>
      <c r="Q6930" s="387"/>
    </row>
    <row r="6931" spans="15:17" ht="20.100000000000001" customHeight="1">
      <c r="O6931" s="387"/>
      <c r="P6931" s="387"/>
      <c r="Q6931" s="387"/>
    </row>
    <row r="6932" spans="15:17" ht="20.100000000000001" customHeight="1">
      <c r="O6932" s="387"/>
      <c r="P6932" s="387"/>
      <c r="Q6932" s="387"/>
    </row>
    <row r="6933" spans="15:17" ht="20.100000000000001" customHeight="1">
      <c r="O6933" s="387"/>
      <c r="P6933" s="387"/>
      <c r="Q6933" s="387"/>
    </row>
    <row r="6934" spans="15:17" ht="20.100000000000001" customHeight="1">
      <c r="O6934" s="387"/>
      <c r="P6934" s="387"/>
      <c r="Q6934" s="387"/>
    </row>
    <row r="6935" spans="15:17" ht="20.100000000000001" customHeight="1">
      <c r="O6935" s="387"/>
      <c r="P6935" s="387"/>
      <c r="Q6935" s="387"/>
    </row>
    <row r="6936" spans="15:17" ht="20.100000000000001" customHeight="1">
      <c r="O6936" s="387"/>
      <c r="P6936" s="387"/>
      <c r="Q6936" s="387"/>
    </row>
    <row r="6937" spans="15:17" ht="20.100000000000001" customHeight="1">
      <c r="O6937" s="387"/>
      <c r="P6937" s="387"/>
      <c r="Q6937" s="387"/>
    </row>
    <row r="6938" spans="15:17" ht="20.100000000000001" customHeight="1">
      <c r="O6938" s="387"/>
      <c r="P6938" s="387"/>
      <c r="Q6938" s="387"/>
    </row>
    <row r="6939" spans="15:17" ht="20.100000000000001" customHeight="1">
      <c r="O6939" s="387"/>
      <c r="P6939" s="387"/>
      <c r="Q6939" s="387"/>
    </row>
    <row r="6940" spans="15:17" ht="20.100000000000001" customHeight="1">
      <c r="O6940" s="387"/>
      <c r="P6940" s="387"/>
      <c r="Q6940" s="387"/>
    </row>
    <row r="6941" spans="15:17" ht="20.100000000000001" customHeight="1">
      <c r="O6941" s="387"/>
      <c r="P6941" s="387"/>
      <c r="Q6941" s="387"/>
    </row>
    <row r="6942" spans="15:17" ht="20.100000000000001" customHeight="1">
      <c r="O6942" s="387"/>
      <c r="P6942" s="387"/>
      <c r="Q6942" s="387"/>
    </row>
    <row r="6943" spans="15:17" ht="20.100000000000001" customHeight="1">
      <c r="O6943" s="387"/>
      <c r="P6943" s="387"/>
      <c r="Q6943" s="387"/>
    </row>
    <row r="6944" spans="15:17" ht="20.100000000000001" customHeight="1">
      <c r="O6944" s="387"/>
      <c r="P6944" s="387"/>
      <c r="Q6944" s="387"/>
    </row>
    <row r="6945" spans="15:17" ht="20.100000000000001" customHeight="1">
      <c r="O6945" s="387"/>
      <c r="P6945" s="387"/>
      <c r="Q6945" s="387"/>
    </row>
    <row r="6946" spans="15:17" ht="20.100000000000001" customHeight="1">
      <c r="O6946" s="387"/>
      <c r="P6946" s="387"/>
      <c r="Q6946" s="387"/>
    </row>
    <row r="6947" spans="15:17" ht="20.100000000000001" customHeight="1">
      <c r="O6947" s="387"/>
      <c r="P6947" s="387"/>
      <c r="Q6947" s="387"/>
    </row>
    <row r="6948" spans="15:17" ht="20.100000000000001" customHeight="1">
      <c r="O6948" s="387"/>
      <c r="P6948" s="387"/>
      <c r="Q6948" s="387"/>
    </row>
    <row r="6949" spans="15:17" ht="20.100000000000001" customHeight="1">
      <c r="O6949" s="387"/>
      <c r="P6949" s="387"/>
      <c r="Q6949" s="387"/>
    </row>
    <row r="6950" spans="15:17" ht="20.100000000000001" customHeight="1">
      <c r="O6950" s="387"/>
      <c r="P6950" s="387"/>
      <c r="Q6950" s="387"/>
    </row>
    <row r="6951" spans="15:17" ht="20.100000000000001" customHeight="1">
      <c r="O6951" s="387"/>
      <c r="P6951" s="387"/>
      <c r="Q6951" s="387"/>
    </row>
    <row r="6952" spans="15:17" ht="20.100000000000001" customHeight="1">
      <c r="O6952" s="387"/>
      <c r="P6952" s="387"/>
      <c r="Q6952" s="387"/>
    </row>
    <row r="6953" spans="15:17" ht="20.100000000000001" customHeight="1">
      <c r="O6953" s="387"/>
      <c r="P6953" s="387"/>
      <c r="Q6953" s="387"/>
    </row>
    <row r="6954" spans="15:17" ht="20.100000000000001" customHeight="1">
      <c r="O6954" s="387"/>
      <c r="P6954" s="387"/>
      <c r="Q6954" s="387"/>
    </row>
    <row r="6955" spans="15:17" ht="20.100000000000001" customHeight="1">
      <c r="O6955" s="387"/>
      <c r="P6955" s="387"/>
      <c r="Q6955" s="387"/>
    </row>
    <row r="6956" spans="15:17" ht="20.100000000000001" customHeight="1">
      <c r="O6956" s="387"/>
      <c r="P6956" s="387"/>
      <c r="Q6956" s="387"/>
    </row>
    <row r="6957" spans="15:17" ht="20.100000000000001" customHeight="1">
      <c r="O6957" s="387"/>
      <c r="P6957" s="387"/>
      <c r="Q6957" s="387"/>
    </row>
    <row r="6958" spans="15:17" ht="20.100000000000001" customHeight="1">
      <c r="O6958" s="387"/>
      <c r="P6958" s="387"/>
      <c r="Q6958" s="387"/>
    </row>
    <row r="6959" spans="15:17" ht="20.100000000000001" customHeight="1">
      <c r="O6959" s="387"/>
      <c r="P6959" s="387"/>
      <c r="Q6959" s="387"/>
    </row>
    <row r="6960" spans="15:17" ht="20.100000000000001" customHeight="1">
      <c r="O6960" s="387"/>
      <c r="P6960" s="387"/>
      <c r="Q6960" s="387"/>
    </row>
    <row r="6961" spans="15:17" ht="20.100000000000001" customHeight="1">
      <c r="O6961" s="387"/>
      <c r="P6961" s="387"/>
      <c r="Q6961" s="387"/>
    </row>
    <row r="6962" spans="15:17" ht="20.100000000000001" customHeight="1">
      <c r="O6962" s="387"/>
      <c r="P6962" s="387"/>
      <c r="Q6962" s="387"/>
    </row>
    <row r="6963" spans="15:17" ht="20.100000000000001" customHeight="1">
      <c r="O6963" s="387"/>
      <c r="P6963" s="387"/>
      <c r="Q6963" s="387"/>
    </row>
    <row r="6964" spans="15:17" ht="20.100000000000001" customHeight="1">
      <c r="O6964" s="387"/>
      <c r="P6964" s="387"/>
      <c r="Q6964" s="387"/>
    </row>
    <row r="6965" spans="15:17" ht="20.100000000000001" customHeight="1">
      <c r="O6965" s="387"/>
      <c r="P6965" s="387"/>
      <c r="Q6965" s="387"/>
    </row>
    <row r="6966" spans="15:17" ht="20.100000000000001" customHeight="1">
      <c r="O6966" s="387"/>
      <c r="P6966" s="387"/>
      <c r="Q6966" s="387"/>
    </row>
    <row r="6967" spans="15:17" ht="20.100000000000001" customHeight="1">
      <c r="O6967" s="387"/>
      <c r="P6967" s="387"/>
      <c r="Q6967" s="387"/>
    </row>
    <row r="6968" spans="15:17" ht="20.100000000000001" customHeight="1">
      <c r="O6968" s="387"/>
      <c r="P6968" s="387"/>
      <c r="Q6968" s="387"/>
    </row>
    <row r="6969" spans="15:17" ht="20.100000000000001" customHeight="1">
      <c r="O6969" s="387"/>
      <c r="P6969" s="387"/>
      <c r="Q6969" s="387"/>
    </row>
    <row r="6970" spans="15:17" ht="20.100000000000001" customHeight="1">
      <c r="O6970" s="387"/>
      <c r="P6970" s="387"/>
      <c r="Q6970" s="387"/>
    </row>
    <row r="6971" spans="15:17" ht="20.100000000000001" customHeight="1">
      <c r="O6971" s="387"/>
      <c r="P6971" s="387"/>
      <c r="Q6971" s="387"/>
    </row>
    <row r="6972" spans="15:17" ht="20.100000000000001" customHeight="1">
      <c r="O6972" s="387"/>
      <c r="P6972" s="387"/>
      <c r="Q6972" s="387"/>
    </row>
    <row r="6973" spans="15:17" ht="20.100000000000001" customHeight="1">
      <c r="O6973" s="387"/>
      <c r="P6973" s="387"/>
      <c r="Q6973" s="387"/>
    </row>
    <row r="6974" spans="15:17" ht="20.100000000000001" customHeight="1">
      <c r="O6974" s="387"/>
      <c r="P6974" s="387"/>
      <c r="Q6974" s="387"/>
    </row>
    <row r="6975" spans="15:17" ht="20.100000000000001" customHeight="1">
      <c r="O6975" s="387"/>
      <c r="P6975" s="387"/>
      <c r="Q6975" s="387"/>
    </row>
    <row r="6976" spans="15:17" ht="20.100000000000001" customHeight="1">
      <c r="O6976" s="387"/>
      <c r="P6976" s="387"/>
      <c r="Q6976" s="387"/>
    </row>
    <row r="6977" spans="15:17" ht="20.100000000000001" customHeight="1">
      <c r="O6977" s="387"/>
      <c r="P6977" s="387"/>
      <c r="Q6977" s="387"/>
    </row>
    <row r="6978" spans="15:17" ht="20.100000000000001" customHeight="1">
      <c r="O6978" s="387"/>
      <c r="P6978" s="387"/>
      <c r="Q6978" s="387"/>
    </row>
    <row r="6979" spans="15:17" ht="20.100000000000001" customHeight="1">
      <c r="O6979" s="387"/>
      <c r="P6979" s="387"/>
      <c r="Q6979" s="387"/>
    </row>
    <row r="6980" spans="15:17" ht="20.100000000000001" customHeight="1">
      <c r="O6980" s="387"/>
      <c r="P6980" s="387"/>
      <c r="Q6980" s="387"/>
    </row>
    <row r="6981" spans="15:17" ht="20.100000000000001" customHeight="1">
      <c r="O6981" s="387"/>
      <c r="P6981" s="387"/>
      <c r="Q6981" s="387"/>
    </row>
    <row r="6982" spans="15:17" ht="20.100000000000001" customHeight="1">
      <c r="O6982" s="387"/>
      <c r="P6982" s="387"/>
      <c r="Q6982" s="387"/>
    </row>
    <row r="6983" spans="15:17" ht="20.100000000000001" customHeight="1">
      <c r="O6983" s="387"/>
      <c r="P6983" s="387"/>
      <c r="Q6983" s="387"/>
    </row>
    <row r="6984" spans="15:17" ht="20.100000000000001" customHeight="1">
      <c r="O6984" s="387"/>
      <c r="P6984" s="387"/>
      <c r="Q6984" s="387"/>
    </row>
    <row r="6985" spans="15:17" ht="20.100000000000001" customHeight="1">
      <c r="O6985" s="387"/>
      <c r="P6985" s="387"/>
      <c r="Q6985" s="387"/>
    </row>
    <row r="6986" spans="15:17" ht="20.100000000000001" customHeight="1">
      <c r="O6986" s="387"/>
      <c r="P6986" s="387"/>
      <c r="Q6986" s="387"/>
    </row>
    <row r="6987" spans="15:17" ht="20.100000000000001" customHeight="1">
      <c r="O6987" s="387"/>
      <c r="P6987" s="387"/>
      <c r="Q6987" s="387"/>
    </row>
    <row r="6988" spans="15:17" ht="20.100000000000001" customHeight="1">
      <c r="O6988" s="387"/>
      <c r="P6988" s="387"/>
      <c r="Q6988" s="387"/>
    </row>
    <row r="6989" spans="15:17" ht="20.100000000000001" customHeight="1">
      <c r="O6989" s="387"/>
      <c r="P6989" s="387"/>
      <c r="Q6989" s="387"/>
    </row>
    <row r="6990" spans="15:17" ht="20.100000000000001" customHeight="1">
      <c r="O6990" s="387"/>
      <c r="P6990" s="387"/>
      <c r="Q6990" s="387"/>
    </row>
    <row r="6991" spans="15:17" ht="20.100000000000001" customHeight="1">
      <c r="O6991" s="387"/>
      <c r="P6991" s="387"/>
      <c r="Q6991" s="387"/>
    </row>
    <row r="6992" spans="15:17" ht="20.100000000000001" customHeight="1">
      <c r="O6992" s="387"/>
      <c r="P6992" s="387"/>
      <c r="Q6992" s="387"/>
    </row>
    <row r="6993" spans="15:17" ht="20.100000000000001" customHeight="1">
      <c r="O6993" s="387"/>
      <c r="P6993" s="387"/>
      <c r="Q6993" s="387"/>
    </row>
    <row r="6994" spans="15:17" ht="20.100000000000001" customHeight="1">
      <c r="O6994" s="387"/>
      <c r="P6994" s="387"/>
      <c r="Q6994" s="387"/>
    </row>
    <row r="6995" spans="15:17" ht="20.100000000000001" customHeight="1">
      <c r="O6995" s="387"/>
      <c r="P6995" s="387"/>
      <c r="Q6995" s="387"/>
    </row>
    <row r="6996" spans="15:17" ht="20.100000000000001" customHeight="1">
      <c r="O6996" s="387"/>
      <c r="P6996" s="387"/>
      <c r="Q6996" s="387"/>
    </row>
    <row r="6997" spans="15:17" ht="20.100000000000001" customHeight="1">
      <c r="O6997" s="387"/>
      <c r="P6997" s="387"/>
      <c r="Q6997" s="387"/>
    </row>
    <row r="6998" spans="15:17" ht="20.100000000000001" customHeight="1">
      <c r="O6998" s="387"/>
      <c r="P6998" s="387"/>
      <c r="Q6998" s="387"/>
    </row>
    <row r="6999" spans="15:17" ht="20.100000000000001" customHeight="1">
      <c r="O6999" s="387"/>
      <c r="P6999" s="387"/>
      <c r="Q6999" s="387"/>
    </row>
    <row r="7000" spans="15:17" ht="20.100000000000001" customHeight="1">
      <c r="O7000" s="387"/>
      <c r="P7000" s="387"/>
      <c r="Q7000" s="387"/>
    </row>
    <row r="7001" spans="15:17" ht="20.100000000000001" customHeight="1">
      <c r="O7001" s="387"/>
      <c r="P7001" s="387"/>
      <c r="Q7001" s="387"/>
    </row>
    <row r="7002" spans="15:17" ht="20.100000000000001" customHeight="1">
      <c r="O7002" s="387"/>
      <c r="P7002" s="387"/>
      <c r="Q7002" s="387"/>
    </row>
    <row r="7003" spans="15:17" ht="20.100000000000001" customHeight="1">
      <c r="O7003" s="387"/>
      <c r="P7003" s="387"/>
      <c r="Q7003" s="387"/>
    </row>
    <row r="7004" spans="15:17" ht="20.100000000000001" customHeight="1">
      <c r="O7004" s="387"/>
      <c r="P7004" s="387"/>
      <c r="Q7004" s="387"/>
    </row>
    <row r="7005" spans="15:17" ht="20.100000000000001" customHeight="1">
      <c r="O7005" s="387"/>
      <c r="P7005" s="387"/>
      <c r="Q7005" s="387"/>
    </row>
    <row r="7006" spans="15:17" ht="20.100000000000001" customHeight="1">
      <c r="O7006" s="387"/>
      <c r="P7006" s="387"/>
      <c r="Q7006" s="387"/>
    </row>
    <row r="7007" spans="15:17" ht="20.100000000000001" customHeight="1">
      <c r="O7007" s="387"/>
      <c r="P7007" s="387"/>
      <c r="Q7007" s="387"/>
    </row>
    <row r="7008" spans="15:17" ht="20.100000000000001" customHeight="1">
      <c r="O7008" s="387"/>
      <c r="P7008" s="387"/>
      <c r="Q7008" s="387"/>
    </row>
    <row r="7009" spans="15:17" ht="20.100000000000001" customHeight="1">
      <c r="O7009" s="387"/>
      <c r="P7009" s="387"/>
      <c r="Q7009" s="387"/>
    </row>
    <row r="7010" spans="15:17" ht="20.100000000000001" customHeight="1">
      <c r="O7010" s="387"/>
      <c r="P7010" s="387"/>
      <c r="Q7010" s="387"/>
    </row>
    <row r="7011" spans="15:17" ht="20.100000000000001" customHeight="1">
      <c r="O7011" s="387"/>
      <c r="P7011" s="387"/>
      <c r="Q7011" s="387"/>
    </row>
    <row r="7012" spans="15:17" ht="20.100000000000001" customHeight="1">
      <c r="O7012" s="387"/>
      <c r="P7012" s="387"/>
      <c r="Q7012" s="387"/>
    </row>
    <row r="7013" spans="15:17" ht="20.100000000000001" customHeight="1">
      <c r="O7013" s="387"/>
      <c r="P7013" s="387"/>
      <c r="Q7013" s="387"/>
    </row>
    <row r="7014" spans="15:17" ht="20.100000000000001" customHeight="1">
      <c r="O7014" s="387"/>
      <c r="P7014" s="387"/>
      <c r="Q7014" s="387"/>
    </row>
    <row r="7015" spans="15:17" ht="20.100000000000001" customHeight="1">
      <c r="O7015" s="387"/>
      <c r="P7015" s="387"/>
      <c r="Q7015" s="387"/>
    </row>
    <row r="7016" spans="15:17" ht="20.100000000000001" customHeight="1">
      <c r="O7016" s="387"/>
      <c r="P7016" s="387"/>
      <c r="Q7016" s="387"/>
    </row>
    <row r="7017" spans="15:17" ht="20.100000000000001" customHeight="1">
      <c r="O7017" s="387"/>
      <c r="P7017" s="387"/>
      <c r="Q7017" s="387"/>
    </row>
    <row r="7018" spans="15:17" ht="20.100000000000001" customHeight="1">
      <c r="O7018" s="387"/>
      <c r="P7018" s="387"/>
      <c r="Q7018" s="387"/>
    </row>
    <row r="7019" spans="15:17" ht="20.100000000000001" customHeight="1">
      <c r="O7019" s="387"/>
      <c r="P7019" s="387"/>
      <c r="Q7019" s="387"/>
    </row>
    <row r="7020" spans="15:17" ht="20.100000000000001" customHeight="1">
      <c r="O7020" s="387"/>
      <c r="P7020" s="387"/>
      <c r="Q7020" s="387"/>
    </row>
    <row r="7021" spans="15:17" ht="20.100000000000001" customHeight="1">
      <c r="O7021" s="387"/>
      <c r="P7021" s="387"/>
      <c r="Q7021" s="387"/>
    </row>
    <row r="7022" spans="15:17" ht="20.100000000000001" customHeight="1">
      <c r="O7022" s="387"/>
      <c r="P7022" s="387"/>
      <c r="Q7022" s="387"/>
    </row>
    <row r="7023" spans="15:17" ht="20.100000000000001" customHeight="1">
      <c r="O7023" s="387"/>
      <c r="P7023" s="387"/>
      <c r="Q7023" s="387"/>
    </row>
    <row r="7024" spans="15:17" ht="20.100000000000001" customHeight="1">
      <c r="O7024" s="387"/>
      <c r="P7024" s="387"/>
      <c r="Q7024" s="387"/>
    </row>
    <row r="7025" spans="15:17" ht="20.100000000000001" customHeight="1">
      <c r="O7025" s="387"/>
      <c r="P7025" s="387"/>
      <c r="Q7025" s="387"/>
    </row>
    <row r="7026" spans="15:17" ht="20.100000000000001" customHeight="1">
      <c r="O7026" s="387"/>
      <c r="P7026" s="387"/>
      <c r="Q7026" s="387"/>
    </row>
    <row r="7027" spans="15:17" ht="20.100000000000001" customHeight="1">
      <c r="O7027" s="387"/>
      <c r="P7027" s="387"/>
      <c r="Q7027" s="387"/>
    </row>
    <row r="7028" spans="15:17" ht="20.100000000000001" customHeight="1">
      <c r="O7028" s="387"/>
      <c r="P7028" s="387"/>
      <c r="Q7028" s="387"/>
    </row>
    <row r="7029" spans="15:17" ht="20.100000000000001" customHeight="1">
      <c r="O7029" s="387"/>
      <c r="P7029" s="387"/>
      <c r="Q7029" s="387"/>
    </row>
    <row r="7030" spans="15:17" ht="20.100000000000001" customHeight="1">
      <c r="O7030" s="387"/>
      <c r="P7030" s="387"/>
      <c r="Q7030" s="387"/>
    </row>
    <row r="7031" spans="15:17" ht="20.100000000000001" customHeight="1">
      <c r="O7031" s="387"/>
      <c r="P7031" s="387"/>
      <c r="Q7031" s="387"/>
    </row>
    <row r="7032" spans="15:17" ht="20.100000000000001" customHeight="1">
      <c r="O7032" s="387"/>
      <c r="P7032" s="387"/>
      <c r="Q7032" s="387"/>
    </row>
    <row r="7033" spans="15:17" ht="20.100000000000001" customHeight="1">
      <c r="O7033" s="387"/>
      <c r="P7033" s="387"/>
      <c r="Q7033" s="387"/>
    </row>
    <row r="7034" spans="15:17" ht="20.100000000000001" customHeight="1">
      <c r="O7034" s="387"/>
      <c r="P7034" s="387"/>
      <c r="Q7034" s="387"/>
    </row>
    <row r="7035" spans="15:17" ht="20.100000000000001" customHeight="1">
      <c r="O7035" s="387"/>
      <c r="P7035" s="387"/>
      <c r="Q7035" s="387"/>
    </row>
    <row r="7036" spans="15:17" ht="20.100000000000001" customHeight="1">
      <c r="O7036" s="387"/>
      <c r="P7036" s="387"/>
      <c r="Q7036" s="387"/>
    </row>
    <row r="7037" spans="15:17" ht="20.100000000000001" customHeight="1">
      <c r="O7037" s="387"/>
      <c r="P7037" s="387"/>
      <c r="Q7037" s="387"/>
    </row>
    <row r="7038" spans="15:17" ht="20.100000000000001" customHeight="1">
      <c r="O7038" s="387"/>
      <c r="P7038" s="387"/>
      <c r="Q7038" s="387"/>
    </row>
    <row r="7039" spans="15:17" ht="20.100000000000001" customHeight="1">
      <c r="O7039" s="387"/>
      <c r="P7039" s="387"/>
      <c r="Q7039" s="387"/>
    </row>
    <row r="7040" spans="15:17" ht="20.100000000000001" customHeight="1">
      <c r="O7040" s="387"/>
      <c r="P7040" s="387"/>
      <c r="Q7040" s="387"/>
    </row>
    <row r="7041" spans="15:17" ht="20.100000000000001" customHeight="1">
      <c r="O7041" s="387"/>
      <c r="P7041" s="387"/>
      <c r="Q7041" s="387"/>
    </row>
    <row r="7042" spans="15:17" ht="20.100000000000001" customHeight="1">
      <c r="O7042" s="387"/>
      <c r="P7042" s="387"/>
      <c r="Q7042" s="387"/>
    </row>
    <row r="7043" spans="15:17" ht="20.100000000000001" customHeight="1">
      <c r="O7043" s="387"/>
      <c r="P7043" s="387"/>
      <c r="Q7043" s="387"/>
    </row>
    <row r="7044" spans="15:17" ht="20.100000000000001" customHeight="1">
      <c r="O7044" s="387"/>
      <c r="P7044" s="387"/>
      <c r="Q7044" s="387"/>
    </row>
    <row r="7045" spans="15:17" ht="20.100000000000001" customHeight="1">
      <c r="O7045" s="387"/>
      <c r="P7045" s="387"/>
      <c r="Q7045" s="387"/>
    </row>
    <row r="7046" spans="15:17" ht="20.100000000000001" customHeight="1">
      <c r="O7046" s="387"/>
      <c r="P7046" s="387"/>
      <c r="Q7046" s="387"/>
    </row>
    <row r="7047" spans="15:17" ht="20.100000000000001" customHeight="1">
      <c r="O7047" s="387"/>
      <c r="P7047" s="387"/>
      <c r="Q7047" s="387"/>
    </row>
    <row r="7048" spans="15:17" ht="20.100000000000001" customHeight="1">
      <c r="O7048" s="387"/>
      <c r="P7048" s="387"/>
      <c r="Q7048" s="387"/>
    </row>
    <row r="7049" spans="15:17" ht="20.100000000000001" customHeight="1">
      <c r="O7049" s="387"/>
      <c r="P7049" s="387"/>
      <c r="Q7049" s="387"/>
    </row>
    <row r="7050" spans="15:17" ht="20.100000000000001" customHeight="1">
      <c r="O7050" s="387"/>
      <c r="P7050" s="387"/>
      <c r="Q7050" s="387"/>
    </row>
    <row r="7051" spans="15:17" ht="20.100000000000001" customHeight="1">
      <c r="O7051" s="387"/>
      <c r="P7051" s="387"/>
      <c r="Q7051" s="387"/>
    </row>
    <row r="7052" spans="15:17" ht="20.100000000000001" customHeight="1">
      <c r="O7052" s="387"/>
      <c r="P7052" s="387"/>
      <c r="Q7052" s="387"/>
    </row>
    <row r="7053" spans="15:17" ht="20.100000000000001" customHeight="1">
      <c r="O7053" s="387"/>
      <c r="P7053" s="387"/>
      <c r="Q7053" s="387"/>
    </row>
    <row r="7054" spans="15:17" ht="20.100000000000001" customHeight="1">
      <c r="O7054" s="387"/>
      <c r="P7054" s="387"/>
      <c r="Q7054" s="387"/>
    </row>
    <row r="7055" spans="15:17" ht="20.100000000000001" customHeight="1">
      <c r="O7055" s="387"/>
      <c r="P7055" s="387"/>
      <c r="Q7055" s="387"/>
    </row>
    <row r="7056" spans="15:17" ht="20.100000000000001" customHeight="1">
      <c r="O7056" s="387"/>
      <c r="P7056" s="387"/>
      <c r="Q7056" s="387"/>
    </row>
    <row r="7057" spans="15:17" ht="20.100000000000001" customHeight="1">
      <c r="O7057" s="387"/>
      <c r="P7057" s="387"/>
      <c r="Q7057" s="387"/>
    </row>
    <row r="7058" spans="15:17" ht="20.100000000000001" customHeight="1">
      <c r="O7058" s="387"/>
      <c r="P7058" s="387"/>
      <c r="Q7058" s="387"/>
    </row>
    <row r="7059" spans="15:17" ht="20.100000000000001" customHeight="1">
      <c r="O7059" s="387"/>
      <c r="P7059" s="387"/>
      <c r="Q7059" s="387"/>
    </row>
    <row r="7060" spans="15:17" ht="20.100000000000001" customHeight="1">
      <c r="O7060" s="387"/>
      <c r="P7060" s="387"/>
      <c r="Q7060" s="387"/>
    </row>
    <row r="7061" spans="15:17" ht="20.100000000000001" customHeight="1">
      <c r="O7061" s="387"/>
      <c r="P7061" s="387"/>
      <c r="Q7061" s="387"/>
    </row>
    <row r="7062" spans="15:17" ht="20.100000000000001" customHeight="1">
      <c r="O7062" s="387"/>
      <c r="P7062" s="387"/>
      <c r="Q7062" s="387"/>
    </row>
    <row r="7063" spans="15:17" ht="20.100000000000001" customHeight="1">
      <c r="O7063" s="387"/>
      <c r="P7063" s="387"/>
      <c r="Q7063" s="387"/>
    </row>
    <row r="7064" spans="15:17" ht="20.100000000000001" customHeight="1">
      <c r="O7064" s="387"/>
      <c r="P7064" s="387"/>
      <c r="Q7064" s="387"/>
    </row>
    <row r="7065" spans="15:17" ht="20.100000000000001" customHeight="1">
      <c r="O7065" s="387"/>
      <c r="P7065" s="387"/>
      <c r="Q7065" s="387"/>
    </row>
    <row r="7066" spans="15:17" ht="20.100000000000001" customHeight="1">
      <c r="O7066" s="387"/>
      <c r="P7066" s="387"/>
      <c r="Q7066" s="387"/>
    </row>
    <row r="7067" spans="15:17" ht="20.100000000000001" customHeight="1">
      <c r="O7067" s="387"/>
      <c r="P7067" s="387"/>
      <c r="Q7067" s="387"/>
    </row>
    <row r="7068" spans="15:17" ht="20.100000000000001" customHeight="1">
      <c r="O7068" s="387"/>
      <c r="P7068" s="387"/>
      <c r="Q7068" s="387"/>
    </row>
    <row r="7069" spans="15:17" ht="20.100000000000001" customHeight="1">
      <c r="O7069" s="387"/>
      <c r="P7069" s="387"/>
      <c r="Q7069" s="387"/>
    </row>
    <row r="7070" spans="15:17" ht="20.100000000000001" customHeight="1">
      <c r="O7070" s="387"/>
      <c r="P7070" s="387"/>
      <c r="Q7070" s="387"/>
    </row>
    <row r="7071" spans="15:17" ht="20.100000000000001" customHeight="1">
      <c r="O7071" s="387"/>
      <c r="P7071" s="387"/>
      <c r="Q7071" s="387"/>
    </row>
    <row r="7072" spans="15:17" ht="20.100000000000001" customHeight="1">
      <c r="O7072" s="387"/>
      <c r="P7072" s="387"/>
      <c r="Q7072" s="387"/>
    </row>
    <row r="7073" spans="15:17" ht="20.100000000000001" customHeight="1">
      <c r="O7073" s="387"/>
      <c r="P7073" s="387"/>
      <c r="Q7073" s="387"/>
    </row>
    <row r="7074" spans="15:17" ht="20.100000000000001" customHeight="1">
      <c r="O7074" s="387"/>
      <c r="P7074" s="387"/>
      <c r="Q7074" s="387"/>
    </row>
    <row r="7075" spans="15:17" ht="20.100000000000001" customHeight="1">
      <c r="O7075" s="387"/>
      <c r="P7075" s="387"/>
      <c r="Q7075" s="387"/>
    </row>
    <row r="7076" spans="15:17" ht="20.100000000000001" customHeight="1">
      <c r="O7076" s="387"/>
      <c r="P7076" s="387"/>
      <c r="Q7076" s="387"/>
    </row>
    <row r="7077" spans="15:17" ht="20.100000000000001" customHeight="1">
      <c r="O7077" s="387"/>
      <c r="P7077" s="387"/>
      <c r="Q7077" s="387"/>
    </row>
    <row r="7078" spans="15:17" ht="20.100000000000001" customHeight="1">
      <c r="O7078" s="387"/>
      <c r="P7078" s="387"/>
      <c r="Q7078" s="387"/>
    </row>
    <row r="7079" spans="15:17" ht="20.100000000000001" customHeight="1">
      <c r="O7079" s="387"/>
      <c r="P7079" s="387"/>
      <c r="Q7079" s="387"/>
    </row>
    <row r="7080" spans="15:17" ht="20.100000000000001" customHeight="1">
      <c r="O7080" s="387"/>
      <c r="P7080" s="387"/>
      <c r="Q7080" s="387"/>
    </row>
    <row r="7081" spans="15:17" ht="20.100000000000001" customHeight="1">
      <c r="O7081" s="387"/>
      <c r="P7081" s="387"/>
      <c r="Q7081" s="387"/>
    </row>
    <row r="7082" spans="15:17" ht="20.100000000000001" customHeight="1">
      <c r="O7082" s="387"/>
      <c r="P7082" s="387"/>
      <c r="Q7082" s="387"/>
    </row>
    <row r="7083" spans="15:17" ht="20.100000000000001" customHeight="1">
      <c r="O7083" s="387"/>
      <c r="P7083" s="387"/>
      <c r="Q7083" s="387"/>
    </row>
    <row r="7084" spans="15:17" ht="20.100000000000001" customHeight="1">
      <c r="O7084" s="387"/>
      <c r="P7084" s="387"/>
      <c r="Q7084" s="387"/>
    </row>
    <row r="7085" spans="15:17" ht="20.100000000000001" customHeight="1">
      <c r="O7085" s="387"/>
      <c r="P7085" s="387"/>
      <c r="Q7085" s="387"/>
    </row>
    <row r="7086" spans="15:17" ht="20.100000000000001" customHeight="1">
      <c r="O7086" s="387"/>
      <c r="P7086" s="387"/>
      <c r="Q7086" s="387"/>
    </row>
    <row r="7087" spans="15:17" ht="20.100000000000001" customHeight="1">
      <c r="O7087" s="387"/>
      <c r="P7087" s="387"/>
      <c r="Q7087" s="387"/>
    </row>
    <row r="7088" spans="15:17" ht="20.100000000000001" customHeight="1">
      <c r="O7088" s="387"/>
      <c r="P7088" s="387"/>
      <c r="Q7088" s="387"/>
    </row>
    <row r="7089" spans="15:17" ht="20.100000000000001" customHeight="1">
      <c r="O7089" s="387"/>
      <c r="P7089" s="387"/>
      <c r="Q7089" s="387"/>
    </row>
    <row r="7090" spans="15:17" ht="20.100000000000001" customHeight="1">
      <c r="O7090" s="387"/>
      <c r="P7090" s="387"/>
      <c r="Q7090" s="387"/>
    </row>
    <row r="7091" spans="15:17" ht="20.100000000000001" customHeight="1">
      <c r="O7091" s="387"/>
      <c r="P7091" s="387"/>
      <c r="Q7091" s="387"/>
    </row>
    <row r="7092" spans="15:17" ht="20.100000000000001" customHeight="1">
      <c r="O7092" s="387"/>
      <c r="P7092" s="387"/>
      <c r="Q7092" s="387"/>
    </row>
    <row r="7093" spans="15:17" ht="20.100000000000001" customHeight="1">
      <c r="O7093" s="387"/>
      <c r="P7093" s="387"/>
      <c r="Q7093" s="387"/>
    </row>
    <row r="7094" spans="15:17" ht="20.100000000000001" customHeight="1">
      <c r="O7094" s="387"/>
      <c r="P7094" s="387"/>
      <c r="Q7094" s="387"/>
    </row>
    <row r="7095" spans="15:17" ht="20.100000000000001" customHeight="1">
      <c r="O7095" s="387"/>
      <c r="P7095" s="387"/>
      <c r="Q7095" s="387"/>
    </row>
    <row r="7096" spans="15:17" ht="20.100000000000001" customHeight="1">
      <c r="O7096" s="387"/>
      <c r="P7096" s="387"/>
      <c r="Q7096" s="387"/>
    </row>
    <row r="7097" spans="15:17" ht="20.100000000000001" customHeight="1">
      <c r="O7097" s="387"/>
      <c r="P7097" s="387"/>
      <c r="Q7097" s="387"/>
    </row>
    <row r="7098" spans="15:17" ht="20.100000000000001" customHeight="1">
      <c r="O7098" s="387"/>
      <c r="P7098" s="387"/>
      <c r="Q7098" s="387"/>
    </row>
    <row r="7099" spans="15:17" ht="20.100000000000001" customHeight="1">
      <c r="O7099" s="387"/>
      <c r="P7099" s="387"/>
      <c r="Q7099" s="387"/>
    </row>
    <row r="7100" spans="15:17" ht="20.100000000000001" customHeight="1">
      <c r="O7100" s="387"/>
      <c r="P7100" s="387"/>
      <c r="Q7100" s="387"/>
    </row>
    <row r="7101" spans="15:17" ht="20.100000000000001" customHeight="1">
      <c r="O7101" s="387"/>
      <c r="P7101" s="387"/>
      <c r="Q7101" s="387"/>
    </row>
    <row r="7102" spans="15:17" ht="20.100000000000001" customHeight="1">
      <c r="O7102" s="387"/>
      <c r="P7102" s="387"/>
      <c r="Q7102" s="387"/>
    </row>
    <row r="7103" spans="15:17" ht="20.100000000000001" customHeight="1">
      <c r="O7103" s="387"/>
      <c r="P7103" s="387"/>
      <c r="Q7103" s="387"/>
    </row>
    <row r="7104" spans="15:17" ht="20.100000000000001" customHeight="1">
      <c r="O7104" s="387"/>
      <c r="P7104" s="387"/>
      <c r="Q7104" s="387"/>
    </row>
    <row r="7105" spans="15:17" ht="20.100000000000001" customHeight="1">
      <c r="O7105" s="387"/>
      <c r="P7105" s="387"/>
      <c r="Q7105" s="387"/>
    </row>
    <row r="7106" spans="15:17" ht="20.100000000000001" customHeight="1">
      <c r="O7106" s="387"/>
      <c r="P7106" s="387"/>
      <c r="Q7106" s="387"/>
    </row>
    <row r="7107" spans="15:17" ht="20.100000000000001" customHeight="1">
      <c r="O7107" s="387"/>
      <c r="P7107" s="387"/>
      <c r="Q7107" s="387"/>
    </row>
    <row r="7108" spans="15:17" ht="20.100000000000001" customHeight="1">
      <c r="O7108" s="387"/>
      <c r="P7108" s="387"/>
      <c r="Q7108" s="387"/>
    </row>
    <row r="7109" spans="15:17" ht="20.100000000000001" customHeight="1">
      <c r="O7109" s="387"/>
      <c r="P7109" s="387"/>
      <c r="Q7109" s="387"/>
    </row>
    <row r="7110" spans="15:17" ht="20.100000000000001" customHeight="1">
      <c r="O7110" s="387"/>
      <c r="P7110" s="387"/>
      <c r="Q7110" s="387"/>
    </row>
    <row r="7111" spans="15:17" ht="20.100000000000001" customHeight="1">
      <c r="O7111" s="387"/>
      <c r="P7111" s="387"/>
      <c r="Q7111" s="387"/>
    </row>
    <row r="7112" spans="15:17" ht="20.100000000000001" customHeight="1">
      <c r="O7112" s="387"/>
      <c r="P7112" s="387"/>
      <c r="Q7112" s="387"/>
    </row>
    <row r="7113" spans="15:17" ht="20.100000000000001" customHeight="1">
      <c r="O7113" s="387"/>
      <c r="P7113" s="387"/>
      <c r="Q7113" s="387"/>
    </row>
    <row r="7114" spans="15:17" ht="20.100000000000001" customHeight="1">
      <c r="O7114" s="387"/>
      <c r="P7114" s="387"/>
      <c r="Q7114" s="387"/>
    </row>
    <row r="7115" spans="15:17" ht="20.100000000000001" customHeight="1">
      <c r="O7115" s="387"/>
      <c r="P7115" s="387"/>
      <c r="Q7115" s="387"/>
    </row>
    <row r="7116" spans="15:17" ht="20.100000000000001" customHeight="1">
      <c r="O7116" s="387"/>
      <c r="P7116" s="387"/>
      <c r="Q7116" s="387"/>
    </row>
    <row r="7117" spans="15:17" ht="20.100000000000001" customHeight="1">
      <c r="O7117" s="387"/>
      <c r="P7117" s="387"/>
      <c r="Q7117" s="387"/>
    </row>
    <row r="7118" spans="15:17" ht="20.100000000000001" customHeight="1">
      <c r="O7118" s="387"/>
      <c r="P7118" s="387"/>
      <c r="Q7118" s="387"/>
    </row>
    <row r="7119" spans="15:17" ht="20.100000000000001" customHeight="1">
      <c r="O7119" s="387"/>
      <c r="P7119" s="387"/>
      <c r="Q7119" s="387"/>
    </row>
    <row r="7120" spans="15:17" ht="20.100000000000001" customHeight="1">
      <c r="O7120" s="387"/>
      <c r="P7120" s="387"/>
      <c r="Q7120" s="387"/>
    </row>
    <row r="7121" spans="15:17" ht="20.100000000000001" customHeight="1">
      <c r="O7121" s="387"/>
      <c r="P7121" s="387"/>
      <c r="Q7121" s="387"/>
    </row>
    <row r="7122" spans="15:17" ht="20.100000000000001" customHeight="1">
      <c r="O7122" s="387"/>
      <c r="P7122" s="387"/>
      <c r="Q7122" s="387"/>
    </row>
    <row r="7123" spans="15:17" ht="20.100000000000001" customHeight="1">
      <c r="O7123" s="387"/>
      <c r="P7123" s="387"/>
      <c r="Q7123" s="387"/>
    </row>
    <row r="7124" spans="15:17" ht="20.100000000000001" customHeight="1">
      <c r="O7124" s="387"/>
      <c r="P7124" s="387"/>
      <c r="Q7124" s="387"/>
    </row>
    <row r="7125" spans="15:17" ht="20.100000000000001" customHeight="1">
      <c r="O7125" s="387"/>
      <c r="P7125" s="387"/>
      <c r="Q7125" s="387"/>
    </row>
    <row r="7126" spans="15:17" ht="20.100000000000001" customHeight="1">
      <c r="O7126" s="387"/>
      <c r="P7126" s="387"/>
      <c r="Q7126" s="387"/>
    </row>
    <row r="7127" spans="15:17" ht="20.100000000000001" customHeight="1">
      <c r="O7127" s="387"/>
      <c r="P7127" s="387"/>
      <c r="Q7127" s="387"/>
    </row>
    <row r="7128" spans="15:17" ht="20.100000000000001" customHeight="1">
      <c r="O7128" s="387"/>
      <c r="P7128" s="387"/>
      <c r="Q7128" s="387"/>
    </row>
    <row r="7129" spans="15:17" ht="20.100000000000001" customHeight="1">
      <c r="O7129" s="387"/>
      <c r="P7129" s="387"/>
      <c r="Q7129" s="387"/>
    </row>
    <row r="7130" spans="15:17" ht="20.100000000000001" customHeight="1">
      <c r="O7130" s="387"/>
      <c r="P7130" s="387"/>
      <c r="Q7130" s="387"/>
    </row>
    <row r="7131" spans="15:17" ht="20.100000000000001" customHeight="1">
      <c r="O7131" s="387"/>
      <c r="P7131" s="387"/>
      <c r="Q7131" s="387"/>
    </row>
    <row r="7132" spans="15:17" ht="20.100000000000001" customHeight="1">
      <c r="O7132" s="387"/>
      <c r="P7132" s="387"/>
      <c r="Q7132" s="387"/>
    </row>
    <row r="7133" spans="15:17" ht="20.100000000000001" customHeight="1">
      <c r="O7133" s="387"/>
      <c r="P7133" s="387"/>
      <c r="Q7133" s="387"/>
    </row>
    <row r="7134" spans="15:17" ht="20.100000000000001" customHeight="1">
      <c r="O7134" s="387"/>
      <c r="P7134" s="387"/>
      <c r="Q7134" s="387"/>
    </row>
    <row r="7135" spans="15:17" ht="20.100000000000001" customHeight="1">
      <c r="O7135" s="387"/>
      <c r="P7135" s="387"/>
      <c r="Q7135" s="387"/>
    </row>
    <row r="7136" spans="15:17" ht="20.100000000000001" customHeight="1">
      <c r="O7136" s="387"/>
      <c r="P7136" s="387"/>
      <c r="Q7136" s="387"/>
    </row>
    <row r="7137" spans="15:17" ht="20.100000000000001" customHeight="1">
      <c r="O7137" s="387"/>
      <c r="P7137" s="387"/>
      <c r="Q7137" s="387"/>
    </row>
    <row r="7138" spans="15:17" ht="20.100000000000001" customHeight="1">
      <c r="O7138" s="387"/>
      <c r="P7138" s="387"/>
      <c r="Q7138" s="387"/>
    </row>
    <row r="7139" spans="15:17" ht="20.100000000000001" customHeight="1">
      <c r="O7139" s="387"/>
      <c r="P7139" s="387"/>
      <c r="Q7139" s="387"/>
    </row>
    <row r="7140" spans="15:17" ht="20.100000000000001" customHeight="1">
      <c r="O7140" s="387"/>
      <c r="P7140" s="387"/>
      <c r="Q7140" s="387"/>
    </row>
    <row r="7141" spans="15:17" ht="20.100000000000001" customHeight="1">
      <c r="O7141" s="387"/>
      <c r="P7141" s="387"/>
      <c r="Q7141" s="387"/>
    </row>
    <row r="7142" spans="15:17" ht="20.100000000000001" customHeight="1">
      <c r="O7142" s="387"/>
      <c r="P7142" s="387"/>
      <c r="Q7142" s="387"/>
    </row>
    <row r="7143" spans="15:17" ht="20.100000000000001" customHeight="1">
      <c r="O7143" s="387"/>
      <c r="P7143" s="387"/>
      <c r="Q7143" s="387"/>
    </row>
    <row r="7144" spans="15:17" ht="20.100000000000001" customHeight="1">
      <c r="O7144" s="387"/>
      <c r="P7144" s="387"/>
      <c r="Q7144" s="387"/>
    </row>
    <row r="7145" spans="15:17" ht="20.100000000000001" customHeight="1">
      <c r="O7145" s="387"/>
      <c r="P7145" s="387"/>
      <c r="Q7145" s="387"/>
    </row>
    <row r="7146" spans="15:17" ht="20.100000000000001" customHeight="1">
      <c r="O7146" s="387"/>
      <c r="P7146" s="387"/>
      <c r="Q7146" s="387"/>
    </row>
    <row r="7147" spans="15:17" ht="20.100000000000001" customHeight="1">
      <c r="O7147" s="387"/>
      <c r="P7147" s="387"/>
      <c r="Q7147" s="387"/>
    </row>
    <row r="7148" spans="15:17" ht="20.100000000000001" customHeight="1">
      <c r="O7148" s="387"/>
      <c r="P7148" s="387"/>
      <c r="Q7148" s="387"/>
    </row>
    <row r="7149" spans="15:17" ht="20.100000000000001" customHeight="1">
      <c r="O7149" s="387"/>
      <c r="P7149" s="387"/>
      <c r="Q7149" s="387"/>
    </row>
    <row r="7150" spans="15:17" ht="20.100000000000001" customHeight="1">
      <c r="O7150" s="387"/>
      <c r="P7150" s="387"/>
      <c r="Q7150" s="387"/>
    </row>
    <row r="7151" spans="15:17" ht="20.100000000000001" customHeight="1">
      <c r="O7151" s="387"/>
      <c r="P7151" s="387"/>
      <c r="Q7151" s="387"/>
    </row>
    <row r="7152" spans="15:17" ht="20.100000000000001" customHeight="1">
      <c r="O7152" s="387"/>
      <c r="P7152" s="387"/>
      <c r="Q7152" s="387"/>
    </row>
    <row r="7153" spans="15:17" ht="20.100000000000001" customHeight="1">
      <c r="O7153" s="387"/>
      <c r="P7153" s="387"/>
      <c r="Q7153" s="387"/>
    </row>
    <row r="7154" spans="15:17" ht="20.100000000000001" customHeight="1">
      <c r="O7154" s="387"/>
      <c r="P7154" s="387"/>
      <c r="Q7154" s="387"/>
    </row>
    <row r="7155" spans="15:17" ht="20.100000000000001" customHeight="1">
      <c r="O7155" s="387"/>
      <c r="P7155" s="387"/>
      <c r="Q7155" s="387"/>
    </row>
    <row r="7156" spans="15:17" ht="20.100000000000001" customHeight="1">
      <c r="O7156" s="387"/>
      <c r="P7156" s="387"/>
      <c r="Q7156" s="387"/>
    </row>
    <row r="7157" spans="15:17" ht="20.100000000000001" customHeight="1">
      <c r="O7157" s="387"/>
      <c r="P7157" s="387"/>
      <c r="Q7157" s="387"/>
    </row>
    <row r="7158" spans="15:17" ht="20.100000000000001" customHeight="1">
      <c r="O7158" s="387"/>
      <c r="P7158" s="387"/>
      <c r="Q7158" s="387"/>
    </row>
    <row r="7159" spans="15:17" ht="20.100000000000001" customHeight="1">
      <c r="O7159" s="387"/>
      <c r="P7159" s="387"/>
      <c r="Q7159" s="387"/>
    </row>
    <row r="7160" spans="15:17" ht="20.100000000000001" customHeight="1">
      <c r="O7160" s="387"/>
      <c r="P7160" s="387"/>
      <c r="Q7160" s="387"/>
    </row>
    <row r="7161" spans="15:17" ht="20.100000000000001" customHeight="1">
      <c r="O7161" s="387"/>
      <c r="P7161" s="387"/>
      <c r="Q7161" s="387"/>
    </row>
    <row r="7162" spans="15:17" ht="20.100000000000001" customHeight="1">
      <c r="O7162" s="387"/>
      <c r="P7162" s="387"/>
      <c r="Q7162" s="387"/>
    </row>
    <row r="7163" spans="15:17" ht="20.100000000000001" customHeight="1">
      <c r="O7163" s="387"/>
      <c r="P7163" s="387"/>
      <c r="Q7163" s="387"/>
    </row>
    <row r="7164" spans="15:17" ht="20.100000000000001" customHeight="1">
      <c r="O7164" s="387"/>
      <c r="P7164" s="387"/>
      <c r="Q7164" s="387"/>
    </row>
    <row r="7165" spans="15:17" ht="20.100000000000001" customHeight="1">
      <c r="O7165" s="387"/>
      <c r="P7165" s="387"/>
      <c r="Q7165" s="387"/>
    </row>
    <row r="7166" spans="15:17" ht="20.100000000000001" customHeight="1">
      <c r="O7166" s="387"/>
      <c r="P7166" s="387"/>
      <c r="Q7166" s="387"/>
    </row>
    <row r="7167" spans="15:17" ht="20.100000000000001" customHeight="1">
      <c r="O7167" s="387"/>
      <c r="P7167" s="387"/>
      <c r="Q7167" s="387"/>
    </row>
    <row r="7168" spans="15:17" ht="20.100000000000001" customHeight="1">
      <c r="O7168" s="387"/>
      <c r="P7168" s="387"/>
      <c r="Q7168" s="387"/>
    </row>
    <row r="7169" spans="15:17" ht="20.100000000000001" customHeight="1">
      <c r="O7169" s="387"/>
      <c r="P7169" s="387"/>
      <c r="Q7169" s="387"/>
    </row>
    <row r="7170" spans="15:17" ht="20.100000000000001" customHeight="1">
      <c r="O7170" s="387"/>
      <c r="P7170" s="387"/>
      <c r="Q7170" s="387"/>
    </row>
    <row r="7171" spans="15:17" ht="20.100000000000001" customHeight="1">
      <c r="O7171" s="387"/>
      <c r="P7171" s="387"/>
      <c r="Q7171" s="387"/>
    </row>
    <row r="7172" spans="15:17" ht="20.100000000000001" customHeight="1">
      <c r="O7172" s="387"/>
      <c r="P7172" s="387"/>
      <c r="Q7172" s="387"/>
    </row>
    <row r="7173" spans="15:17" ht="20.100000000000001" customHeight="1">
      <c r="O7173" s="387"/>
      <c r="P7173" s="387"/>
      <c r="Q7173" s="387"/>
    </row>
    <row r="7174" spans="15:17" ht="20.100000000000001" customHeight="1">
      <c r="O7174" s="387"/>
      <c r="P7174" s="387"/>
      <c r="Q7174" s="387"/>
    </row>
    <row r="7175" spans="15:17" ht="20.100000000000001" customHeight="1">
      <c r="O7175" s="387"/>
      <c r="P7175" s="387"/>
      <c r="Q7175" s="387"/>
    </row>
    <row r="7176" spans="15:17" ht="20.100000000000001" customHeight="1">
      <c r="O7176" s="387"/>
      <c r="P7176" s="387"/>
      <c r="Q7176" s="387"/>
    </row>
    <row r="7177" spans="15:17" ht="20.100000000000001" customHeight="1">
      <c r="O7177" s="387"/>
      <c r="P7177" s="387"/>
      <c r="Q7177" s="387"/>
    </row>
    <row r="7178" spans="15:17" ht="20.100000000000001" customHeight="1">
      <c r="O7178" s="387"/>
      <c r="P7178" s="387"/>
      <c r="Q7178" s="387"/>
    </row>
    <row r="7179" spans="15:17" ht="20.100000000000001" customHeight="1">
      <c r="O7179" s="387"/>
      <c r="P7179" s="387"/>
      <c r="Q7179" s="387"/>
    </row>
    <row r="7180" spans="15:17" ht="20.100000000000001" customHeight="1">
      <c r="O7180" s="387"/>
      <c r="P7180" s="387"/>
      <c r="Q7180" s="387"/>
    </row>
    <row r="7181" spans="15:17" ht="20.100000000000001" customHeight="1">
      <c r="O7181" s="387"/>
      <c r="P7181" s="387"/>
      <c r="Q7181" s="387"/>
    </row>
    <row r="7182" spans="15:17" ht="20.100000000000001" customHeight="1">
      <c r="O7182" s="387"/>
      <c r="P7182" s="387"/>
      <c r="Q7182" s="387"/>
    </row>
    <row r="7183" spans="15:17" ht="20.100000000000001" customHeight="1">
      <c r="O7183" s="387"/>
      <c r="P7183" s="387"/>
      <c r="Q7183" s="387"/>
    </row>
    <row r="7184" spans="15:17" ht="20.100000000000001" customHeight="1">
      <c r="O7184" s="387"/>
      <c r="P7184" s="387"/>
      <c r="Q7184" s="387"/>
    </row>
    <row r="7185" spans="15:17" ht="20.100000000000001" customHeight="1">
      <c r="O7185" s="387"/>
      <c r="P7185" s="387"/>
      <c r="Q7185" s="387"/>
    </row>
    <row r="7186" spans="15:17" ht="20.100000000000001" customHeight="1">
      <c r="O7186" s="387"/>
      <c r="P7186" s="387"/>
      <c r="Q7186" s="387"/>
    </row>
    <row r="7187" spans="15:17" ht="20.100000000000001" customHeight="1">
      <c r="O7187" s="387"/>
      <c r="P7187" s="387"/>
      <c r="Q7187" s="387"/>
    </row>
    <row r="7188" spans="15:17" ht="20.100000000000001" customHeight="1">
      <c r="O7188" s="387"/>
      <c r="P7188" s="387"/>
      <c r="Q7188" s="387"/>
    </row>
    <row r="7189" spans="15:17" ht="20.100000000000001" customHeight="1">
      <c r="O7189" s="387"/>
      <c r="P7189" s="387"/>
      <c r="Q7189" s="387"/>
    </row>
    <row r="7190" spans="15:17" ht="20.100000000000001" customHeight="1">
      <c r="O7190" s="387"/>
      <c r="P7190" s="387"/>
      <c r="Q7190" s="387"/>
    </row>
    <row r="7191" spans="15:17" ht="20.100000000000001" customHeight="1">
      <c r="O7191" s="387"/>
      <c r="P7191" s="387"/>
      <c r="Q7191" s="387"/>
    </row>
    <row r="7192" spans="15:17" ht="20.100000000000001" customHeight="1">
      <c r="O7192" s="387"/>
      <c r="P7192" s="387"/>
      <c r="Q7192" s="387"/>
    </row>
    <row r="7193" spans="15:17" ht="20.100000000000001" customHeight="1">
      <c r="O7193" s="387"/>
      <c r="P7193" s="387"/>
      <c r="Q7193" s="387"/>
    </row>
    <row r="7194" spans="15:17" ht="20.100000000000001" customHeight="1">
      <c r="O7194" s="387"/>
      <c r="P7194" s="387"/>
      <c r="Q7194" s="387"/>
    </row>
    <row r="7195" spans="15:17" ht="20.100000000000001" customHeight="1">
      <c r="O7195" s="387"/>
      <c r="P7195" s="387"/>
      <c r="Q7195" s="387"/>
    </row>
    <row r="7196" spans="15:17" ht="20.100000000000001" customHeight="1">
      <c r="O7196" s="387"/>
      <c r="P7196" s="387"/>
      <c r="Q7196" s="387"/>
    </row>
    <row r="7197" spans="15:17" ht="20.100000000000001" customHeight="1">
      <c r="O7197" s="387"/>
      <c r="P7197" s="387"/>
      <c r="Q7197" s="387"/>
    </row>
    <row r="7198" spans="15:17" ht="20.100000000000001" customHeight="1">
      <c r="O7198" s="387"/>
      <c r="P7198" s="387"/>
      <c r="Q7198" s="387"/>
    </row>
    <row r="7199" spans="15:17" ht="20.100000000000001" customHeight="1">
      <c r="O7199" s="387"/>
      <c r="P7199" s="387"/>
      <c r="Q7199" s="387"/>
    </row>
    <row r="7200" spans="15:17" ht="20.100000000000001" customHeight="1">
      <c r="O7200" s="387"/>
      <c r="P7200" s="387"/>
      <c r="Q7200" s="387"/>
    </row>
    <row r="7201" spans="15:17" ht="20.100000000000001" customHeight="1">
      <c r="O7201" s="387"/>
      <c r="P7201" s="387"/>
      <c r="Q7201" s="387"/>
    </row>
    <row r="7202" spans="15:17" ht="20.100000000000001" customHeight="1">
      <c r="O7202" s="387"/>
      <c r="P7202" s="387"/>
      <c r="Q7202" s="387"/>
    </row>
    <row r="7203" spans="15:17" ht="20.100000000000001" customHeight="1">
      <c r="O7203" s="387"/>
      <c r="P7203" s="387"/>
      <c r="Q7203" s="387"/>
    </row>
    <row r="7204" spans="15:17" ht="20.100000000000001" customHeight="1">
      <c r="O7204" s="387"/>
      <c r="P7204" s="387"/>
      <c r="Q7204" s="387"/>
    </row>
    <row r="7205" spans="15:17" ht="20.100000000000001" customHeight="1">
      <c r="O7205" s="387"/>
      <c r="P7205" s="387"/>
      <c r="Q7205" s="387"/>
    </row>
    <row r="7206" spans="15:17" ht="20.100000000000001" customHeight="1">
      <c r="O7206" s="387"/>
      <c r="P7206" s="387"/>
      <c r="Q7206" s="387"/>
    </row>
    <row r="7207" spans="15:17" ht="20.100000000000001" customHeight="1">
      <c r="O7207" s="387"/>
      <c r="P7207" s="387"/>
      <c r="Q7207" s="387"/>
    </row>
    <row r="7208" spans="15:17" ht="20.100000000000001" customHeight="1">
      <c r="O7208" s="387"/>
      <c r="P7208" s="387"/>
      <c r="Q7208" s="387"/>
    </row>
    <row r="7209" spans="15:17" ht="20.100000000000001" customHeight="1">
      <c r="O7209" s="387"/>
      <c r="P7209" s="387"/>
      <c r="Q7209" s="387"/>
    </row>
    <row r="7210" spans="15:17" ht="20.100000000000001" customHeight="1">
      <c r="O7210" s="387"/>
      <c r="P7210" s="387"/>
      <c r="Q7210" s="387"/>
    </row>
    <row r="7211" spans="15:17" ht="20.100000000000001" customHeight="1">
      <c r="O7211" s="387"/>
      <c r="P7211" s="387"/>
      <c r="Q7211" s="387"/>
    </row>
    <row r="7212" spans="15:17" ht="20.100000000000001" customHeight="1">
      <c r="O7212" s="387"/>
      <c r="P7212" s="387"/>
      <c r="Q7212" s="387"/>
    </row>
    <row r="7213" spans="15:17" ht="20.100000000000001" customHeight="1">
      <c r="O7213" s="387"/>
      <c r="P7213" s="387"/>
      <c r="Q7213" s="387"/>
    </row>
    <row r="7214" spans="15:17" ht="20.100000000000001" customHeight="1">
      <c r="O7214" s="387"/>
      <c r="P7214" s="387"/>
      <c r="Q7214" s="387"/>
    </row>
    <row r="7215" spans="15:17" ht="20.100000000000001" customHeight="1">
      <c r="O7215" s="387"/>
      <c r="P7215" s="387"/>
      <c r="Q7215" s="387"/>
    </row>
    <row r="7216" spans="15:17" ht="20.100000000000001" customHeight="1">
      <c r="O7216" s="387"/>
      <c r="P7216" s="387"/>
      <c r="Q7216" s="387"/>
    </row>
    <row r="7217" spans="15:17" ht="20.100000000000001" customHeight="1">
      <c r="O7217" s="387"/>
      <c r="P7217" s="387"/>
      <c r="Q7217" s="387"/>
    </row>
    <row r="7218" spans="15:17" ht="20.100000000000001" customHeight="1">
      <c r="O7218" s="387"/>
      <c r="P7218" s="387"/>
      <c r="Q7218" s="387"/>
    </row>
    <row r="7219" spans="15:17" ht="20.100000000000001" customHeight="1">
      <c r="O7219" s="387"/>
      <c r="P7219" s="387"/>
      <c r="Q7219" s="387"/>
    </row>
    <row r="7220" spans="15:17" ht="20.100000000000001" customHeight="1">
      <c r="O7220" s="387"/>
      <c r="P7220" s="387"/>
      <c r="Q7220" s="387"/>
    </row>
    <row r="7221" spans="15:17" ht="20.100000000000001" customHeight="1">
      <c r="O7221" s="387"/>
      <c r="P7221" s="387"/>
      <c r="Q7221" s="387"/>
    </row>
    <row r="7222" spans="15:17" ht="20.100000000000001" customHeight="1">
      <c r="O7222" s="387"/>
      <c r="P7222" s="387"/>
      <c r="Q7222" s="387"/>
    </row>
    <row r="7223" spans="15:17" ht="20.100000000000001" customHeight="1">
      <c r="O7223" s="387"/>
      <c r="P7223" s="387"/>
      <c r="Q7223" s="387"/>
    </row>
    <row r="7224" spans="15:17" ht="20.100000000000001" customHeight="1">
      <c r="O7224" s="387"/>
      <c r="P7224" s="387"/>
      <c r="Q7224" s="387"/>
    </row>
    <row r="7225" spans="15:17" ht="20.100000000000001" customHeight="1">
      <c r="O7225" s="387"/>
      <c r="P7225" s="387"/>
      <c r="Q7225" s="387"/>
    </row>
    <row r="7226" spans="15:17" ht="20.100000000000001" customHeight="1">
      <c r="O7226" s="387"/>
      <c r="P7226" s="387"/>
      <c r="Q7226" s="387"/>
    </row>
    <row r="7227" spans="15:17" ht="20.100000000000001" customHeight="1">
      <c r="O7227" s="387"/>
      <c r="P7227" s="387"/>
      <c r="Q7227" s="387"/>
    </row>
    <row r="7228" spans="15:17" ht="20.100000000000001" customHeight="1">
      <c r="O7228" s="387"/>
      <c r="P7228" s="387"/>
      <c r="Q7228" s="387"/>
    </row>
    <row r="7229" spans="15:17" ht="20.100000000000001" customHeight="1">
      <c r="O7229" s="387"/>
      <c r="P7229" s="387"/>
      <c r="Q7229" s="387"/>
    </row>
    <row r="7230" spans="15:17" ht="20.100000000000001" customHeight="1">
      <c r="O7230" s="387"/>
      <c r="P7230" s="387"/>
      <c r="Q7230" s="387"/>
    </row>
    <row r="7231" spans="15:17" ht="20.100000000000001" customHeight="1">
      <c r="O7231" s="387"/>
      <c r="P7231" s="387"/>
      <c r="Q7231" s="387"/>
    </row>
    <row r="7232" spans="15:17" ht="20.100000000000001" customHeight="1">
      <c r="O7232" s="387"/>
      <c r="P7232" s="387"/>
      <c r="Q7232" s="387"/>
    </row>
    <row r="7233" spans="15:17" ht="20.100000000000001" customHeight="1">
      <c r="O7233" s="387"/>
      <c r="P7233" s="387"/>
      <c r="Q7233" s="387"/>
    </row>
    <row r="7234" spans="15:17" ht="20.100000000000001" customHeight="1">
      <c r="O7234" s="387"/>
      <c r="P7234" s="387"/>
      <c r="Q7234" s="387"/>
    </row>
    <row r="7235" spans="15:17" ht="20.100000000000001" customHeight="1">
      <c r="O7235" s="387"/>
      <c r="P7235" s="387"/>
      <c r="Q7235" s="387"/>
    </row>
    <row r="7236" spans="15:17" ht="20.100000000000001" customHeight="1">
      <c r="O7236" s="387"/>
      <c r="P7236" s="387"/>
      <c r="Q7236" s="387"/>
    </row>
    <row r="7237" spans="15:17" ht="20.100000000000001" customHeight="1">
      <c r="O7237" s="387"/>
      <c r="P7237" s="387"/>
      <c r="Q7237" s="387"/>
    </row>
    <row r="7238" spans="15:17" ht="20.100000000000001" customHeight="1">
      <c r="O7238" s="387"/>
      <c r="P7238" s="387"/>
      <c r="Q7238" s="387"/>
    </row>
    <row r="7239" spans="15:17" ht="20.100000000000001" customHeight="1">
      <c r="O7239" s="387"/>
      <c r="P7239" s="387"/>
      <c r="Q7239" s="387"/>
    </row>
    <row r="7240" spans="15:17" ht="20.100000000000001" customHeight="1">
      <c r="O7240" s="387"/>
      <c r="P7240" s="387"/>
      <c r="Q7240" s="387"/>
    </row>
    <row r="7241" spans="15:17" ht="20.100000000000001" customHeight="1">
      <c r="O7241" s="387"/>
      <c r="P7241" s="387"/>
      <c r="Q7241" s="387"/>
    </row>
    <row r="7242" spans="15:17" ht="20.100000000000001" customHeight="1">
      <c r="O7242" s="387"/>
      <c r="P7242" s="387"/>
      <c r="Q7242" s="387"/>
    </row>
    <row r="7243" spans="15:17" ht="20.100000000000001" customHeight="1">
      <c r="O7243" s="387"/>
      <c r="P7243" s="387"/>
      <c r="Q7243" s="387"/>
    </row>
    <row r="7244" spans="15:17" ht="20.100000000000001" customHeight="1">
      <c r="O7244" s="387"/>
      <c r="P7244" s="387"/>
      <c r="Q7244" s="387"/>
    </row>
    <row r="7245" spans="15:17" ht="20.100000000000001" customHeight="1">
      <c r="O7245" s="387"/>
      <c r="P7245" s="387"/>
      <c r="Q7245" s="387"/>
    </row>
    <row r="7246" spans="15:17" ht="20.100000000000001" customHeight="1">
      <c r="O7246" s="387"/>
      <c r="P7246" s="387"/>
      <c r="Q7246" s="387"/>
    </row>
    <row r="7247" spans="15:17" ht="20.100000000000001" customHeight="1">
      <c r="O7247" s="387"/>
      <c r="P7247" s="387"/>
      <c r="Q7247" s="387"/>
    </row>
    <row r="7248" spans="15:17" ht="20.100000000000001" customHeight="1">
      <c r="O7248" s="387"/>
      <c r="P7248" s="387"/>
      <c r="Q7248" s="387"/>
    </row>
    <row r="7249" spans="15:17" ht="20.100000000000001" customHeight="1">
      <c r="O7249" s="387"/>
      <c r="P7249" s="387"/>
      <c r="Q7249" s="387"/>
    </row>
    <row r="7250" spans="15:17" ht="20.100000000000001" customHeight="1">
      <c r="O7250" s="387"/>
      <c r="P7250" s="387"/>
      <c r="Q7250" s="387"/>
    </row>
    <row r="7251" spans="15:17" ht="20.100000000000001" customHeight="1">
      <c r="O7251" s="387"/>
      <c r="P7251" s="387"/>
      <c r="Q7251" s="387"/>
    </row>
    <row r="7252" spans="15:17" ht="20.100000000000001" customHeight="1">
      <c r="O7252" s="387"/>
      <c r="P7252" s="387"/>
      <c r="Q7252" s="387"/>
    </row>
    <row r="7253" spans="15:17" ht="20.100000000000001" customHeight="1">
      <c r="O7253" s="387"/>
      <c r="P7253" s="387"/>
      <c r="Q7253" s="387"/>
    </row>
    <row r="7254" spans="15:17" ht="20.100000000000001" customHeight="1">
      <c r="O7254" s="387"/>
      <c r="P7254" s="387"/>
      <c r="Q7254" s="387"/>
    </row>
    <row r="7255" spans="15:17" ht="20.100000000000001" customHeight="1">
      <c r="O7255" s="387"/>
      <c r="P7255" s="387"/>
      <c r="Q7255" s="387"/>
    </row>
    <row r="7256" spans="15:17" ht="20.100000000000001" customHeight="1">
      <c r="O7256" s="387"/>
      <c r="P7256" s="387"/>
      <c r="Q7256" s="387"/>
    </row>
    <row r="7257" spans="15:17" ht="20.100000000000001" customHeight="1">
      <c r="O7257" s="387"/>
      <c r="P7257" s="387"/>
      <c r="Q7257" s="387"/>
    </row>
    <row r="7258" spans="15:17" ht="20.100000000000001" customHeight="1">
      <c r="O7258" s="387"/>
      <c r="P7258" s="387"/>
      <c r="Q7258" s="387"/>
    </row>
    <row r="7259" spans="15:17" ht="20.100000000000001" customHeight="1">
      <c r="O7259" s="387"/>
      <c r="P7259" s="387"/>
      <c r="Q7259" s="387"/>
    </row>
    <row r="7260" spans="15:17" ht="20.100000000000001" customHeight="1">
      <c r="O7260" s="387"/>
      <c r="P7260" s="387"/>
      <c r="Q7260" s="387"/>
    </row>
    <row r="7261" spans="15:17" ht="20.100000000000001" customHeight="1">
      <c r="O7261" s="387"/>
      <c r="P7261" s="387"/>
      <c r="Q7261" s="387"/>
    </row>
    <row r="7262" spans="15:17" ht="20.100000000000001" customHeight="1">
      <c r="O7262" s="387"/>
      <c r="P7262" s="387"/>
      <c r="Q7262" s="387"/>
    </row>
    <row r="7263" spans="15:17" ht="20.100000000000001" customHeight="1">
      <c r="O7263" s="387"/>
      <c r="P7263" s="387"/>
      <c r="Q7263" s="387"/>
    </row>
    <row r="7264" spans="15:17" ht="20.100000000000001" customHeight="1">
      <c r="O7264" s="387"/>
      <c r="P7264" s="387"/>
      <c r="Q7264" s="387"/>
    </row>
    <row r="7265" spans="15:17" ht="20.100000000000001" customHeight="1">
      <c r="O7265" s="387"/>
      <c r="P7265" s="387"/>
      <c r="Q7265" s="387"/>
    </row>
    <row r="7266" spans="15:17" ht="20.100000000000001" customHeight="1">
      <c r="O7266" s="387"/>
      <c r="P7266" s="387"/>
      <c r="Q7266" s="387"/>
    </row>
    <row r="7267" spans="15:17" ht="20.100000000000001" customHeight="1">
      <c r="O7267" s="387"/>
      <c r="P7267" s="387"/>
      <c r="Q7267" s="387"/>
    </row>
    <row r="7268" spans="15:17" ht="20.100000000000001" customHeight="1">
      <c r="O7268" s="387"/>
      <c r="P7268" s="387"/>
      <c r="Q7268" s="387"/>
    </row>
    <row r="7269" spans="15:17" ht="20.100000000000001" customHeight="1">
      <c r="O7269" s="387"/>
      <c r="P7269" s="387"/>
      <c r="Q7269" s="387"/>
    </row>
    <row r="7270" spans="15:17" ht="20.100000000000001" customHeight="1">
      <c r="O7270" s="387"/>
      <c r="P7270" s="387"/>
      <c r="Q7270" s="387"/>
    </row>
    <row r="7271" spans="15:17" ht="20.100000000000001" customHeight="1">
      <c r="O7271" s="387"/>
      <c r="P7271" s="387"/>
      <c r="Q7271" s="387"/>
    </row>
    <row r="7272" spans="15:17" ht="20.100000000000001" customHeight="1">
      <c r="O7272" s="387"/>
      <c r="P7272" s="387"/>
      <c r="Q7272" s="387"/>
    </row>
    <row r="7273" spans="15:17" ht="20.100000000000001" customHeight="1">
      <c r="O7273" s="387"/>
      <c r="P7273" s="387"/>
      <c r="Q7273" s="387"/>
    </row>
    <row r="7274" spans="15:17" ht="20.100000000000001" customHeight="1">
      <c r="O7274" s="387"/>
      <c r="P7274" s="387"/>
      <c r="Q7274" s="387"/>
    </row>
    <row r="7275" spans="15:17" ht="20.100000000000001" customHeight="1">
      <c r="O7275" s="387"/>
      <c r="P7275" s="387"/>
      <c r="Q7275" s="387"/>
    </row>
    <row r="7276" spans="15:17" ht="20.100000000000001" customHeight="1">
      <c r="O7276" s="387"/>
      <c r="P7276" s="387"/>
      <c r="Q7276" s="387"/>
    </row>
    <row r="7277" spans="15:17" ht="20.100000000000001" customHeight="1">
      <c r="O7277" s="387"/>
      <c r="P7277" s="387"/>
      <c r="Q7277" s="387"/>
    </row>
    <row r="7278" spans="15:17" ht="20.100000000000001" customHeight="1">
      <c r="O7278" s="387"/>
      <c r="P7278" s="387"/>
      <c r="Q7278" s="387"/>
    </row>
    <row r="7279" spans="15:17" ht="20.100000000000001" customHeight="1">
      <c r="O7279" s="387"/>
      <c r="P7279" s="387"/>
      <c r="Q7279" s="387"/>
    </row>
    <row r="7280" spans="15:17" ht="20.100000000000001" customHeight="1">
      <c r="O7280" s="387"/>
      <c r="P7280" s="387"/>
      <c r="Q7280" s="387"/>
    </row>
    <row r="7281" spans="15:17" ht="20.100000000000001" customHeight="1">
      <c r="O7281" s="387"/>
      <c r="P7281" s="387"/>
      <c r="Q7281" s="387"/>
    </row>
    <row r="7282" spans="15:17" ht="20.100000000000001" customHeight="1">
      <c r="O7282" s="387"/>
      <c r="P7282" s="387"/>
      <c r="Q7282" s="387"/>
    </row>
    <row r="7283" spans="15:17" ht="20.100000000000001" customHeight="1">
      <c r="O7283" s="387"/>
      <c r="P7283" s="387"/>
      <c r="Q7283" s="387"/>
    </row>
    <row r="7284" spans="15:17" ht="20.100000000000001" customHeight="1">
      <c r="O7284" s="387"/>
      <c r="P7284" s="387"/>
      <c r="Q7284" s="387"/>
    </row>
    <row r="7285" spans="15:17" ht="20.100000000000001" customHeight="1">
      <c r="O7285" s="387"/>
      <c r="P7285" s="387"/>
      <c r="Q7285" s="387"/>
    </row>
    <row r="7286" spans="15:17" ht="20.100000000000001" customHeight="1">
      <c r="O7286" s="387"/>
      <c r="P7286" s="387"/>
      <c r="Q7286" s="387"/>
    </row>
    <row r="7287" spans="15:17" ht="20.100000000000001" customHeight="1">
      <c r="O7287" s="387"/>
      <c r="P7287" s="387"/>
      <c r="Q7287" s="387"/>
    </row>
    <row r="7288" spans="15:17" ht="20.100000000000001" customHeight="1">
      <c r="O7288" s="387"/>
      <c r="P7288" s="387"/>
      <c r="Q7288" s="387"/>
    </row>
    <row r="7289" spans="15:17" ht="20.100000000000001" customHeight="1">
      <c r="O7289" s="387"/>
      <c r="P7289" s="387"/>
      <c r="Q7289" s="387"/>
    </row>
    <row r="7290" spans="15:17" ht="20.100000000000001" customHeight="1">
      <c r="O7290" s="387"/>
      <c r="P7290" s="387"/>
      <c r="Q7290" s="387"/>
    </row>
    <row r="7291" spans="15:17" ht="20.100000000000001" customHeight="1">
      <c r="O7291" s="387"/>
      <c r="P7291" s="387"/>
      <c r="Q7291" s="387"/>
    </row>
    <row r="7292" spans="15:17" ht="20.100000000000001" customHeight="1">
      <c r="O7292" s="387"/>
      <c r="P7292" s="387"/>
      <c r="Q7292" s="387"/>
    </row>
    <row r="7293" spans="15:17" ht="20.100000000000001" customHeight="1">
      <c r="O7293" s="387"/>
      <c r="P7293" s="387"/>
      <c r="Q7293" s="387"/>
    </row>
    <row r="7294" spans="15:17" ht="20.100000000000001" customHeight="1">
      <c r="O7294" s="387"/>
      <c r="P7294" s="387"/>
      <c r="Q7294" s="387"/>
    </row>
    <row r="7295" spans="15:17" ht="20.100000000000001" customHeight="1">
      <c r="O7295" s="387"/>
      <c r="P7295" s="387"/>
      <c r="Q7295" s="387"/>
    </row>
    <row r="7296" spans="15:17" ht="20.100000000000001" customHeight="1">
      <c r="O7296" s="387"/>
      <c r="P7296" s="387"/>
      <c r="Q7296" s="387"/>
    </row>
    <row r="7297" spans="15:17" ht="20.100000000000001" customHeight="1">
      <c r="O7297" s="387"/>
      <c r="P7297" s="387"/>
      <c r="Q7297" s="387"/>
    </row>
    <row r="7298" spans="15:17" ht="20.100000000000001" customHeight="1">
      <c r="O7298" s="387"/>
      <c r="P7298" s="387"/>
      <c r="Q7298" s="387"/>
    </row>
    <row r="7299" spans="15:17" ht="20.100000000000001" customHeight="1">
      <c r="O7299" s="387"/>
      <c r="P7299" s="387"/>
      <c r="Q7299" s="387"/>
    </row>
    <row r="7300" spans="15:17" ht="20.100000000000001" customHeight="1">
      <c r="O7300" s="387"/>
      <c r="P7300" s="387"/>
      <c r="Q7300" s="387"/>
    </row>
    <row r="7301" spans="15:17" ht="20.100000000000001" customHeight="1">
      <c r="O7301" s="387"/>
      <c r="P7301" s="387"/>
      <c r="Q7301" s="387"/>
    </row>
    <row r="7302" spans="15:17" ht="20.100000000000001" customHeight="1">
      <c r="O7302" s="387"/>
      <c r="P7302" s="387"/>
      <c r="Q7302" s="387"/>
    </row>
    <row r="7303" spans="15:17" ht="20.100000000000001" customHeight="1">
      <c r="O7303" s="387"/>
      <c r="P7303" s="387"/>
      <c r="Q7303" s="387"/>
    </row>
    <row r="7304" spans="15:17" ht="20.100000000000001" customHeight="1">
      <c r="O7304" s="387"/>
      <c r="P7304" s="387"/>
      <c r="Q7304" s="387"/>
    </row>
    <row r="7305" spans="15:17" ht="20.100000000000001" customHeight="1">
      <c r="O7305" s="387"/>
      <c r="P7305" s="387"/>
      <c r="Q7305" s="387"/>
    </row>
    <row r="7306" spans="15:17" ht="20.100000000000001" customHeight="1">
      <c r="O7306" s="387"/>
      <c r="P7306" s="387"/>
      <c r="Q7306" s="387"/>
    </row>
    <row r="7307" spans="15:17" ht="20.100000000000001" customHeight="1">
      <c r="O7307" s="387"/>
      <c r="P7307" s="387"/>
      <c r="Q7307" s="387"/>
    </row>
    <row r="7308" spans="15:17" ht="20.100000000000001" customHeight="1">
      <c r="O7308" s="387"/>
      <c r="P7308" s="387"/>
      <c r="Q7308" s="387"/>
    </row>
    <row r="7309" spans="15:17" ht="20.100000000000001" customHeight="1">
      <c r="O7309" s="387"/>
      <c r="P7309" s="387"/>
      <c r="Q7309" s="387"/>
    </row>
    <row r="7310" spans="15:17" ht="20.100000000000001" customHeight="1">
      <c r="O7310" s="387"/>
      <c r="P7310" s="387"/>
      <c r="Q7310" s="387"/>
    </row>
    <row r="7311" spans="15:17" ht="20.100000000000001" customHeight="1">
      <c r="O7311" s="387"/>
      <c r="P7311" s="387"/>
      <c r="Q7311" s="387"/>
    </row>
    <row r="7312" spans="15:17" ht="20.100000000000001" customHeight="1">
      <c r="O7312" s="387"/>
      <c r="P7312" s="387"/>
      <c r="Q7312" s="387"/>
    </row>
    <row r="7313" spans="15:17" ht="20.100000000000001" customHeight="1">
      <c r="O7313" s="387"/>
      <c r="P7313" s="387"/>
      <c r="Q7313" s="387"/>
    </row>
    <row r="7314" spans="15:17" ht="20.100000000000001" customHeight="1">
      <c r="O7314" s="387"/>
      <c r="P7314" s="387"/>
      <c r="Q7314" s="387"/>
    </row>
    <row r="7315" spans="15:17" ht="20.100000000000001" customHeight="1">
      <c r="O7315" s="387"/>
      <c r="P7315" s="387"/>
      <c r="Q7315" s="387"/>
    </row>
    <row r="7316" spans="15:17" ht="20.100000000000001" customHeight="1">
      <c r="O7316" s="387"/>
      <c r="P7316" s="387"/>
      <c r="Q7316" s="387"/>
    </row>
    <row r="7317" spans="15:17" ht="20.100000000000001" customHeight="1">
      <c r="O7317" s="387"/>
      <c r="P7317" s="387"/>
      <c r="Q7317" s="387"/>
    </row>
    <row r="7318" spans="15:17" ht="20.100000000000001" customHeight="1">
      <c r="O7318" s="387"/>
      <c r="P7318" s="387"/>
      <c r="Q7318" s="387"/>
    </row>
    <row r="7319" spans="15:17" ht="20.100000000000001" customHeight="1">
      <c r="O7319" s="387"/>
      <c r="P7319" s="387"/>
      <c r="Q7319" s="387"/>
    </row>
    <row r="7320" spans="15:17" ht="20.100000000000001" customHeight="1">
      <c r="O7320" s="387"/>
      <c r="P7320" s="387"/>
      <c r="Q7320" s="387"/>
    </row>
    <row r="7321" spans="15:17" ht="20.100000000000001" customHeight="1">
      <c r="O7321" s="387"/>
      <c r="P7321" s="387"/>
      <c r="Q7321" s="387"/>
    </row>
    <row r="7322" spans="15:17" ht="20.100000000000001" customHeight="1">
      <c r="O7322" s="387"/>
      <c r="P7322" s="387"/>
      <c r="Q7322" s="387"/>
    </row>
    <row r="7323" spans="15:17" ht="20.100000000000001" customHeight="1">
      <c r="O7323" s="387"/>
      <c r="P7323" s="387"/>
      <c r="Q7323" s="387"/>
    </row>
    <row r="7324" spans="15:17" ht="20.100000000000001" customHeight="1">
      <c r="O7324" s="387"/>
      <c r="P7324" s="387"/>
      <c r="Q7324" s="387"/>
    </row>
    <row r="7325" spans="15:17" ht="20.100000000000001" customHeight="1">
      <c r="O7325" s="387"/>
      <c r="P7325" s="387"/>
      <c r="Q7325" s="387"/>
    </row>
    <row r="7326" spans="15:17" ht="20.100000000000001" customHeight="1">
      <c r="O7326" s="387"/>
      <c r="P7326" s="387"/>
      <c r="Q7326" s="387"/>
    </row>
    <row r="7327" spans="15:17" ht="20.100000000000001" customHeight="1">
      <c r="O7327" s="387"/>
      <c r="P7327" s="387"/>
      <c r="Q7327" s="387"/>
    </row>
    <row r="7328" spans="15:17" ht="20.100000000000001" customHeight="1">
      <c r="O7328" s="387"/>
      <c r="P7328" s="387"/>
      <c r="Q7328" s="387"/>
    </row>
    <row r="7329" spans="15:17" ht="20.100000000000001" customHeight="1">
      <c r="O7329" s="387"/>
      <c r="P7329" s="387"/>
      <c r="Q7329" s="387"/>
    </row>
    <row r="7330" spans="15:17" ht="20.100000000000001" customHeight="1">
      <c r="O7330" s="387"/>
      <c r="P7330" s="387"/>
      <c r="Q7330" s="387"/>
    </row>
    <row r="7331" spans="15:17" ht="20.100000000000001" customHeight="1">
      <c r="O7331" s="387"/>
      <c r="P7331" s="387"/>
      <c r="Q7331" s="387"/>
    </row>
    <row r="7332" spans="15:17" ht="20.100000000000001" customHeight="1">
      <c r="O7332" s="387"/>
      <c r="P7332" s="387"/>
      <c r="Q7332" s="387"/>
    </row>
    <row r="7333" spans="15:17" ht="20.100000000000001" customHeight="1">
      <c r="O7333" s="387"/>
      <c r="P7333" s="387"/>
      <c r="Q7333" s="387"/>
    </row>
    <row r="7334" spans="15:17" ht="20.100000000000001" customHeight="1">
      <c r="O7334" s="387"/>
      <c r="P7334" s="387"/>
      <c r="Q7334" s="387"/>
    </row>
    <row r="7335" spans="15:17" ht="20.100000000000001" customHeight="1">
      <c r="O7335" s="387"/>
      <c r="P7335" s="387"/>
      <c r="Q7335" s="387"/>
    </row>
    <row r="7336" spans="15:17" ht="20.100000000000001" customHeight="1">
      <c r="O7336" s="387"/>
      <c r="P7336" s="387"/>
      <c r="Q7336" s="387"/>
    </row>
    <row r="7337" spans="15:17" ht="20.100000000000001" customHeight="1">
      <c r="O7337" s="387"/>
      <c r="P7337" s="387"/>
      <c r="Q7337" s="387"/>
    </row>
    <row r="7338" spans="15:17" ht="20.100000000000001" customHeight="1">
      <c r="O7338" s="387"/>
      <c r="P7338" s="387"/>
      <c r="Q7338" s="387"/>
    </row>
    <row r="7339" spans="15:17" ht="20.100000000000001" customHeight="1">
      <c r="O7339" s="387"/>
      <c r="P7339" s="387"/>
      <c r="Q7339" s="387"/>
    </row>
    <row r="7340" spans="15:17" ht="20.100000000000001" customHeight="1">
      <c r="O7340" s="387"/>
      <c r="P7340" s="387"/>
      <c r="Q7340" s="387"/>
    </row>
    <row r="7341" spans="15:17" ht="20.100000000000001" customHeight="1">
      <c r="O7341" s="387"/>
      <c r="P7341" s="387"/>
      <c r="Q7341" s="387"/>
    </row>
    <row r="7342" spans="15:17" ht="20.100000000000001" customHeight="1">
      <c r="O7342" s="387"/>
      <c r="P7342" s="387"/>
      <c r="Q7342" s="387"/>
    </row>
    <row r="7343" spans="15:17" ht="20.100000000000001" customHeight="1">
      <c r="O7343" s="387"/>
      <c r="P7343" s="387"/>
      <c r="Q7343" s="387"/>
    </row>
    <row r="7344" spans="15:17" ht="20.100000000000001" customHeight="1">
      <c r="O7344" s="387"/>
      <c r="P7344" s="387"/>
      <c r="Q7344" s="387"/>
    </row>
    <row r="7345" spans="15:17" ht="20.100000000000001" customHeight="1">
      <c r="O7345" s="387"/>
      <c r="P7345" s="387"/>
      <c r="Q7345" s="387"/>
    </row>
    <row r="7346" spans="15:17" ht="20.100000000000001" customHeight="1">
      <c r="O7346" s="387"/>
      <c r="P7346" s="387"/>
      <c r="Q7346" s="387"/>
    </row>
    <row r="7347" spans="15:17" ht="20.100000000000001" customHeight="1">
      <c r="O7347" s="387"/>
      <c r="P7347" s="387"/>
      <c r="Q7347" s="387"/>
    </row>
    <row r="7348" spans="15:17" ht="20.100000000000001" customHeight="1">
      <c r="O7348" s="387"/>
      <c r="P7348" s="387"/>
      <c r="Q7348" s="387"/>
    </row>
    <row r="7349" spans="15:17" ht="20.100000000000001" customHeight="1">
      <c r="O7349" s="387"/>
      <c r="P7349" s="387"/>
      <c r="Q7349" s="387"/>
    </row>
    <row r="7350" spans="15:17" ht="20.100000000000001" customHeight="1">
      <c r="O7350" s="387"/>
      <c r="P7350" s="387"/>
      <c r="Q7350" s="387"/>
    </row>
    <row r="7351" spans="15:17" ht="20.100000000000001" customHeight="1">
      <c r="O7351" s="387"/>
      <c r="P7351" s="387"/>
      <c r="Q7351" s="387"/>
    </row>
    <row r="7352" spans="15:17" ht="20.100000000000001" customHeight="1">
      <c r="O7352" s="387"/>
      <c r="P7352" s="387"/>
      <c r="Q7352" s="387"/>
    </row>
    <row r="7353" spans="15:17" ht="20.100000000000001" customHeight="1">
      <c r="O7353" s="387"/>
      <c r="P7353" s="387"/>
      <c r="Q7353" s="387"/>
    </row>
    <row r="7354" spans="15:17" ht="20.100000000000001" customHeight="1">
      <c r="O7354" s="387"/>
      <c r="P7354" s="387"/>
      <c r="Q7354" s="387"/>
    </row>
    <row r="7355" spans="15:17" ht="20.100000000000001" customHeight="1">
      <c r="O7355" s="387"/>
      <c r="P7355" s="387"/>
      <c r="Q7355" s="387"/>
    </row>
    <row r="7356" spans="15:17" ht="20.100000000000001" customHeight="1">
      <c r="O7356" s="387"/>
      <c r="P7356" s="387"/>
      <c r="Q7356" s="387"/>
    </row>
    <row r="7357" spans="15:17" ht="20.100000000000001" customHeight="1">
      <c r="O7357" s="387"/>
      <c r="P7357" s="387"/>
      <c r="Q7357" s="387"/>
    </row>
    <row r="7358" spans="15:17" ht="20.100000000000001" customHeight="1">
      <c r="O7358" s="387"/>
      <c r="P7358" s="387"/>
      <c r="Q7358" s="387"/>
    </row>
    <row r="7359" spans="15:17" ht="20.100000000000001" customHeight="1">
      <c r="O7359" s="387"/>
      <c r="P7359" s="387"/>
      <c r="Q7359" s="387"/>
    </row>
    <row r="7360" spans="15:17" ht="20.100000000000001" customHeight="1">
      <c r="O7360" s="387"/>
      <c r="P7360" s="387"/>
      <c r="Q7360" s="387"/>
    </row>
    <row r="7361" spans="15:17" ht="20.100000000000001" customHeight="1">
      <c r="O7361" s="387"/>
      <c r="P7361" s="387"/>
      <c r="Q7361" s="387"/>
    </row>
    <row r="7362" spans="15:17" ht="20.100000000000001" customHeight="1">
      <c r="O7362" s="387"/>
      <c r="P7362" s="387"/>
      <c r="Q7362" s="387"/>
    </row>
    <row r="7363" spans="15:17" ht="20.100000000000001" customHeight="1">
      <c r="O7363" s="387"/>
      <c r="P7363" s="387"/>
      <c r="Q7363" s="387"/>
    </row>
    <row r="7364" spans="15:17" ht="20.100000000000001" customHeight="1">
      <c r="O7364" s="387"/>
      <c r="P7364" s="387"/>
      <c r="Q7364" s="387"/>
    </row>
    <row r="7365" spans="15:17" ht="20.100000000000001" customHeight="1">
      <c r="O7365" s="387"/>
      <c r="P7365" s="387"/>
      <c r="Q7365" s="387"/>
    </row>
    <row r="7366" spans="15:17" ht="20.100000000000001" customHeight="1">
      <c r="O7366" s="387"/>
      <c r="P7366" s="387"/>
      <c r="Q7366" s="387"/>
    </row>
    <row r="7367" spans="15:17" ht="20.100000000000001" customHeight="1">
      <c r="O7367" s="387"/>
      <c r="P7367" s="387"/>
      <c r="Q7367" s="387"/>
    </row>
    <row r="7368" spans="15:17" ht="20.100000000000001" customHeight="1">
      <c r="O7368" s="387"/>
      <c r="P7368" s="387"/>
      <c r="Q7368" s="387"/>
    </row>
    <row r="7369" spans="15:17" ht="20.100000000000001" customHeight="1">
      <c r="O7369" s="387"/>
      <c r="P7369" s="387"/>
      <c r="Q7369" s="387"/>
    </row>
    <row r="7370" spans="15:17" ht="20.100000000000001" customHeight="1">
      <c r="O7370" s="387"/>
      <c r="P7370" s="387"/>
      <c r="Q7370" s="387"/>
    </row>
    <row r="7371" spans="15:17" ht="20.100000000000001" customHeight="1">
      <c r="O7371" s="387"/>
      <c r="P7371" s="387"/>
      <c r="Q7371" s="387"/>
    </row>
    <row r="7372" spans="15:17" ht="20.100000000000001" customHeight="1">
      <c r="O7372" s="387"/>
      <c r="P7372" s="387"/>
      <c r="Q7372" s="387"/>
    </row>
    <row r="7373" spans="15:17" ht="20.100000000000001" customHeight="1">
      <c r="O7373" s="387"/>
      <c r="P7373" s="387"/>
      <c r="Q7373" s="387"/>
    </row>
    <row r="7374" spans="15:17" ht="20.100000000000001" customHeight="1">
      <c r="O7374" s="387"/>
      <c r="P7374" s="387"/>
      <c r="Q7374" s="387"/>
    </row>
    <row r="7375" spans="15:17" ht="20.100000000000001" customHeight="1">
      <c r="O7375" s="387"/>
      <c r="P7375" s="387"/>
      <c r="Q7375" s="387"/>
    </row>
    <row r="7376" spans="15:17" ht="20.100000000000001" customHeight="1">
      <c r="O7376" s="387"/>
      <c r="P7376" s="387"/>
      <c r="Q7376" s="387"/>
    </row>
    <row r="7377" spans="15:17" ht="20.100000000000001" customHeight="1">
      <c r="O7377" s="387"/>
      <c r="P7377" s="387"/>
      <c r="Q7377" s="387"/>
    </row>
    <row r="7378" spans="15:17" ht="20.100000000000001" customHeight="1">
      <c r="O7378" s="387"/>
      <c r="P7378" s="387"/>
      <c r="Q7378" s="387"/>
    </row>
    <row r="7379" spans="15:17" ht="20.100000000000001" customHeight="1">
      <c r="O7379" s="387"/>
      <c r="P7379" s="387"/>
      <c r="Q7379" s="387"/>
    </row>
    <row r="7380" spans="15:17" ht="20.100000000000001" customHeight="1">
      <c r="O7380" s="387"/>
      <c r="P7380" s="387"/>
      <c r="Q7380" s="387"/>
    </row>
    <row r="7381" spans="15:17" ht="20.100000000000001" customHeight="1">
      <c r="O7381" s="387"/>
      <c r="P7381" s="387"/>
      <c r="Q7381" s="387"/>
    </row>
    <row r="7382" spans="15:17" ht="20.100000000000001" customHeight="1">
      <c r="O7382" s="387"/>
      <c r="P7382" s="387"/>
      <c r="Q7382" s="387"/>
    </row>
    <row r="7383" spans="15:17" ht="20.100000000000001" customHeight="1">
      <c r="O7383" s="387"/>
      <c r="P7383" s="387"/>
      <c r="Q7383" s="387"/>
    </row>
    <row r="7384" spans="15:17" ht="20.100000000000001" customHeight="1">
      <c r="O7384" s="387"/>
      <c r="P7384" s="387"/>
      <c r="Q7384" s="387"/>
    </row>
    <row r="7385" spans="15:17" ht="20.100000000000001" customHeight="1">
      <c r="O7385" s="387"/>
      <c r="P7385" s="387"/>
      <c r="Q7385" s="387"/>
    </row>
    <row r="7386" spans="15:17" ht="20.100000000000001" customHeight="1">
      <c r="O7386" s="387"/>
      <c r="P7386" s="387"/>
      <c r="Q7386" s="387"/>
    </row>
    <row r="7387" spans="15:17" ht="20.100000000000001" customHeight="1">
      <c r="O7387" s="387"/>
      <c r="P7387" s="387"/>
      <c r="Q7387" s="387"/>
    </row>
    <row r="7388" spans="15:17" ht="20.100000000000001" customHeight="1">
      <c r="O7388" s="387"/>
      <c r="P7388" s="387"/>
      <c r="Q7388" s="387"/>
    </row>
    <row r="7389" spans="15:17" ht="20.100000000000001" customHeight="1">
      <c r="O7389" s="387"/>
      <c r="P7389" s="387"/>
      <c r="Q7389" s="387"/>
    </row>
    <row r="7390" spans="15:17" ht="20.100000000000001" customHeight="1">
      <c r="O7390" s="387"/>
      <c r="P7390" s="387"/>
      <c r="Q7390" s="387"/>
    </row>
    <row r="7391" spans="15:17" ht="20.100000000000001" customHeight="1">
      <c r="O7391" s="387"/>
      <c r="P7391" s="387"/>
      <c r="Q7391" s="387"/>
    </row>
    <row r="7392" spans="15:17" ht="20.100000000000001" customHeight="1">
      <c r="O7392" s="387"/>
      <c r="P7392" s="387"/>
      <c r="Q7392" s="387"/>
    </row>
    <row r="7393" spans="15:17" ht="20.100000000000001" customHeight="1">
      <c r="O7393" s="387"/>
      <c r="P7393" s="387"/>
      <c r="Q7393" s="387"/>
    </row>
    <row r="7394" spans="15:17" ht="20.100000000000001" customHeight="1">
      <c r="O7394" s="387"/>
      <c r="P7394" s="387"/>
      <c r="Q7394" s="387"/>
    </row>
    <row r="7395" spans="15:17" ht="20.100000000000001" customHeight="1">
      <c r="O7395" s="387"/>
      <c r="P7395" s="387"/>
      <c r="Q7395" s="387"/>
    </row>
    <row r="7396" spans="15:17" ht="20.100000000000001" customHeight="1">
      <c r="O7396" s="387"/>
      <c r="P7396" s="387"/>
      <c r="Q7396" s="387"/>
    </row>
    <row r="7397" spans="15:17" ht="20.100000000000001" customHeight="1">
      <c r="O7397" s="387"/>
      <c r="P7397" s="387"/>
      <c r="Q7397" s="387"/>
    </row>
    <row r="7398" spans="15:17" ht="20.100000000000001" customHeight="1">
      <c r="O7398" s="387"/>
      <c r="P7398" s="387"/>
      <c r="Q7398" s="387"/>
    </row>
    <row r="7399" spans="15:17" ht="20.100000000000001" customHeight="1">
      <c r="O7399" s="387"/>
      <c r="P7399" s="387"/>
      <c r="Q7399" s="387"/>
    </row>
    <row r="7400" spans="15:17" ht="20.100000000000001" customHeight="1">
      <c r="O7400" s="387"/>
      <c r="P7400" s="387"/>
      <c r="Q7400" s="387"/>
    </row>
    <row r="7401" spans="15:17" ht="20.100000000000001" customHeight="1">
      <c r="O7401" s="387"/>
      <c r="P7401" s="387"/>
      <c r="Q7401" s="387"/>
    </row>
    <row r="7402" spans="15:17" ht="20.100000000000001" customHeight="1">
      <c r="O7402" s="387"/>
      <c r="P7402" s="387"/>
      <c r="Q7402" s="387"/>
    </row>
    <row r="7403" spans="15:17" ht="20.100000000000001" customHeight="1">
      <c r="O7403" s="387"/>
      <c r="P7403" s="387"/>
      <c r="Q7403" s="387"/>
    </row>
    <row r="7404" spans="15:17" ht="20.100000000000001" customHeight="1">
      <c r="O7404" s="387"/>
      <c r="P7404" s="387"/>
      <c r="Q7404" s="387"/>
    </row>
    <row r="7405" spans="15:17" ht="20.100000000000001" customHeight="1">
      <c r="O7405" s="387"/>
      <c r="P7405" s="387"/>
      <c r="Q7405" s="387"/>
    </row>
    <row r="7406" spans="15:17" ht="20.100000000000001" customHeight="1">
      <c r="O7406" s="387"/>
      <c r="P7406" s="387"/>
      <c r="Q7406" s="387"/>
    </row>
    <row r="7407" spans="15:17" ht="20.100000000000001" customHeight="1">
      <c r="O7407" s="387"/>
      <c r="P7407" s="387"/>
      <c r="Q7407" s="387"/>
    </row>
    <row r="7408" spans="15:17" ht="20.100000000000001" customHeight="1">
      <c r="O7408" s="387"/>
      <c r="P7408" s="387"/>
      <c r="Q7408" s="387"/>
    </row>
    <row r="7409" spans="15:17" ht="20.100000000000001" customHeight="1">
      <c r="O7409" s="387"/>
      <c r="P7409" s="387"/>
      <c r="Q7409" s="387"/>
    </row>
    <row r="7410" spans="15:17" ht="20.100000000000001" customHeight="1">
      <c r="O7410" s="387"/>
      <c r="P7410" s="387"/>
      <c r="Q7410" s="387"/>
    </row>
    <row r="7411" spans="15:17" ht="20.100000000000001" customHeight="1">
      <c r="O7411" s="387"/>
      <c r="P7411" s="387"/>
      <c r="Q7411" s="387"/>
    </row>
    <row r="7412" spans="15:17" ht="20.100000000000001" customHeight="1">
      <c r="O7412" s="387"/>
      <c r="P7412" s="387"/>
      <c r="Q7412" s="387"/>
    </row>
    <row r="7413" spans="15:17" ht="20.100000000000001" customHeight="1">
      <c r="O7413" s="387"/>
      <c r="P7413" s="387"/>
      <c r="Q7413" s="387"/>
    </row>
    <row r="7414" spans="15:17" ht="20.100000000000001" customHeight="1">
      <c r="O7414" s="387"/>
      <c r="P7414" s="387"/>
      <c r="Q7414" s="387"/>
    </row>
    <row r="7415" spans="15:17" ht="20.100000000000001" customHeight="1">
      <c r="O7415" s="387"/>
      <c r="P7415" s="387"/>
      <c r="Q7415" s="387"/>
    </row>
    <row r="7416" spans="15:17" ht="20.100000000000001" customHeight="1">
      <c r="O7416" s="387"/>
      <c r="P7416" s="387"/>
      <c r="Q7416" s="387"/>
    </row>
    <row r="7417" spans="15:17" ht="20.100000000000001" customHeight="1">
      <c r="O7417" s="387"/>
      <c r="P7417" s="387"/>
      <c r="Q7417" s="387"/>
    </row>
    <row r="7418" spans="15:17" ht="20.100000000000001" customHeight="1">
      <c r="O7418" s="387"/>
      <c r="P7418" s="387"/>
      <c r="Q7418" s="387"/>
    </row>
    <row r="7419" spans="15:17" ht="20.100000000000001" customHeight="1">
      <c r="O7419" s="387"/>
      <c r="P7419" s="387"/>
      <c r="Q7419" s="387"/>
    </row>
    <row r="7420" spans="15:17" ht="20.100000000000001" customHeight="1">
      <c r="O7420" s="387"/>
      <c r="P7420" s="387"/>
      <c r="Q7420" s="387"/>
    </row>
    <row r="7421" spans="15:17" ht="20.100000000000001" customHeight="1">
      <c r="O7421" s="387"/>
      <c r="P7421" s="387"/>
      <c r="Q7421" s="387"/>
    </row>
    <row r="7422" spans="15:17" ht="20.100000000000001" customHeight="1">
      <c r="O7422" s="387"/>
      <c r="P7422" s="387"/>
      <c r="Q7422" s="387"/>
    </row>
    <row r="7423" spans="15:17" ht="20.100000000000001" customHeight="1">
      <c r="O7423" s="387"/>
      <c r="P7423" s="387"/>
      <c r="Q7423" s="387"/>
    </row>
    <row r="7424" spans="15:17" ht="20.100000000000001" customHeight="1">
      <c r="O7424" s="387"/>
      <c r="P7424" s="387"/>
      <c r="Q7424" s="387"/>
    </row>
    <row r="7425" spans="15:17" ht="20.100000000000001" customHeight="1">
      <c r="O7425" s="387"/>
      <c r="P7425" s="387"/>
      <c r="Q7425" s="387"/>
    </row>
    <row r="7426" spans="15:17" ht="20.100000000000001" customHeight="1">
      <c r="O7426" s="387"/>
      <c r="P7426" s="387"/>
      <c r="Q7426" s="387"/>
    </row>
    <row r="7427" spans="15:17" ht="20.100000000000001" customHeight="1">
      <c r="O7427" s="387"/>
      <c r="P7427" s="387"/>
      <c r="Q7427" s="387"/>
    </row>
    <row r="7428" spans="15:17" ht="20.100000000000001" customHeight="1">
      <c r="O7428" s="387"/>
      <c r="P7428" s="387"/>
      <c r="Q7428" s="387"/>
    </row>
    <row r="7429" spans="15:17" ht="20.100000000000001" customHeight="1">
      <c r="O7429" s="387"/>
      <c r="P7429" s="387"/>
      <c r="Q7429" s="387"/>
    </row>
    <row r="7430" spans="15:17" ht="20.100000000000001" customHeight="1">
      <c r="O7430" s="387"/>
      <c r="P7430" s="387"/>
      <c r="Q7430" s="387"/>
    </row>
    <row r="7431" spans="15:17" ht="20.100000000000001" customHeight="1">
      <c r="O7431" s="387"/>
      <c r="P7431" s="387"/>
      <c r="Q7431" s="387"/>
    </row>
    <row r="7432" spans="15:17" ht="20.100000000000001" customHeight="1">
      <c r="O7432" s="387"/>
      <c r="P7432" s="387"/>
      <c r="Q7432" s="387"/>
    </row>
    <row r="7433" spans="15:17" ht="20.100000000000001" customHeight="1">
      <c r="O7433" s="387"/>
      <c r="P7433" s="387"/>
      <c r="Q7433" s="387"/>
    </row>
    <row r="7434" spans="15:17" ht="20.100000000000001" customHeight="1">
      <c r="O7434" s="387"/>
      <c r="P7434" s="387"/>
      <c r="Q7434" s="387"/>
    </row>
    <row r="7435" spans="15:17" ht="20.100000000000001" customHeight="1">
      <c r="O7435" s="387"/>
      <c r="P7435" s="387"/>
      <c r="Q7435" s="387"/>
    </row>
    <row r="7436" spans="15:17" ht="20.100000000000001" customHeight="1">
      <c r="O7436" s="387"/>
      <c r="P7436" s="387"/>
      <c r="Q7436" s="387"/>
    </row>
    <row r="7437" spans="15:17" ht="20.100000000000001" customHeight="1">
      <c r="O7437" s="387"/>
      <c r="P7437" s="387"/>
      <c r="Q7437" s="387"/>
    </row>
    <row r="7438" spans="15:17" ht="20.100000000000001" customHeight="1">
      <c r="O7438" s="387"/>
      <c r="P7438" s="387"/>
      <c r="Q7438" s="387"/>
    </row>
    <row r="7439" spans="15:17" ht="20.100000000000001" customHeight="1">
      <c r="O7439" s="387"/>
      <c r="P7439" s="387"/>
      <c r="Q7439" s="387"/>
    </row>
    <row r="7440" spans="15:17" ht="20.100000000000001" customHeight="1">
      <c r="O7440" s="387"/>
      <c r="P7440" s="387"/>
      <c r="Q7440" s="387"/>
    </row>
    <row r="7441" spans="15:17" ht="20.100000000000001" customHeight="1">
      <c r="O7441" s="387"/>
      <c r="P7441" s="387"/>
      <c r="Q7441" s="387"/>
    </row>
    <row r="7442" spans="15:17" ht="20.100000000000001" customHeight="1">
      <c r="O7442" s="387"/>
      <c r="P7442" s="387"/>
      <c r="Q7442" s="387"/>
    </row>
    <row r="7443" spans="15:17" ht="20.100000000000001" customHeight="1">
      <c r="O7443" s="387"/>
      <c r="P7443" s="387"/>
      <c r="Q7443" s="387"/>
    </row>
    <row r="7444" spans="15:17" ht="20.100000000000001" customHeight="1">
      <c r="O7444" s="387"/>
      <c r="P7444" s="387"/>
      <c r="Q7444" s="387"/>
    </row>
    <row r="7445" spans="15:17" ht="20.100000000000001" customHeight="1">
      <c r="O7445" s="387"/>
      <c r="P7445" s="387"/>
      <c r="Q7445" s="387"/>
    </row>
    <row r="7446" spans="15:17" ht="20.100000000000001" customHeight="1">
      <c r="O7446" s="387"/>
      <c r="P7446" s="387"/>
      <c r="Q7446" s="387"/>
    </row>
    <row r="7447" spans="15:17" ht="20.100000000000001" customHeight="1">
      <c r="O7447" s="387"/>
      <c r="P7447" s="387"/>
      <c r="Q7447" s="387"/>
    </row>
    <row r="7448" spans="15:17" ht="20.100000000000001" customHeight="1">
      <c r="O7448" s="387"/>
      <c r="P7448" s="387"/>
      <c r="Q7448" s="387"/>
    </row>
    <row r="7449" spans="15:17" ht="20.100000000000001" customHeight="1">
      <c r="O7449" s="387"/>
      <c r="P7449" s="387"/>
      <c r="Q7449" s="387"/>
    </row>
    <row r="7450" spans="15:17" ht="20.100000000000001" customHeight="1">
      <c r="O7450" s="387"/>
      <c r="P7450" s="387"/>
      <c r="Q7450" s="387"/>
    </row>
    <row r="7451" spans="15:17" ht="20.100000000000001" customHeight="1">
      <c r="O7451" s="387"/>
      <c r="P7451" s="387"/>
      <c r="Q7451" s="387"/>
    </row>
    <row r="7452" spans="15:17" ht="20.100000000000001" customHeight="1">
      <c r="O7452" s="387"/>
      <c r="P7452" s="387"/>
      <c r="Q7452" s="387"/>
    </row>
    <row r="7453" spans="15:17" ht="20.100000000000001" customHeight="1">
      <c r="O7453" s="387"/>
      <c r="P7453" s="387"/>
      <c r="Q7453" s="387"/>
    </row>
    <row r="7454" spans="15:17" ht="20.100000000000001" customHeight="1">
      <c r="O7454" s="387"/>
      <c r="P7454" s="387"/>
      <c r="Q7454" s="387"/>
    </row>
    <row r="7455" spans="15:17" ht="20.100000000000001" customHeight="1">
      <c r="O7455" s="387"/>
      <c r="P7455" s="387"/>
      <c r="Q7455" s="387"/>
    </row>
    <row r="7456" spans="15:17" ht="20.100000000000001" customHeight="1">
      <c r="O7456" s="387"/>
      <c r="P7456" s="387"/>
      <c r="Q7456" s="387"/>
    </row>
    <row r="7457" spans="15:17" ht="20.100000000000001" customHeight="1">
      <c r="O7457" s="387"/>
      <c r="P7457" s="387"/>
      <c r="Q7457" s="387"/>
    </row>
    <row r="7458" spans="15:17" ht="20.100000000000001" customHeight="1">
      <c r="O7458" s="387"/>
      <c r="P7458" s="387"/>
      <c r="Q7458" s="387"/>
    </row>
    <row r="7459" spans="15:17" ht="20.100000000000001" customHeight="1">
      <c r="O7459" s="387"/>
      <c r="P7459" s="387"/>
      <c r="Q7459" s="387"/>
    </row>
    <row r="7460" spans="15:17" ht="20.100000000000001" customHeight="1">
      <c r="O7460" s="387"/>
      <c r="P7460" s="387"/>
      <c r="Q7460" s="387"/>
    </row>
    <row r="7461" spans="15:17" ht="20.100000000000001" customHeight="1">
      <c r="O7461" s="387"/>
      <c r="P7461" s="387"/>
      <c r="Q7461" s="387"/>
    </row>
    <row r="7462" spans="15:17" ht="20.100000000000001" customHeight="1">
      <c r="O7462" s="387"/>
      <c r="P7462" s="387"/>
      <c r="Q7462" s="387"/>
    </row>
    <row r="7463" spans="15:17" ht="20.100000000000001" customHeight="1">
      <c r="O7463" s="387"/>
      <c r="P7463" s="387"/>
      <c r="Q7463" s="387"/>
    </row>
    <row r="7464" spans="15:17" ht="20.100000000000001" customHeight="1">
      <c r="O7464" s="387"/>
      <c r="P7464" s="387"/>
      <c r="Q7464" s="387"/>
    </row>
    <row r="7465" spans="15:17" ht="20.100000000000001" customHeight="1">
      <c r="O7465" s="387"/>
      <c r="P7465" s="387"/>
      <c r="Q7465" s="387"/>
    </row>
    <row r="7466" spans="15:17" ht="20.100000000000001" customHeight="1">
      <c r="O7466" s="387"/>
      <c r="P7466" s="387"/>
      <c r="Q7466" s="387"/>
    </row>
    <row r="7467" spans="15:17" ht="20.100000000000001" customHeight="1">
      <c r="O7467" s="387"/>
      <c r="P7467" s="387"/>
      <c r="Q7467" s="387"/>
    </row>
    <row r="7468" spans="15:17" ht="20.100000000000001" customHeight="1">
      <c r="O7468" s="387"/>
      <c r="P7468" s="387"/>
      <c r="Q7468" s="387"/>
    </row>
    <row r="7469" spans="15:17" ht="20.100000000000001" customHeight="1">
      <c r="O7469" s="387"/>
      <c r="P7469" s="387"/>
      <c r="Q7469" s="387"/>
    </row>
    <row r="7470" spans="15:17" ht="20.100000000000001" customHeight="1">
      <c r="O7470" s="387"/>
      <c r="P7470" s="387"/>
      <c r="Q7470" s="387"/>
    </row>
    <row r="7471" spans="15:17" ht="20.100000000000001" customHeight="1">
      <c r="O7471" s="387"/>
      <c r="P7471" s="387"/>
      <c r="Q7471" s="387"/>
    </row>
    <row r="7472" spans="15:17" ht="20.100000000000001" customHeight="1">
      <c r="O7472" s="387"/>
      <c r="P7472" s="387"/>
      <c r="Q7472" s="387"/>
    </row>
    <row r="7473" spans="15:17" ht="20.100000000000001" customHeight="1">
      <c r="O7473" s="387"/>
      <c r="P7473" s="387"/>
      <c r="Q7473" s="387"/>
    </row>
    <row r="7474" spans="15:17" ht="20.100000000000001" customHeight="1">
      <c r="O7474" s="387"/>
      <c r="P7474" s="387"/>
      <c r="Q7474" s="387"/>
    </row>
    <row r="7475" spans="15:17" ht="20.100000000000001" customHeight="1">
      <c r="O7475" s="387"/>
      <c r="P7475" s="387"/>
      <c r="Q7475" s="387"/>
    </row>
    <row r="7476" spans="15:17" ht="20.100000000000001" customHeight="1">
      <c r="O7476" s="387"/>
      <c r="P7476" s="387"/>
      <c r="Q7476" s="387"/>
    </row>
    <row r="7477" spans="15:17" ht="20.100000000000001" customHeight="1">
      <c r="O7477" s="387"/>
      <c r="P7477" s="387"/>
      <c r="Q7477" s="387"/>
    </row>
    <row r="7478" spans="15:17" ht="20.100000000000001" customHeight="1">
      <c r="O7478" s="387"/>
      <c r="P7478" s="387"/>
      <c r="Q7478" s="387"/>
    </row>
    <row r="7479" spans="15:17" ht="20.100000000000001" customHeight="1">
      <c r="O7479" s="387"/>
      <c r="P7479" s="387"/>
      <c r="Q7479" s="387"/>
    </row>
    <row r="7480" spans="15:17" ht="20.100000000000001" customHeight="1">
      <c r="O7480" s="387"/>
      <c r="P7480" s="387"/>
      <c r="Q7480" s="387"/>
    </row>
    <row r="7481" spans="15:17" ht="20.100000000000001" customHeight="1">
      <c r="O7481" s="387"/>
      <c r="P7481" s="387"/>
      <c r="Q7481" s="387"/>
    </row>
    <row r="7482" spans="15:17" ht="20.100000000000001" customHeight="1">
      <c r="O7482" s="387"/>
      <c r="P7482" s="387"/>
      <c r="Q7482" s="387"/>
    </row>
    <row r="7483" spans="15:17" ht="20.100000000000001" customHeight="1">
      <c r="O7483" s="387"/>
      <c r="P7483" s="387"/>
      <c r="Q7483" s="387"/>
    </row>
    <row r="7484" spans="15:17" ht="20.100000000000001" customHeight="1">
      <c r="O7484" s="387"/>
      <c r="P7484" s="387"/>
      <c r="Q7484" s="387"/>
    </row>
    <row r="7485" spans="15:17" ht="20.100000000000001" customHeight="1">
      <c r="O7485" s="387"/>
      <c r="P7485" s="387"/>
      <c r="Q7485" s="387"/>
    </row>
    <row r="7486" spans="15:17" ht="20.100000000000001" customHeight="1">
      <c r="O7486" s="387"/>
      <c r="P7486" s="387"/>
      <c r="Q7486" s="387"/>
    </row>
    <row r="7487" spans="15:17" ht="20.100000000000001" customHeight="1">
      <c r="O7487" s="387"/>
      <c r="P7487" s="387"/>
      <c r="Q7487" s="387"/>
    </row>
    <row r="7488" spans="15:17" ht="20.100000000000001" customHeight="1">
      <c r="O7488" s="387"/>
      <c r="P7488" s="387"/>
      <c r="Q7488" s="387"/>
    </row>
    <row r="7489" spans="15:17" ht="20.100000000000001" customHeight="1">
      <c r="O7489" s="387"/>
      <c r="P7489" s="387"/>
      <c r="Q7489" s="387"/>
    </row>
    <row r="7490" spans="15:17" ht="20.100000000000001" customHeight="1">
      <c r="O7490" s="387"/>
      <c r="P7490" s="387"/>
      <c r="Q7490" s="387"/>
    </row>
    <row r="7491" spans="15:17" ht="20.100000000000001" customHeight="1">
      <c r="O7491" s="387"/>
      <c r="P7491" s="387"/>
      <c r="Q7491" s="387"/>
    </row>
    <row r="7492" spans="15:17" ht="20.100000000000001" customHeight="1">
      <c r="O7492" s="387"/>
      <c r="P7492" s="387"/>
      <c r="Q7492" s="387"/>
    </row>
    <row r="7493" spans="15:17" ht="20.100000000000001" customHeight="1">
      <c r="O7493" s="387"/>
      <c r="P7493" s="387"/>
      <c r="Q7493" s="387"/>
    </row>
    <row r="7494" spans="15:17" ht="20.100000000000001" customHeight="1">
      <c r="O7494" s="387"/>
      <c r="P7494" s="387"/>
      <c r="Q7494" s="387"/>
    </row>
    <row r="7495" spans="15:17" ht="20.100000000000001" customHeight="1">
      <c r="O7495" s="387"/>
      <c r="P7495" s="387"/>
      <c r="Q7495" s="387"/>
    </row>
    <row r="7496" spans="15:17" ht="20.100000000000001" customHeight="1">
      <c r="O7496" s="387"/>
      <c r="P7496" s="387"/>
      <c r="Q7496" s="387"/>
    </row>
    <row r="7497" spans="15:17" ht="20.100000000000001" customHeight="1">
      <c r="O7497" s="387"/>
      <c r="P7497" s="387"/>
      <c r="Q7497" s="387"/>
    </row>
    <row r="7498" spans="15:17" ht="20.100000000000001" customHeight="1">
      <c r="O7498" s="387"/>
      <c r="P7498" s="387"/>
      <c r="Q7498" s="387"/>
    </row>
    <row r="7499" spans="15:17" ht="20.100000000000001" customHeight="1">
      <c r="O7499" s="387"/>
      <c r="P7499" s="387"/>
      <c r="Q7499" s="387"/>
    </row>
    <row r="7500" spans="15:17" ht="20.100000000000001" customHeight="1">
      <c r="O7500" s="387"/>
      <c r="P7500" s="387"/>
      <c r="Q7500" s="387"/>
    </row>
    <row r="7501" spans="15:17" ht="20.100000000000001" customHeight="1">
      <c r="O7501" s="387"/>
      <c r="P7501" s="387"/>
      <c r="Q7501" s="387"/>
    </row>
    <row r="7502" spans="15:17" ht="20.100000000000001" customHeight="1">
      <c r="O7502" s="387"/>
      <c r="P7502" s="387"/>
      <c r="Q7502" s="387"/>
    </row>
    <row r="7503" spans="15:17" ht="20.100000000000001" customHeight="1">
      <c r="O7503" s="387"/>
      <c r="P7503" s="387"/>
      <c r="Q7503" s="387"/>
    </row>
    <row r="7504" spans="15:17" ht="20.100000000000001" customHeight="1">
      <c r="O7504" s="387"/>
      <c r="P7504" s="387"/>
      <c r="Q7504" s="387"/>
    </row>
    <row r="7505" spans="15:17" ht="20.100000000000001" customHeight="1">
      <c r="O7505" s="387"/>
      <c r="P7505" s="387"/>
      <c r="Q7505" s="387"/>
    </row>
    <row r="7506" spans="15:17" ht="20.100000000000001" customHeight="1">
      <c r="O7506" s="387"/>
      <c r="P7506" s="387"/>
      <c r="Q7506" s="387"/>
    </row>
    <row r="7507" spans="15:17" ht="20.100000000000001" customHeight="1">
      <c r="O7507" s="387"/>
      <c r="P7507" s="387"/>
      <c r="Q7507" s="387"/>
    </row>
    <row r="7508" spans="15:17" ht="20.100000000000001" customHeight="1">
      <c r="O7508" s="387"/>
      <c r="P7508" s="387"/>
      <c r="Q7508" s="387"/>
    </row>
    <row r="7509" spans="15:17" ht="20.100000000000001" customHeight="1">
      <c r="O7509" s="387"/>
      <c r="P7509" s="387"/>
      <c r="Q7509" s="387"/>
    </row>
    <row r="7510" spans="15:17" ht="20.100000000000001" customHeight="1">
      <c r="O7510" s="387"/>
      <c r="P7510" s="387"/>
      <c r="Q7510" s="387"/>
    </row>
    <row r="7511" spans="15:17" ht="20.100000000000001" customHeight="1">
      <c r="O7511" s="387"/>
      <c r="P7511" s="387"/>
      <c r="Q7511" s="387"/>
    </row>
    <row r="7512" spans="15:17" ht="20.100000000000001" customHeight="1">
      <c r="O7512" s="387"/>
      <c r="P7512" s="387"/>
      <c r="Q7512" s="387"/>
    </row>
    <row r="7513" spans="15:17" ht="20.100000000000001" customHeight="1">
      <c r="O7513" s="387"/>
      <c r="P7513" s="387"/>
      <c r="Q7513" s="387"/>
    </row>
    <row r="7514" spans="15:17" ht="20.100000000000001" customHeight="1">
      <c r="O7514" s="387"/>
      <c r="P7514" s="387"/>
      <c r="Q7514" s="387"/>
    </row>
    <row r="7515" spans="15:17" ht="20.100000000000001" customHeight="1">
      <c r="O7515" s="387"/>
      <c r="P7515" s="387"/>
      <c r="Q7515" s="387"/>
    </row>
    <row r="7516" spans="15:17" ht="20.100000000000001" customHeight="1">
      <c r="O7516" s="387"/>
      <c r="P7516" s="387"/>
      <c r="Q7516" s="387"/>
    </row>
    <row r="7517" spans="15:17" ht="20.100000000000001" customHeight="1">
      <c r="O7517" s="387"/>
      <c r="P7517" s="387"/>
      <c r="Q7517" s="387"/>
    </row>
    <row r="7518" spans="15:17" ht="20.100000000000001" customHeight="1">
      <c r="O7518" s="387"/>
      <c r="P7518" s="387"/>
      <c r="Q7518" s="387"/>
    </row>
    <row r="7519" spans="15:17" ht="20.100000000000001" customHeight="1">
      <c r="O7519" s="387"/>
      <c r="P7519" s="387"/>
      <c r="Q7519" s="387"/>
    </row>
    <row r="7520" spans="15:17" ht="20.100000000000001" customHeight="1">
      <c r="O7520" s="387"/>
      <c r="P7520" s="387"/>
      <c r="Q7520" s="387"/>
    </row>
    <row r="7521" spans="15:17" ht="20.100000000000001" customHeight="1">
      <c r="O7521" s="387"/>
      <c r="P7521" s="387"/>
      <c r="Q7521" s="387"/>
    </row>
    <row r="7522" spans="15:17" ht="20.100000000000001" customHeight="1">
      <c r="O7522" s="387"/>
      <c r="P7522" s="387"/>
      <c r="Q7522" s="387"/>
    </row>
    <row r="7523" spans="15:17" ht="20.100000000000001" customHeight="1">
      <c r="O7523" s="387"/>
      <c r="P7523" s="387"/>
      <c r="Q7523" s="387"/>
    </row>
    <row r="7524" spans="15:17" ht="20.100000000000001" customHeight="1">
      <c r="O7524" s="387"/>
      <c r="P7524" s="387"/>
      <c r="Q7524" s="387"/>
    </row>
    <row r="7525" spans="15:17" ht="20.100000000000001" customHeight="1">
      <c r="O7525" s="387"/>
      <c r="P7525" s="387"/>
      <c r="Q7525" s="387"/>
    </row>
    <row r="7526" spans="15:17" ht="20.100000000000001" customHeight="1">
      <c r="O7526" s="387"/>
      <c r="P7526" s="387"/>
      <c r="Q7526" s="387"/>
    </row>
    <row r="7527" spans="15:17" ht="20.100000000000001" customHeight="1">
      <c r="O7527" s="387"/>
      <c r="P7527" s="387"/>
      <c r="Q7527" s="387"/>
    </row>
    <row r="7528" spans="15:17" ht="20.100000000000001" customHeight="1">
      <c r="O7528" s="387"/>
      <c r="P7528" s="387"/>
      <c r="Q7528" s="387"/>
    </row>
    <row r="7529" spans="15:17" ht="20.100000000000001" customHeight="1">
      <c r="O7529" s="387"/>
      <c r="P7529" s="387"/>
      <c r="Q7529" s="387"/>
    </row>
    <row r="7530" spans="15:17" ht="20.100000000000001" customHeight="1">
      <c r="O7530" s="387"/>
      <c r="P7530" s="387"/>
      <c r="Q7530" s="387"/>
    </row>
    <row r="7531" spans="15:17" ht="20.100000000000001" customHeight="1">
      <c r="O7531" s="387"/>
      <c r="P7531" s="387"/>
      <c r="Q7531" s="387"/>
    </row>
    <row r="7532" spans="15:17" ht="20.100000000000001" customHeight="1">
      <c r="O7532" s="387"/>
      <c r="P7532" s="387"/>
      <c r="Q7532" s="387"/>
    </row>
    <row r="7533" spans="15:17" ht="20.100000000000001" customHeight="1">
      <c r="O7533" s="387"/>
      <c r="P7533" s="387"/>
      <c r="Q7533" s="387"/>
    </row>
    <row r="7534" spans="15:17" ht="20.100000000000001" customHeight="1">
      <c r="O7534" s="387"/>
      <c r="P7534" s="387"/>
      <c r="Q7534" s="387"/>
    </row>
    <row r="7535" spans="15:17" ht="20.100000000000001" customHeight="1">
      <c r="O7535" s="387"/>
      <c r="P7535" s="387"/>
      <c r="Q7535" s="387"/>
    </row>
    <row r="7536" spans="15:17" ht="20.100000000000001" customHeight="1">
      <c r="O7536" s="387"/>
      <c r="P7536" s="387"/>
      <c r="Q7536" s="387"/>
    </row>
    <row r="7537" spans="15:17" ht="20.100000000000001" customHeight="1">
      <c r="O7537" s="387"/>
      <c r="P7537" s="387"/>
      <c r="Q7537" s="387"/>
    </row>
    <row r="7538" spans="15:17" ht="20.100000000000001" customHeight="1">
      <c r="O7538" s="387"/>
      <c r="P7538" s="387"/>
      <c r="Q7538" s="387"/>
    </row>
    <row r="7539" spans="15:17" ht="20.100000000000001" customHeight="1">
      <c r="O7539" s="387"/>
      <c r="P7539" s="387"/>
      <c r="Q7539" s="387"/>
    </row>
    <row r="7540" spans="15:17" ht="20.100000000000001" customHeight="1">
      <c r="O7540" s="387"/>
      <c r="P7540" s="387"/>
      <c r="Q7540" s="387"/>
    </row>
    <row r="7541" spans="15:17" ht="20.100000000000001" customHeight="1">
      <c r="O7541" s="387"/>
      <c r="P7541" s="387"/>
      <c r="Q7541" s="387"/>
    </row>
    <row r="7542" spans="15:17" ht="20.100000000000001" customHeight="1">
      <c r="O7542" s="387"/>
      <c r="P7542" s="387"/>
      <c r="Q7542" s="387"/>
    </row>
    <row r="7543" spans="15:17" ht="20.100000000000001" customHeight="1">
      <c r="O7543" s="387"/>
      <c r="P7543" s="387"/>
      <c r="Q7543" s="387"/>
    </row>
    <row r="7544" spans="15:17" ht="20.100000000000001" customHeight="1">
      <c r="O7544" s="387"/>
      <c r="P7544" s="387"/>
      <c r="Q7544" s="387"/>
    </row>
    <row r="7545" spans="15:17" ht="20.100000000000001" customHeight="1">
      <c r="O7545" s="387"/>
      <c r="P7545" s="387"/>
      <c r="Q7545" s="387"/>
    </row>
    <row r="7546" spans="15:17" ht="20.100000000000001" customHeight="1">
      <c r="O7546" s="387"/>
      <c r="P7546" s="387"/>
      <c r="Q7546" s="387"/>
    </row>
    <row r="7547" spans="15:17" ht="20.100000000000001" customHeight="1">
      <c r="O7547" s="387"/>
      <c r="P7547" s="387"/>
      <c r="Q7547" s="387"/>
    </row>
    <row r="7548" spans="15:17" ht="20.100000000000001" customHeight="1">
      <c r="O7548" s="387"/>
      <c r="P7548" s="387"/>
      <c r="Q7548" s="387"/>
    </row>
    <row r="7549" spans="15:17" ht="20.100000000000001" customHeight="1">
      <c r="O7549" s="387"/>
      <c r="P7549" s="387"/>
      <c r="Q7549" s="387"/>
    </row>
    <row r="7550" spans="15:17" ht="20.100000000000001" customHeight="1">
      <c r="O7550" s="387"/>
      <c r="P7550" s="387"/>
      <c r="Q7550" s="387"/>
    </row>
    <row r="7551" spans="15:17" ht="20.100000000000001" customHeight="1">
      <c r="O7551" s="387"/>
      <c r="P7551" s="387"/>
      <c r="Q7551" s="387"/>
    </row>
    <row r="7552" spans="15:17" ht="20.100000000000001" customHeight="1">
      <c r="O7552" s="387"/>
      <c r="P7552" s="387"/>
      <c r="Q7552" s="387"/>
    </row>
    <row r="7553" spans="15:17" ht="20.100000000000001" customHeight="1">
      <c r="O7553" s="387"/>
      <c r="P7553" s="387"/>
      <c r="Q7553" s="387"/>
    </row>
    <row r="7554" spans="15:17" ht="20.100000000000001" customHeight="1">
      <c r="O7554" s="387"/>
      <c r="P7554" s="387"/>
      <c r="Q7554" s="387"/>
    </row>
    <row r="7555" spans="15:17" ht="20.100000000000001" customHeight="1">
      <c r="O7555" s="387"/>
      <c r="P7555" s="387"/>
      <c r="Q7555" s="387"/>
    </row>
    <row r="7556" spans="15:17" ht="20.100000000000001" customHeight="1">
      <c r="O7556" s="387"/>
      <c r="P7556" s="387"/>
      <c r="Q7556" s="387"/>
    </row>
    <row r="7557" spans="15:17" ht="20.100000000000001" customHeight="1">
      <c r="O7557" s="387"/>
      <c r="P7557" s="387"/>
      <c r="Q7557" s="387"/>
    </row>
    <row r="7558" spans="15:17" ht="20.100000000000001" customHeight="1">
      <c r="O7558" s="387"/>
      <c r="P7558" s="387"/>
      <c r="Q7558" s="387"/>
    </row>
    <row r="7559" spans="15:17" ht="20.100000000000001" customHeight="1">
      <c r="O7559" s="387"/>
      <c r="P7559" s="387"/>
      <c r="Q7559" s="387"/>
    </row>
    <row r="7560" spans="15:17" ht="20.100000000000001" customHeight="1">
      <c r="O7560" s="387"/>
      <c r="P7560" s="387"/>
      <c r="Q7560" s="387"/>
    </row>
    <row r="7561" spans="15:17" ht="20.100000000000001" customHeight="1">
      <c r="O7561" s="387"/>
      <c r="P7561" s="387"/>
      <c r="Q7561" s="387"/>
    </row>
    <row r="7562" spans="15:17" ht="20.100000000000001" customHeight="1">
      <c r="O7562" s="387"/>
      <c r="P7562" s="387"/>
      <c r="Q7562" s="387"/>
    </row>
    <row r="7563" spans="15:17" ht="20.100000000000001" customHeight="1">
      <c r="O7563" s="387"/>
      <c r="P7563" s="387"/>
      <c r="Q7563" s="387"/>
    </row>
    <row r="7564" spans="15:17" ht="20.100000000000001" customHeight="1">
      <c r="O7564" s="387"/>
      <c r="P7564" s="387"/>
      <c r="Q7564" s="387"/>
    </row>
    <row r="7565" spans="15:17" ht="20.100000000000001" customHeight="1">
      <c r="O7565" s="387"/>
      <c r="P7565" s="387"/>
      <c r="Q7565" s="387"/>
    </row>
    <row r="7566" spans="15:17" ht="20.100000000000001" customHeight="1">
      <c r="O7566" s="387"/>
      <c r="P7566" s="387"/>
      <c r="Q7566" s="387"/>
    </row>
    <row r="7567" spans="15:17" ht="20.100000000000001" customHeight="1">
      <c r="O7567" s="387"/>
      <c r="P7567" s="387"/>
      <c r="Q7567" s="387"/>
    </row>
    <row r="7568" spans="15:17" ht="20.100000000000001" customHeight="1">
      <c r="O7568" s="387"/>
      <c r="P7568" s="387"/>
      <c r="Q7568" s="387"/>
    </row>
    <row r="7569" spans="15:17" ht="20.100000000000001" customHeight="1">
      <c r="O7569" s="387"/>
      <c r="P7569" s="387"/>
      <c r="Q7569" s="387"/>
    </row>
    <row r="7570" spans="15:17" ht="20.100000000000001" customHeight="1">
      <c r="O7570" s="387"/>
      <c r="P7570" s="387"/>
      <c r="Q7570" s="387"/>
    </row>
    <row r="7571" spans="15:17" ht="20.100000000000001" customHeight="1">
      <c r="O7571" s="387"/>
      <c r="P7571" s="387"/>
      <c r="Q7571" s="387"/>
    </row>
    <row r="7572" spans="15:17" ht="20.100000000000001" customHeight="1">
      <c r="O7572" s="387"/>
      <c r="P7572" s="387"/>
      <c r="Q7572" s="387"/>
    </row>
    <row r="7573" spans="15:17" ht="20.100000000000001" customHeight="1">
      <c r="O7573" s="387"/>
      <c r="P7573" s="387"/>
      <c r="Q7573" s="387"/>
    </row>
    <row r="7574" spans="15:17" ht="20.100000000000001" customHeight="1">
      <c r="O7574" s="387"/>
      <c r="P7574" s="387"/>
      <c r="Q7574" s="387"/>
    </row>
    <row r="7575" spans="15:17" ht="20.100000000000001" customHeight="1">
      <c r="O7575" s="387"/>
      <c r="P7575" s="387"/>
      <c r="Q7575" s="387"/>
    </row>
    <row r="7576" spans="15:17" ht="20.100000000000001" customHeight="1">
      <c r="O7576" s="387"/>
      <c r="P7576" s="387"/>
      <c r="Q7576" s="387"/>
    </row>
    <row r="7577" spans="15:17" ht="20.100000000000001" customHeight="1">
      <c r="O7577" s="387"/>
      <c r="P7577" s="387"/>
      <c r="Q7577" s="387"/>
    </row>
    <row r="7578" spans="15:17" ht="20.100000000000001" customHeight="1">
      <c r="O7578" s="387"/>
      <c r="P7578" s="387"/>
      <c r="Q7578" s="387"/>
    </row>
    <row r="7579" spans="15:17" ht="20.100000000000001" customHeight="1">
      <c r="O7579" s="387"/>
      <c r="P7579" s="387"/>
      <c r="Q7579" s="387"/>
    </row>
    <row r="7580" spans="15:17" ht="20.100000000000001" customHeight="1">
      <c r="O7580" s="387"/>
      <c r="P7580" s="387"/>
      <c r="Q7580" s="387"/>
    </row>
    <row r="7581" spans="15:17" ht="20.100000000000001" customHeight="1">
      <c r="O7581" s="387"/>
      <c r="P7581" s="387"/>
      <c r="Q7581" s="387"/>
    </row>
    <row r="7582" spans="15:17" ht="20.100000000000001" customHeight="1">
      <c r="O7582" s="387"/>
      <c r="P7582" s="387"/>
      <c r="Q7582" s="387"/>
    </row>
    <row r="7583" spans="15:17" ht="20.100000000000001" customHeight="1">
      <c r="O7583" s="387"/>
      <c r="P7583" s="387"/>
      <c r="Q7583" s="387"/>
    </row>
    <row r="7584" spans="15:17" ht="20.100000000000001" customHeight="1">
      <c r="O7584" s="387"/>
      <c r="P7584" s="387"/>
      <c r="Q7584" s="387"/>
    </row>
    <row r="7585" spans="15:17" ht="20.100000000000001" customHeight="1">
      <c r="O7585" s="387"/>
      <c r="P7585" s="387"/>
      <c r="Q7585" s="387"/>
    </row>
    <row r="7586" spans="15:17" ht="20.100000000000001" customHeight="1">
      <c r="O7586" s="387"/>
      <c r="P7586" s="387"/>
      <c r="Q7586" s="387"/>
    </row>
    <row r="7587" spans="15:17" ht="20.100000000000001" customHeight="1">
      <c r="O7587" s="387"/>
      <c r="P7587" s="387"/>
      <c r="Q7587" s="387"/>
    </row>
    <row r="7588" spans="15:17" ht="20.100000000000001" customHeight="1">
      <c r="O7588" s="387"/>
      <c r="P7588" s="387"/>
      <c r="Q7588" s="387"/>
    </row>
    <row r="7589" spans="15:17" ht="20.100000000000001" customHeight="1">
      <c r="O7589" s="387"/>
      <c r="P7589" s="387"/>
      <c r="Q7589" s="387"/>
    </row>
    <row r="7590" spans="15:17" ht="20.100000000000001" customHeight="1">
      <c r="O7590" s="387"/>
      <c r="P7590" s="387"/>
      <c r="Q7590" s="387"/>
    </row>
    <row r="7591" spans="15:17" ht="20.100000000000001" customHeight="1">
      <c r="O7591" s="387"/>
      <c r="P7591" s="387"/>
      <c r="Q7591" s="387"/>
    </row>
    <row r="7592" spans="15:17" ht="20.100000000000001" customHeight="1">
      <c r="O7592" s="387"/>
      <c r="P7592" s="387"/>
      <c r="Q7592" s="387"/>
    </row>
    <row r="7593" spans="15:17" ht="20.100000000000001" customHeight="1">
      <c r="O7593" s="387"/>
      <c r="P7593" s="387"/>
      <c r="Q7593" s="387"/>
    </row>
    <row r="7594" spans="15:17" ht="20.100000000000001" customHeight="1">
      <c r="O7594" s="387"/>
      <c r="P7594" s="387"/>
      <c r="Q7594" s="387"/>
    </row>
    <row r="7595" spans="15:17" ht="20.100000000000001" customHeight="1">
      <c r="O7595" s="387"/>
      <c r="P7595" s="387"/>
      <c r="Q7595" s="387"/>
    </row>
    <row r="7596" spans="15:17" ht="20.100000000000001" customHeight="1">
      <c r="O7596" s="387"/>
      <c r="P7596" s="387"/>
      <c r="Q7596" s="387"/>
    </row>
    <row r="7597" spans="15:17" ht="20.100000000000001" customHeight="1">
      <c r="O7597" s="387"/>
      <c r="P7597" s="387"/>
      <c r="Q7597" s="387"/>
    </row>
    <row r="7598" spans="15:17" ht="20.100000000000001" customHeight="1">
      <c r="O7598" s="387"/>
      <c r="P7598" s="387"/>
      <c r="Q7598" s="387"/>
    </row>
    <row r="7599" spans="15:17" ht="20.100000000000001" customHeight="1">
      <c r="O7599" s="387"/>
      <c r="P7599" s="387"/>
      <c r="Q7599" s="387"/>
    </row>
    <row r="7600" spans="15:17" ht="20.100000000000001" customHeight="1">
      <c r="O7600" s="387"/>
      <c r="P7600" s="387"/>
      <c r="Q7600" s="387"/>
    </row>
    <row r="7601" spans="15:17" ht="20.100000000000001" customHeight="1">
      <c r="O7601" s="387"/>
      <c r="P7601" s="387"/>
      <c r="Q7601" s="387"/>
    </row>
    <row r="7602" spans="15:17" ht="20.100000000000001" customHeight="1">
      <c r="O7602" s="387"/>
      <c r="P7602" s="387"/>
      <c r="Q7602" s="387"/>
    </row>
    <row r="7603" spans="15:17" ht="20.100000000000001" customHeight="1">
      <c r="O7603" s="387"/>
      <c r="P7603" s="387"/>
      <c r="Q7603" s="387"/>
    </row>
    <row r="7604" spans="15:17" ht="20.100000000000001" customHeight="1">
      <c r="O7604" s="387"/>
      <c r="P7604" s="387"/>
      <c r="Q7604" s="387"/>
    </row>
    <row r="7605" spans="15:17" ht="20.100000000000001" customHeight="1">
      <c r="O7605" s="387"/>
      <c r="P7605" s="387"/>
      <c r="Q7605" s="387"/>
    </row>
    <row r="7606" spans="15:17" ht="20.100000000000001" customHeight="1">
      <c r="O7606" s="387"/>
      <c r="P7606" s="387"/>
      <c r="Q7606" s="387"/>
    </row>
    <row r="7607" spans="15:17" ht="20.100000000000001" customHeight="1">
      <c r="O7607" s="387"/>
      <c r="P7607" s="387"/>
      <c r="Q7607" s="387"/>
    </row>
    <row r="7608" spans="15:17" ht="20.100000000000001" customHeight="1">
      <c r="O7608" s="387"/>
      <c r="P7608" s="387"/>
      <c r="Q7608" s="387"/>
    </row>
    <row r="7609" spans="15:17" ht="20.100000000000001" customHeight="1">
      <c r="O7609" s="387"/>
      <c r="P7609" s="387"/>
      <c r="Q7609" s="387"/>
    </row>
    <row r="7610" spans="15:17" ht="20.100000000000001" customHeight="1">
      <c r="O7610" s="387"/>
      <c r="P7610" s="387"/>
      <c r="Q7610" s="387"/>
    </row>
    <row r="7611" spans="15:17" ht="20.100000000000001" customHeight="1">
      <c r="O7611" s="387"/>
      <c r="P7611" s="387"/>
      <c r="Q7611" s="387"/>
    </row>
    <row r="7612" spans="15:17" ht="20.100000000000001" customHeight="1">
      <c r="O7612" s="387"/>
      <c r="P7612" s="387"/>
      <c r="Q7612" s="387"/>
    </row>
    <row r="7613" spans="15:17" ht="20.100000000000001" customHeight="1">
      <c r="O7613" s="387"/>
      <c r="P7613" s="387"/>
      <c r="Q7613" s="387"/>
    </row>
    <row r="7614" spans="15:17" ht="20.100000000000001" customHeight="1">
      <c r="O7614" s="387"/>
      <c r="P7614" s="387"/>
      <c r="Q7614" s="387"/>
    </row>
    <row r="7615" spans="15:17" ht="20.100000000000001" customHeight="1">
      <c r="O7615" s="387"/>
      <c r="P7615" s="387"/>
      <c r="Q7615" s="387"/>
    </row>
    <row r="7616" spans="15:17" ht="20.100000000000001" customHeight="1">
      <c r="O7616" s="387"/>
      <c r="P7616" s="387"/>
      <c r="Q7616" s="387"/>
    </row>
    <row r="7617" spans="15:17" ht="20.100000000000001" customHeight="1">
      <c r="O7617" s="387"/>
      <c r="P7617" s="387"/>
      <c r="Q7617" s="387"/>
    </row>
    <row r="7618" spans="15:17" ht="20.100000000000001" customHeight="1">
      <c r="O7618" s="387"/>
      <c r="P7618" s="387"/>
      <c r="Q7618" s="387"/>
    </row>
    <row r="7619" spans="15:17" ht="20.100000000000001" customHeight="1">
      <c r="O7619" s="387"/>
      <c r="P7619" s="387"/>
      <c r="Q7619" s="387"/>
    </row>
    <row r="7620" spans="15:17" ht="20.100000000000001" customHeight="1">
      <c r="O7620" s="387"/>
      <c r="P7620" s="387"/>
      <c r="Q7620" s="387"/>
    </row>
    <row r="7621" spans="15:17" ht="20.100000000000001" customHeight="1">
      <c r="O7621" s="387"/>
      <c r="P7621" s="387"/>
      <c r="Q7621" s="387"/>
    </row>
    <row r="7622" spans="15:17" ht="20.100000000000001" customHeight="1">
      <c r="O7622" s="387"/>
      <c r="P7622" s="387"/>
      <c r="Q7622" s="387"/>
    </row>
    <row r="7623" spans="15:17" ht="20.100000000000001" customHeight="1">
      <c r="O7623" s="387"/>
      <c r="P7623" s="387"/>
      <c r="Q7623" s="387"/>
    </row>
    <row r="7624" spans="15:17" ht="20.100000000000001" customHeight="1">
      <c r="O7624" s="387"/>
      <c r="P7624" s="387"/>
      <c r="Q7624" s="387"/>
    </row>
    <row r="7625" spans="15:17" ht="20.100000000000001" customHeight="1">
      <c r="O7625" s="387"/>
      <c r="P7625" s="387"/>
      <c r="Q7625" s="387"/>
    </row>
    <row r="7626" spans="15:17" ht="20.100000000000001" customHeight="1">
      <c r="O7626" s="387"/>
      <c r="P7626" s="387"/>
      <c r="Q7626" s="387"/>
    </row>
    <row r="7627" spans="15:17" ht="20.100000000000001" customHeight="1">
      <c r="O7627" s="387"/>
      <c r="P7627" s="387"/>
      <c r="Q7627" s="387"/>
    </row>
    <row r="7628" spans="15:17" ht="20.100000000000001" customHeight="1">
      <c r="O7628" s="387"/>
      <c r="P7628" s="387"/>
      <c r="Q7628" s="387"/>
    </row>
    <row r="7629" spans="15:17" ht="20.100000000000001" customHeight="1">
      <c r="O7629" s="387"/>
      <c r="P7629" s="387"/>
      <c r="Q7629" s="387"/>
    </row>
    <row r="7630" spans="15:17" ht="20.100000000000001" customHeight="1">
      <c r="O7630" s="387"/>
      <c r="P7630" s="387"/>
      <c r="Q7630" s="387"/>
    </row>
    <row r="7631" spans="15:17" ht="20.100000000000001" customHeight="1">
      <c r="O7631" s="387"/>
      <c r="P7631" s="387"/>
      <c r="Q7631" s="387"/>
    </row>
    <row r="7632" spans="15:17" ht="20.100000000000001" customHeight="1">
      <c r="O7632" s="387"/>
      <c r="P7632" s="387"/>
      <c r="Q7632" s="387"/>
    </row>
    <row r="7633" spans="15:17" ht="20.100000000000001" customHeight="1">
      <c r="O7633" s="387"/>
      <c r="P7633" s="387"/>
      <c r="Q7633" s="387"/>
    </row>
    <row r="7634" spans="15:17" ht="20.100000000000001" customHeight="1">
      <c r="O7634" s="387"/>
      <c r="P7634" s="387"/>
      <c r="Q7634" s="387"/>
    </row>
    <row r="7635" spans="15:17" ht="20.100000000000001" customHeight="1">
      <c r="O7635" s="387"/>
      <c r="P7635" s="387"/>
      <c r="Q7635" s="387"/>
    </row>
    <row r="7636" spans="15:17" ht="20.100000000000001" customHeight="1">
      <c r="O7636" s="387"/>
      <c r="P7636" s="387"/>
      <c r="Q7636" s="387"/>
    </row>
    <row r="7637" spans="15:17" ht="20.100000000000001" customHeight="1">
      <c r="O7637" s="387"/>
      <c r="P7637" s="387"/>
      <c r="Q7637" s="387"/>
    </row>
    <row r="7638" spans="15:17" ht="20.100000000000001" customHeight="1">
      <c r="O7638" s="387"/>
      <c r="P7638" s="387"/>
      <c r="Q7638" s="387"/>
    </row>
    <row r="7639" spans="15:17" ht="20.100000000000001" customHeight="1">
      <c r="O7639" s="387"/>
      <c r="P7639" s="387"/>
      <c r="Q7639" s="387"/>
    </row>
    <row r="7640" spans="15:17" ht="20.100000000000001" customHeight="1">
      <c r="O7640" s="387"/>
      <c r="P7640" s="387"/>
      <c r="Q7640" s="387"/>
    </row>
    <row r="7641" spans="15:17" ht="20.100000000000001" customHeight="1">
      <c r="O7641" s="387"/>
      <c r="P7641" s="387"/>
      <c r="Q7641" s="387"/>
    </row>
    <row r="7642" spans="15:17" ht="20.100000000000001" customHeight="1">
      <c r="O7642" s="387"/>
      <c r="P7642" s="387"/>
      <c r="Q7642" s="387"/>
    </row>
    <row r="7643" spans="15:17" ht="20.100000000000001" customHeight="1">
      <c r="O7643" s="387"/>
      <c r="P7643" s="387"/>
      <c r="Q7643" s="387"/>
    </row>
    <row r="7644" spans="15:17" ht="20.100000000000001" customHeight="1">
      <c r="O7644" s="387"/>
      <c r="P7644" s="387"/>
      <c r="Q7644" s="387"/>
    </row>
    <row r="7645" spans="15:17" ht="20.100000000000001" customHeight="1">
      <c r="O7645" s="387"/>
      <c r="P7645" s="387"/>
      <c r="Q7645" s="387"/>
    </row>
    <row r="7646" spans="15:17" ht="20.100000000000001" customHeight="1">
      <c r="O7646" s="387"/>
      <c r="P7646" s="387"/>
      <c r="Q7646" s="387"/>
    </row>
    <row r="7647" spans="15:17" ht="20.100000000000001" customHeight="1">
      <c r="O7647" s="387"/>
      <c r="P7647" s="387"/>
      <c r="Q7647" s="387"/>
    </row>
    <row r="7648" spans="15:17" ht="20.100000000000001" customHeight="1">
      <c r="O7648" s="387"/>
      <c r="P7648" s="387"/>
      <c r="Q7648" s="387"/>
    </row>
    <row r="7649" spans="15:17" ht="20.100000000000001" customHeight="1">
      <c r="O7649" s="387"/>
      <c r="P7649" s="387"/>
      <c r="Q7649" s="387"/>
    </row>
    <row r="7650" spans="15:17" ht="20.100000000000001" customHeight="1">
      <c r="O7650" s="387"/>
      <c r="P7650" s="387"/>
      <c r="Q7650" s="387"/>
    </row>
    <row r="7651" spans="15:17" ht="20.100000000000001" customHeight="1">
      <c r="O7651" s="387"/>
      <c r="P7651" s="387"/>
      <c r="Q7651" s="387"/>
    </row>
    <row r="7652" spans="15:17" ht="20.100000000000001" customHeight="1">
      <c r="O7652" s="387"/>
      <c r="P7652" s="387"/>
      <c r="Q7652" s="387"/>
    </row>
    <row r="7653" spans="15:17" ht="20.100000000000001" customHeight="1">
      <c r="O7653" s="387"/>
      <c r="P7653" s="387"/>
      <c r="Q7653" s="387"/>
    </row>
    <row r="7654" spans="15:17" ht="20.100000000000001" customHeight="1">
      <c r="O7654" s="387"/>
      <c r="P7654" s="387"/>
      <c r="Q7654" s="387"/>
    </row>
    <row r="7655" spans="15:17" ht="20.100000000000001" customHeight="1">
      <c r="O7655" s="387"/>
      <c r="P7655" s="387"/>
      <c r="Q7655" s="387"/>
    </row>
    <row r="7656" spans="15:17" ht="20.100000000000001" customHeight="1">
      <c r="O7656" s="387"/>
      <c r="P7656" s="387"/>
      <c r="Q7656" s="387"/>
    </row>
    <row r="7657" spans="15:17" ht="20.100000000000001" customHeight="1">
      <c r="O7657" s="387"/>
      <c r="P7657" s="387"/>
      <c r="Q7657" s="387"/>
    </row>
    <row r="7658" spans="15:17" ht="20.100000000000001" customHeight="1">
      <c r="O7658" s="387"/>
      <c r="P7658" s="387"/>
      <c r="Q7658" s="387"/>
    </row>
    <row r="7659" spans="15:17" ht="20.100000000000001" customHeight="1">
      <c r="O7659" s="387"/>
      <c r="P7659" s="387"/>
      <c r="Q7659" s="387"/>
    </row>
    <row r="7660" spans="15:17" ht="20.100000000000001" customHeight="1">
      <c r="O7660" s="387"/>
      <c r="P7660" s="387"/>
      <c r="Q7660" s="387"/>
    </row>
    <row r="7661" spans="15:17" ht="20.100000000000001" customHeight="1">
      <c r="O7661" s="387"/>
      <c r="P7661" s="387"/>
      <c r="Q7661" s="387"/>
    </row>
    <row r="7662" spans="15:17" ht="20.100000000000001" customHeight="1">
      <c r="O7662" s="387"/>
      <c r="P7662" s="387"/>
      <c r="Q7662" s="387"/>
    </row>
    <row r="7663" spans="15:17" ht="20.100000000000001" customHeight="1">
      <c r="O7663" s="387"/>
      <c r="P7663" s="387"/>
      <c r="Q7663" s="387"/>
    </row>
    <row r="7664" spans="15:17" ht="20.100000000000001" customHeight="1">
      <c r="O7664" s="387"/>
      <c r="P7664" s="387"/>
      <c r="Q7664" s="387"/>
    </row>
    <row r="7665" spans="15:17" ht="20.100000000000001" customHeight="1">
      <c r="O7665" s="387"/>
      <c r="P7665" s="387"/>
      <c r="Q7665" s="387"/>
    </row>
    <row r="7666" spans="15:17" ht="20.100000000000001" customHeight="1">
      <c r="O7666" s="387"/>
      <c r="P7666" s="387"/>
      <c r="Q7666" s="387"/>
    </row>
    <row r="7667" spans="15:17" ht="20.100000000000001" customHeight="1">
      <c r="O7667" s="387"/>
      <c r="P7667" s="387"/>
      <c r="Q7667" s="387"/>
    </row>
    <row r="7668" spans="15:17" ht="20.100000000000001" customHeight="1">
      <c r="O7668" s="387"/>
      <c r="P7668" s="387"/>
      <c r="Q7668" s="387"/>
    </row>
    <row r="7669" spans="15:17" ht="20.100000000000001" customHeight="1">
      <c r="O7669" s="387"/>
      <c r="P7669" s="387"/>
      <c r="Q7669" s="387"/>
    </row>
    <row r="7670" spans="15:17" ht="20.100000000000001" customHeight="1">
      <c r="O7670" s="387"/>
      <c r="P7670" s="387"/>
      <c r="Q7670" s="387"/>
    </row>
    <row r="7671" spans="15:17" ht="20.100000000000001" customHeight="1">
      <c r="O7671" s="387"/>
      <c r="P7671" s="387"/>
      <c r="Q7671" s="387"/>
    </row>
    <row r="7672" spans="15:17" ht="20.100000000000001" customHeight="1">
      <c r="O7672" s="387"/>
      <c r="P7672" s="387"/>
      <c r="Q7672" s="387"/>
    </row>
    <row r="7673" spans="15:17" ht="20.100000000000001" customHeight="1">
      <c r="O7673" s="387"/>
      <c r="P7673" s="387"/>
      <c r="Q7673" s="387"/>
    </row>
    <row r="7674" spans="15:17" ht="20.100000000000001" customHeight="1">
      <c r="O7674" s="387"/>
      <c r="P7674" s="387"/>
      <c r="Q7674" s="387"/>
    </row>
    <row r="7675" spans="15:17" ht="20.100000000000001" customHeight="1">
      <c r="O7675" s="387"/>
      <c r="P7675" s="387"/>
      <c r="Q7675" s="387"/>
    </row>
    <row r="7676" spans="15:17" ht="20.100000000000001" customHeight="1">
      <c r="O7676" s="387"/>
      <c r="P7676" s="387"/>
      <c r="Q7676" s="387"/>
    </row>
    <row r="7677" spans="15:17" ht="20.100000000000001" customHeight="1">
      <c r="O7677" s="387"/>
      <c r="P7677" s="387"/>
      <c r="Q7677" s="387"/>
    </row>
    <row r="7678" spans="15:17" ht="20.100000000000001" customHeight="1">
      <c r="O7678" s="387"/>
      <c r="P7678" s="387"/>
      <c r="Q7678" s="387"/>
    </row>
    <row r="7679" spans="15:17" ht="20.100000000000001" customHeight="1">
      <c r="O7679" s="387"/>
      <c r="P7679" s="387"/>
      <c r="Q7679" s="387"/>
    </row>
    <row r="7680" spans="15:17" ht="20.100000000000001" customHeight="1">
      <c r="O7680" s="387"/>
      <c r="P7680" s="387"/>
      <c r="Q7680" s="387"/>
    </row>
    <row r="7681" spans="15:17" ht="20.100000000000001" customHeight="1">
      <c r="O7681" s="387"/>
      <c r="P7681" s="387"/>
      <c r="Q7681" s="387"/>
    </row>
    <row r="7682" spans="15:17" ht="20.100000000000001" customHeight="1">
      <c r="O7682" s="387"/>
      <c r="P7682" s="387"/>
      <c r="Q7682" s="387"/>
    </row>
    <row r="7683" spans="15:17" ht="20.100000000000001" customHeight="1">
      <c r="O7683" s="387"/>
      <c r="P7683" s="387"/>
      <c r="Q7683" s="387"/>
    </row>
    <row r="7684" spans="15:17" ht="20.100000000000001" customHeight="1">
      <c r="O7684" s="387"/>
      <c r="P7684" s="387"/>
      <c r="Q7684" s="387"/>
    </row>
    <row r="7685" spans="15:17" ht="20.100000000000001" customHeight="1">
      <c r="O7685" s="387"/>
      <c r="P7685" s="387"/>
      <c r="Q7685" s="387"/>
    </row>
    <row r="7686" spans="15:17" ht="20.100000000000001" customHeight="1">
      <c r="O7686" s="387"/>
      <c r="P7686" s="387"/>
      <c r="Q7686" s="387"/>
    </row>
    <row r="7687" spans="15:17" ht="20.100000000000001" customHeight="1">
      <c r="O7687" s="387"/>
      <c r="P7687" s="387"/>
      <c r="Q7687" s="387"/>
    </row>
    <row r="7688" spans="15:17" ht="20.100000000000001" customHeight="1">
      <c r="O7688" s="387"/>
      <c r="P7688" s="387"/>
      <c r="Q7688" s="387"/>
    </row>
    <row r="7689" spans="15:17" ht="20.100000000000001" customHeight="1">
      <c r="O7689" s="387"/>
      <c r="P7689" s="387"/>
      <c r="Q7689" s="387"/>
    </row>
    <row r="7690" spans="15:17" ht="20.100000000000001" customHeight="1">
      <c r="O7690" s="387"/>
      <c r="P7690" s="387"/>
      <c r="Q7690" s="387"/>
    </row>
    <row r="7691" spans="15:17" ht="20.100000000000001" customHeight="1">
      <c r="O7691" s="387"/>
      <c r="P7691" s="387"/>
      <c r="Q7691" s="387"/>
    </row>
    <row r="7692" spans="15:17" ht="20.100000000000001" customHeight="1">
      <c r="O7692" s="387"/>
      <c r="P7692" s="387"/>
      <c r="Q7692" s="387"/>
    </row>
    <row r="7693" spans="15:17" ht="20.100000000000001" customHeight="1">
      <c r="O7693" s="387"/>
      <c r="P7693" s="387"/>
      <c r="Q7693" s="387"/>
    </row>
    <row r="7694" spans="15:17" ht="20.100000000000001" customHeight="1">
      <c r="O7694" s="387"/>
      <c r="P7694" s="387"/>
      <c r="Q7694" s="387"/>
    </row>
    <row r="7695" spans="15:17" ht="20.100000000000001" customHeight="1">
      <c r="O7695" s="387"/>
      <c r="P7695" s="387"/>
      <c r="Q7695" s="387"/>
    </row>
    <row r="7696" spans="15:17" ht="20.100000000000001" customHeight="1">
      <c r="O7696" s="387"/>
      <c r="P7696" s="387"/>
      <c r="Q7696" s="387"/>
    </row>
    <row r="7697" spans="15:17" ht="20.100000000000001" customHeight="1">
      <c r="O7697" s="387"/>
      <c r="P7697" s="387"/>
      <c r="Q7697" s="387"/>
    </row>
    <row r="7698" spans="15:17" ht="20.100000000000001" customHeight="1">
      <c r="O7698" s="387"/>
      <c r="P7698" s="387"/>
      <c r="Q7698" s="387"/>
    </row>
    <row r="7699" spans="15:17" ht="20.100000000000001" customHeight="1">
      <c r="O7699" s="387"/>
      <c r="P7699" s="387"/>
      <c r="Q7699" s="387"/>
    </row>
    <row r="7700" spans="15:17" ht="20.100000000000001" customHeight="1">
      <c r="O7700" s="387"/>
      <c r="P7700" s="387"/>
      <c r="Q7700" s="387"/>
    </row>
    <row r="7701" spans="15:17" ht="20.100000000000001" customHeight="1">
      <c r="O7701" s="387"/>
      <c r="P7701" s="387"/>
      <c r="Q7701" s="387"/>
    </row>
    <row r="7702" spans="15:17" ht="20.100000000000001" customHeight="1">
      <c r="O7702" s="387"/>
      <c r="P7702" s="387"/>
      <c r="Q7702" s="387"/>
    </row>
    <row r="7703" spans="15:17" ht="20.100000000000001" customHeight="1">
      <c r="O7703" s="387"/>
      <c r="P7703" s="387"/>
      <c r="Q7703" s="387"/>
    </row>
    <row r="7704" spans="15:17" ht="20.100000000000001" customHeight="1">
      <c r="O7704" s="387"/>
      <c r="P7704" s="387"/>
      <c r="Q7704" s="387"/>
    </row>
    <row r="7705" spans="15:17" ht="20.100000000000001" customHeight="1">
      <c r="O7705" s="387"/>
      <c r="P7705" s="387"/>
      <c r="Q7705" s="387"/>
    </row>
    <row r="7706" spans="15:17" ht="20.100000000000001" customHeight="1">
      <c r="O7706" s="387"/>
      <c r="P7706" s="387"/>
      <c r="Q7706" s="387"/>
    </row>
    <row r="7707" spans="15:17" ht="20.100000000000001" customHeight="1">
      <c r="O7707" s="387"/>
      <c r="P7707" s="387"/>
      <c r="Q7707" s="387"/>
    </row>
    <row r="7708" spans="15:17" ht="20.100000000000001" customHeight="1">
      <c r="O7708" s="387"/>
      <c r="P7708" s="387"/>
      <c r="Q7708" s="387"/>
    </row>
    <row r="7709" spans="15:17" ht="20.100000000000001" customHeight="1">
      <c r="O7709" s="387"/>
      <c r="P7709" s="387"/>
      <c r="Q7709" s="387"/>
    </row>
    <row r="7710" spans="15:17" ht="20.100000000000001" customHeight="1">
      <c r="O7710" s="387"/>
      <c r="P7710" s="387"/>
      <c r="Q7710" s="387"/>
    </row>
    <row r="7711" spans="15:17" ht="20.100000000000001" customHeight="1">
      <c r="O7711" s="387"/>
      <c r="P7711" s="387"/>
      <c r="Q7711" s="387"/>
    </row>
    <row r="7712" spans="15:17" ht="20.100000000000001" customHeight="1">
      <c r="O7712" s="387"/>
      <c r="P7712" s="387"/>
      <c r="Q7712" s="387"/>
    </row>
    <row r="7713" spans="15:17" ht="20.100000000000001" customHeight="1">
      <c r="O7713" s="387"/>
      <c r="P7713" s="387"/>
      <c r="Q7713" s="387"/>
    </row>
    <row r="7714" spans="15:17" ht="20.100000000000001" customHeight="1">
      <c r="O7714" s="387"/>
      <c r="P7714" s="387"/>
      <c r="Q7714" s="387"/>
    </row>
    <row r="7715" spans="15:17" ht="20.100000000000001" customHeight="1">
      <c r="O7715" s="387"/>
      <c r="P7715" s="387"/>
      <c r="Q7715" s="387"/>
    </row>
    <row r="7716" spans="15:17" ht="20.100000000000001" customHeight="1">
      <c r="O7716" s="387"/>
      <c r="P7716" s="387"/>
      <c r="Q7716" s="387"/>
    </row>
    <row r="7717" spans="15:17" ht="20.100000000000001" customHeight="1">
      <c r="O7717" s="387"/>
      <c r="P7717" s="387"/>
      <c r="Q7717" s="387"/>
    </row>
    <row r="7718" spans="15:17" ht="20.100000000000001" customHeight="1">
      <c r="O7718" s="387"/>
      <c r="P7718" s="387"/>
      <c r="Q7718" s="387"/>
    </row>
    <row r="7719" spans="15:17" ht="20.100000000000001" customHeight="1">
      <c r="O7719" s="387"/>
      <c r="P7719" s="387"/>
      <c r="Q7719" s="387"/>
    </row>
    <row r="7720" spans="15:17" ht="20.100000000000001" customHeight="1">
      <c r="O7720" s="387"/>
      <c r="P7720" s="387"/>
      <c r="Q7720" s="387"/>
    </row>
    <row r="7721" spans="15:17" ht="20.100000000000001" customHeight="1">
      <c r="O7721" s="387"/>
      <c r="P7721" s="387"/>
      <c r="Q7721" s="387"/>
    </row>
    <row r="7722" spans="15:17" ht="20.100000000000001" customHeight="1">
      <c r="O7722" s="387"/>
      <c r="P7722" s="387"/>
      <c r="Q7722" s="387"/>
    </row>
    <row r="7723" spans="15:17" ht="20.100000000000001" customHeight="1">
      <c r="O7723" s="387"/>
      <c r="P7723" s="387"/>
      <c r="Q7723" s="387"/>
    </row>
    <row r="7724" spans="15:17" ht="20.100000000000001" customHeight="1">
      <c r="O7724" s="387"/>
      <c r="P7724" s="387"/>
      <c r="Q7724" s="387"/>
    </row>
    <row r="7725" spans="15:17" ht="20.100000000000001" customHeight="1">
      <c r="O7725" s="387"/>
      <c r="P7725" s="387"/>
      <c r="Q7725" s="387"/>
    </row>
    <row r="7726" spans="15:17" ht="20.100000000000001" customHeight="1">
      <c r="O7726" s="387"/>
      <c r="P7726" s="387"/>
      <c r="Q7726" s="387"/>
    </row>
    <row r="7727" spans="15:17" ht="20.100000000000001" customHeight="1">
      <c r="O7727" s="387"/>
      <c r="P7727" s="387"/>
      <c r="Q7727" s="387"/>
    </row>
    <row r="7728" spans="15:17" ht="20.100000000000001" customHeight="1">
      <c r="O7728" s="387"/>
      <c r="P7728" s="387"/>
      <c r="Q7728" s="387"/>
    </row>
    <row r="7729" spans="15:17" ht="20.100000000000001" customHeight="1">
      <c r="O7729" s="387"/>
      <c r="P7729" s="387"/>
      <c r="Q7729" s="387"/>
    </row>
    <row r="7730" spans="15:17" ht="20.100000000000001" customHeight="1">
      <c r="O7730" s="387"/>
      <c r="P7730" s="387"/>
      <c r="Q7730" s="387"/>
    </row>
    <row r="7731" spans="15:17" ht="20.100000000000001" customHeight="1">
      <c r="O7731" s="387"/>
      <c r="P7731" s="387"/>
      <c r="Q7731" s="387"/>
    </row>
    <row r="7732" spans="15:17" ht="20.100000000000001" customHeight="1">
      <c r="O7732" s="387"/>
      <c r="P7732" s="387"/>
      <c r="Q7732" s="387"/>
    </row>
    <row r="7733" spans="15:17" ht="20.100000000000001" customHeight="1">
      <c r="O7733" s="387"/>
      <c r="P7733" s="387"/>
      <c r="Q7733" s="387"/>
    </row>
    <row r="7734" spans="15:17" ht="20.100000000000001" customHeight="1">
      <c r="O7734" s="387"/>
      <c r="P7734" s="387"/>
      <c r="Q7734" s="387"/>
    </row>
    <row r="7735" spans="15:17" ht="20.100000000000001" customHeight="1">
      <c r="O7735" s="387"/>
      <c r="P7735" s="387"/>
      <c r="Q7735" s="387"/>
    </row>
    <row r="7736" spans="15:17" ht="20.100000000000001" customHeight="1">
      <c r="O7736" s="387"/>
      <c r="P7736" s="387"/>
      <c r="Q7736" s="387"/>
    </row>
    <row r="7737" spans="15:17" ht="20.100000000000001" customHeight="1">
      <c r="O7737" s="387"/>
      <c r="P7737" s="387"/>
      <c r="Q7737" s="387"/>
    </row>
    <row r="7738" spans="15:17" ht="20.100000000000001" customHeight="1">
      <c r="O7738" s="387"/>
      <c r="P7738" s="387"/>
      <c r="Q7738" s="387"/>
    </row>
    <row r="7739" spans="15:17" ht="20.100000000000001" customHeight="1">
      <c r="O7739" s="387"/>
      <c r="P7739" s="387"/>
      <c r="Q7739" s="387"/>
    </row>
    <row r="7740" spans="15:17" ht="20.100000000000001" customHeight="1">
      <c r="O7740" s="387"/>
      <c r="P7740" s="387"/>
      <c r="Q7740" s="387"/>
    </row>
    <row r="7741" spans="15:17" ht="20.100000000000001" customHeight="1">
      <c r="O7741" s="387"/>
      <c r="P7741" s="387"/>
      <c r="Q7741" s="387"/>
    </row>
    <row r="7742" spans="15:17" ht="20.100000000000001" customHeight="1">
      <c r="O7742" s="387"/>
      <c r="P7742" s="387"/>
      <c r="Q7742" s="387"/>
    </row>
    <row r="7743" spans="15:17" ht="20.100000000000001" customHeight="1">
      <c r="O7743" s="387"/>
      <c r="P7743" s="387"/>
      <c r="Q7743" s="387"/>
    </row>
    <row r="7744" spans="15:17" ht="20.100000000000001" customHeight="1">
      <c r="O7744" s="387"/>
      <c r="P7744" s="387"/>
      <c r="Q7744" s="387"/>
    </row>
    <row r="7745" spans="15:17" ht="20.100000000000001" customHeight="1">
      <c r="O7745" s="387"/>
      <c r="P7745" s="387"/>
      <c r="Q7745" s="387"/>
    </row>
    <row r="7746" spans="15:17" ht="20.100000000000001" customHeight="1">
      <c r="O7746" s="387"/>
      <c r="P7746" s="387"/>
      <c r="Q7746" s="387"/>
    </row>
    <row r="7747" spans="15:17" ht="20.100000000000001" customHeight="1">
      <c r="O7747" s="387"/>
      <c r="P7747" s="387"/>
      <c r="Q7747" s="387"/>
    </row>
    <row r="7748" spans="15:17" ht="20.100000000000001" customHeight="1">
      <c r="O7748" s="387"/>
      <c r="P7748" s="387"/>
      <c r="Q7748" s="387"/>
    </row>
    <row r="7749" spans="15:17" ht="20.100000000000001" customHeight="1">
      <c r="O7749" s="387"/>
      <c r="P7749" s="387"/>
      <c r="Q7749" s="387"/>
    </row>
    <row r="7750" spans="15:17" ht="20.100000000000001" customHeight="1">
      <c r="O7750" s="387"/>
      <c r="P7750" s="387"/>
      <c r="Q7750" s="387"/>
    </row>
    <row r="7751" spans="15:17" ht="20.100000000000001" customHeight="1">
      <c r="O7751" s="387"/>
      <c r="P7751" s="387"/>
      <c r="Q7751" s="387"/>
    </row>
    <row r="7752" spans="15:17" ht="20.100000000000001" customHeight="1">
      <c r="O7752" s="387"/>
      <c r="P7752" s="387"/>
      <c r="Q7752" s="387"/>
    </row>
    <row r="7753" spans="15:17" ht="20.100000000000001" customHeight="1">
      <c r="O7753" s="387"/>
      <c r="P7753" s="387"/>
      <c r="Q7753" s="387"/>
    </row>
    <row r="7754" spans="15:17" ht="20.100000000000001" customHeight="1">
      <c r="O7754" s="387"/>
      <c r="P7754" s="387"/>
      <c r="Q7754" s="387"/>
    </row>
    <row r="7755" spans="15:17" ht="20.100000000000001" customHeight="1">
      <c r="O7755" s="387"/>
      <c r="P7755" s="387"/>
      <c r="Q7755" s="387"/>
    </row>
    <row r="7756" spans="15:17" ht="20.100000000000001" customHeight="1">
      <c r="O7756" s="387"/>
      <c r="P7756" s="387"/>
      <c r="Q7756" s="387"/>
    </row>
    <row r="7757" spans="15:17" ht="20.100000000000001" customHeight="1">
      <c r="O7757" s="387"/>
      <c r="P7757" s="387"/>
      <c r="Q7757" s="387"/>
    </row>
    <row r="7758" spans="15:17" ht="20.100000000000001" customHeight="1">
      <c r="O7758" s="387"/>
      <c r="P7758" s="387"/>
      <c r="Q7758" s="387"/>
    </row>
    <row r="7759" spans="15:17" ht="20.100000000000001" customHeight="1">
      <c r="O7759" s="387"/>
      <c r="P7759" s="387"/>
      <c r="Q7759" s="387"/>
    </row>
    <row r="7760" spans="15:17" ht="20.100000000000001" customHeight="1">
      <c r="O7760" s="387"/>
      <c r="P7760" s="387"/>
      <c r="Q7760" s="387"/>
    </row>
    <row r="7761" spans="15:17" ht="20.100000000000001" customHeight="1">
      <c r="O7761" s="387"/>
      <c r="P7761" s="387"/>
      <c r="Q7761" s="387"/>
    </row>
    <row r="7762" spans="15:17" ht="20.100000000000001" customHeight="1">
      <c r="O7762" s="387"/>
      <c r="P7762" s="387"/>
      <c r="Q7762" s="387"/>
    </row>
    <row r="7763" spans="15:17" ht="20.100000000000001" customHeight="1">
      <c r="O7763" s="387"/>
      <c r="P7763" s="387"/>
      <c r="Q7763" s="387"/>
    </row>
    <row r="7764" spans="15:17" ht="20.100000000000001" customHeight="1">
      <c r="O7764" s="387"/>
      <c r="P7764" s="387"/>
      <c r="Q7764" s="387"/>
    </row>
    <row r="7765" spans="15:17" ht="20.100000000000001" customHeight="1">
      <c r="O7765" s="387"/>
      <c r="P7765" s="387"/>
      <c r="Q7765" s="387"/>
    </row>
    <row r="7766" spans="15:17" ht="20.100000000000001" customHeight="1">
      <c r="O7766" s="387"/>
      <c r="P7766" s="387"/>
      <c r="Q7766" s="387"/>
    </row>
    <row r="7767" spans="15:17" ht="20.100000000000001" customHeight="1">
      <c r="O7767" s="387"/>
      <c r="P7767" s="387"/>
      <c r="Q7767" s="387"/>
    </row>
    <row r="7768" spans="15:17" ht="20.100000000000001" customHeight="1">
      <c r="O7768" s="387"/>
      <c r="P7768" s="387"/>
      <c r="Q7768" s="387"/>
    </row>
    <row r="7769" spans="15:17" ht="20.100000000000001" customHeight="1">
      <c r="O7769" s="387"/>
      <c r="P7769" s="387"/>
      <c r="Q7769" s="387"/>
    </row>
    <row r="7770" spans="15:17" ht="20.100000000000001" customHeight="1">
      <c r="O7770" s="387"/>
      <c r="P7770" s="387"/>
      <c r="Q7770" s="387"/>
    </row>
    <row r="7771" spans="15:17" ht="20.100000000000001" customHeight="1">
      <c r="O7771" s="387"/>
      <c r="P7771" s="387"/>
      <c r="Q7771" s="387"/>
    </row>
    <row r="7772" spans="15:17" ht="20.100000000000001" customHeight="1">
      <c r="O7772" s="387"/>
      <c r="P7772" s="387"/>
      <c r="Q7772" s="387"/>
    </row>
    <row r="7773" spans="15:17" ht="20.100000000000001" customHeight="1">
      <c r="O7773" s="387"/>
      <c r="P7773" s="387"/>
      <c r="Q7773" s="387"/>
    </row>
    <row r="7774" spans="15:17" ht="20.100000000000001" customHeight="1">
      <c r="O7774" s="387"/>
      <c r="P7774" s="387"/>
      <c r="Q7774" s="387"/>
    </row>
    <row r="7775" spans="15:17" ht="20.100000000000001" customHeight="1">
      <c r="O7775" s="387"/>
      <c r="P7775" s="387"/>
      <c r="Q7775" s="387"/>
    </row>
    <row r="7776" spans="15:17" ht="20.100000000000001" customHeight="1">
      <c r="O7776" s="387"/>
      <c r="P7776" s="387"/>
      <c r="Q7776" s="387"/>
    </row>
    <row r="7777" spans="15:17" ht="20.100000000000001" customHeight="1">
      <c r="O7777" s="387"/>
      <c r="P7777" s="387"/>
      <c r="Q7777" s="387"/>
    </row>
    <row r="7778" spans="15:17" ht="20.100000000000001" customHeight="1">
      <c r="O7778" s="387"/>
      <c r="P7778" s="387"/>
      <c r="Q7778" s="387"/>
    </row>
    <row r="7779" spans="15:17" ht="20.100000000000001" customHeight="1">
      <c r="O7779" s="387"/>
      <c r="P7779" s="387"/>
      <c r="Q7779" s="387"/>
    </row>
    <row r="7780" spans="15:17" ht="20.100000000000001" customHeight="1">
      <c r="O7780" s="387"/>
      <c r="P7780" s="387"/>
      <c r="Q7780" s="387"/>
    </row>
    <row r="7781" spans="15:17" ht="20.100000000000001" customHeight="1">
      <c r="O7781" s="387"/>
      <c r="P7781" s="387"/>
      <c r="Q7781" s="387"/>
    </row>
    <row r="7782" spans="15:17" ht="20.100000000000001" customHeight="1">
      <c r="O7782" s="387"/>
      <c r="P7782" s="387"/>
      <c r="Q7782" s="387"/>
    </row>
    <row r="7783" spans="15:17" ht="20.100000000000001" customHeight="1">
      <c r="O7783" s="387"/>
      <c r="P7783" s="387"/>
      <c r="Q7783" s="387"/>
    </row>
    <row r="7784" spans="15:17" ht="20.100000000000001" customHeight="1">
      <c r="O7784" s="387"/>
      <c r="P7784" s="387"/>
      <c r="Q7784" s="387"/>
    </row>
    <row r="7785" spans="15:17" ht="20.100000000000001" customHeight="1">
      <c r="O7785" s="387"/>
      <c r="P7785" s="387"/>
      <c r="Q7785" s="387"/>
    </row>
    <row r="7786" spans="15:17" ht="20.100000000000001" customHeight="1">
      <c r="O7786" s="387"/>
      <c r="P7786" s="387"/>
      <c r="Q7786" s="387"/>
    </row>
    <row r="7787" spans="15:17" ht="20.100000000000001" customHeight="1">
      <c r="O7787" s="387"/>
      <c r="P7787" s="387"/>
      <c r="Q7787" s="387"/>
    </row>
    <row r="7788" spans="15:17" ht="20.100000000000001" customHeight="1">
      <c r="O7788" s="387"/>
      <c r="P7788" s="387"/>
      <c r="Q7788" s="387"/>
    </row>
    <row r="7789" spans="15:17" ht="20.100000000000001" customHeight="1">
      <c r="O7789" s="387"/>
      <c r="P7789" s="387"/>
      <c r="Q7789" s="387"/>
    </row>
    <row r="7790" spans="15:17" ht="20.100000000000001" customHeight="1">
      <c r="O7790" s="387"/>
      <c r="P7790" s="387"/>
      <c r="Q7790" s="387"/>
    </row>
    <row r="7791" spans="15:17" ht="20.100000000000001" customHeight="1">
      <c r="O7791" s="387"/>
      <c r="P7791" s="387"/>
      <c r="Q7791" s="387"/>
    </row>
    <row r="7792" spans="15:17" ht="20.100000000000001" customHeight="1">
      <c r="O7792" s="387"/>
      <c r="P7792" s="387"/>
      <c r="Q7792" s="387"/>
    </row>
    <row r="7793" spans="15:17" ht="20.100000000000001" customHeight="1">
      <c r="O7793" s="387"/>
      <c r="P7793" s="387"/>
      <c r="Q7793" s="387"/>
    </row>
    <row r="7794" spans="15:17" ht="20.100000000000001" customHeight="1">
      <c r="O7794" s="387"/>
      <c r="P7794" s="387"/>
      <c r="Q7794" s="387"/>
    </row>
    <row r="7795" spans="15:17" ht="20.100000000000001" customHeight="1">
      <c r="O7795" s="387"/>
      <c r="P7795" s="387"/>
      <c r="Q7795" s="387"/>
    </row>
    <row r="7796" spans="15:17" ht="20.100000000000001" customHeight="1">
      <c r="O7796" s="387"/>
      <c r="P7796" s="387"/>
      <c r="Q7796" s="387"/>
    </row>
    <row r="7797" spans="15:17" ht="20.100000000000001" customHeight="1">
      <c r="O7797" s="387"/>
      <c r="P7797" s="387"/>
      <c r="Q7797" s="387"/>
    </row>
    <row r="7798" spans="15:17" ht="20.100000000000001" customHeight="1">
      <c r="O7798" s="387"/>
      <c r="P7798" s="387"/>
      <c r="Q7798" s="387"/>
    </row>
    <row r="7799" spans="15:17" ht="20.100000000000001" customHeight="1">
      <c r="O7799" s="387"/>
      <c r="P7799" s="387"/>
      <c r="Q7799" s="387"/>
    </row>
    <row r="7800" spans="15:17" ht="20.100000000000001" customHeight="1">
      <c r="O7800" s="387"/>
      <c r="P7800" s="387"/>
      <c r="Q7800" s="387"/>
    </row>
    <row r="7801" spans="15:17" ht="20.100000000000001" customHeight="1">
      <c r="O7801" s="387"/>
      <c r="P7801" s="387"/>
      <c r="Q7801" s="387"/>
    </row>
    <row r="7802" spans="15:17" ht="20.100000000000001" customHeight="1">
      <c r="O7802" s="387"/>
      <c r="P7802" s="387"/>
      <c r="Q7802" s="387"/>
    </row>
    <row r="7803" spans="15:17" ht="20.100000000000001" customHeight="1">
      <c r="O7803" s="387"/>
      <c r="P7803" s="387"/>
      <c r="Q7803" s="387"/>
    </row>
    <row r="7804" spans="15:17" ht="20.100000000000001" customHeight="1">
      <c r="O7804" s="387"/>
      <c r="P7804" s="387"/>
      <c r="Q7804" s="387"/>
    </row>
    <row r="7805" spans="15:17" ht="20.100000000000001" customHeight="1">
      <c r="O7805" s="387"/>
      <c r="P7805" s="387"/>
      <c r="Q7805" s="387"/>
    </row>
    <row r="7806" spans="15:17" ht="20.100000000000001" customHeight="1">
      <c r="O7806" s="387"/>
      <c r="P7806" s="387"/>
      <c r="Q7806" s="387"/>
    </row>
    <row r="7807" spans="15:17" ht="20.100000000000001" customHeight="1">
      <c r="O7807" s="387"/>
      <c r="P7807" s="387"/>
      <c r="Q7807" s="387"/>
    </row>
    <row r="7808" spans="15:17" ht="20.100000000000001" customHeight="1">
      <c r="O7808" s="387"/>
      <c r="P7808" s="387"/>
      <c r="Q7808" s="387"/>
    </row>
    <row r="7809" spans="15:17" ht="20.100000000000001" customHeight="1">
      <c r="O7809" s="387"/>
      <c r="P7809" s="387"/>
      <c r="Q7809" s="387"/>
    </row>
    <row r="7810" spans="15:17" ht="20.100000000000001" customHeight="1">
      <c r="O7810" s="387"/>
      <c r="P7810" s="387"/>
      <c r="Q7810" s="387"/>
    </row>
    <row r="7811" spans="15:17" ht="20.100000000000001" customHeight="1">
      <c r="O7811" s="387"/>
      <c r="P7811" s="387"/>
      <c r="Q7811" s="387"/>
    </row>
    <row r="7812" spans="15:17" ht="20.100000000000001" customHeight="1">
      <c r="O7812" s="387"/>
      <c r="P7812" s="387"/>
      <c r="Q7812" s="387"/>
    </row>
    <row r="7813" spans="15:17" ht="20.100000000000001" customHeight="1">
      <c r="O7813" s="387"/>
      <c r="P7813" s="387"/>
      <c r="Q7813" s="387"/>
    </row>
    <row r="7814" spans="15:17" ht="20.100000000000001" customHeight="1">
      <c r="O7814" s="387"/>
      <c r="P7814" s="387"/>
      <c r="Q7814" s="387"/>
    </row>
    <row r="7815" spans="15:17" ht="20.100000000000001" customHeight="1">
      <c r="O7815" s="387"/>
      <c r="P7815" s="387"/>
      <c r="Q7815" s="387"/>
    </row>
    <row r="7816" spans="15:17" ht="20.100000000000001" customHeight="1">
      <c r="O7816" s="387"/>
      <c r="P7816" s="387"/>
      <c r="Q7816" s="387"/>
    </row>
    <row r="7817" spans="15:17" ht="20.100000000000001" customHeight="1">
      <c r="O7817" s="387"/>
      <c r="P7817" s="387"/>
      <c r="Q7817" s="387"/>
    </row>
    <row r="7818" spans="15:17" ht="20.100000000000001" customHeight="1">
      <c r="O7818" s="387"/>
      <c r="P7818" s="387"/>
      <c r="Q7818" s="387"/>
    </row>
    <row r="7819" spans="15:17" ht="20.100000000000001" customHeight="1">
      <c r="O7819" s="387"/>
      <c r="P7819" s="387"/>
      <c r="Q7819" s="387"/>
    </row>
    <row r="7820" spans="15:17" ht="20.100000000000001" customHeight="1">
      <c r="O7820" s="387"/>
      <c r="P7820" s="387"/>
      <c r="Q7820" s="387"/>
    </row>
    <row r="7821" spans="15:17" ht="20.100000000000001" customHeight="1">
      <c r="O7821" s="387"/>
      <c r="P7821" s="387"/>
      <c r="Q7821" s="387"/>
    </row>
    <row r="7822" spans="15:17" ht="20.100000000000001" customHeight="1">
      <c r="O7822" s="387"/>
      <c r="P7822" s="387"/>
      <c r="Q7822" s="387"/>
    </row>
    <row r="7823" spans="15:17" ht="20.100000000000001" customHeight="1">
      <c r="O7823" s="387"/>
      <c r="P7823" s="387"/>
      <c r="Q7823" s="387"/>
    </row>
    <row r="7824" spans="15:17" ht="20.100000000000001" customHeight="1">
      <c r="O7824" s="387"/>
      <c r="P7824" s="387"/>
      <c r="Q7824" s="387"/>
    </row>
    <row r="7825" spans="15:17" ht="20.100000000000001" customHeight="1">
      <c r="O7825" s="387"/>
      <c r="P7825" s="387"/>
      <c r="Q7825" s="387"/>
    </row>
    <row r="7826" spans="15:17" ht="20.100000000000001" customHeight="1">
      <c r="O7826" s="387"/>
      <c r="P7826" s="387"/>
      <c r="Q7826" s="387"/>
    </row>
    <row r="7827" spans="15:17" ht="20.100000000000001" customHeight="1">
      <c r="O7827" s="387"/>
      <c r="P7827" s="387"/>
      <c r="Q7827" s="387"/>
    </row>
    <row r="7828" spans="15:17" ht="20.100000000000001" customHeight="1">
      <c r="O7828" s="387"/>
      <c r="P7828" s="387"/>
      <c r="Q7828" s="387"/>
    </row>
    <row r="7829" spans="15:17" ht="20.100000000000001" customHeight="1">
      <c r="O7829" s="387"/>
      <c r="P7829" s="387"/>
      <c r="Q7829" s="387"/>
    </row>
    <row r="7830" spans="15:17" ht="20.100000000000001" customHeight="1">
      <c r="O7830" s="387"/>
      <c r="P7830" s="387"/>
      <c r="Q7830" s="387"/>
    </row>
    <row r="7831" spans="15:17" ht="20.100000000000001" customHeight="1">
      <c r="O7831" s="387"/>
      <c r="P7831" s="387"/>
      <c r="Q7831" s="387"/>
    </row>
    <row r="7832" spans="15:17" ht="20.100000000000001" customHeight="1">
      <c r="O7832" s="387"/>
      <c r="P7832" s="387"/>
      <c r="Q7832" s="387"/>
    </row>
    <row r="7833" spans="15:17" ht="20.100000000000001" customHeight="1">
      <c r="O7833" s="387"/>
      <c r="P7833" s="387"/>
      <c r="Q7833" s="387"/>
    </row>
    <row r="7834" spans="15:17" ht="20.100000000000001" customHeight="1">
      <c r="O7834" s="387"/>
      <c r="P7834" s="387"/>
      <c r="Q7834" s="387"/>
    </row>
    <row r="7835" spans="15:17" ht="20.100000000000001" customHeight="1">
      <c r="O7835" s="387"/>
      <c r="P7835" s="387"/>
      <c r="Q7835" s="387"/>
    </row>
    <row r="7836" spans="15:17" ht="20.100000000000001" customHeight="1">
      <c r="O7836" s="387"/>
      <c r="P7836" s="387"/>
      <c r="Q7836" s="387"/>
    </row>
    <row r="7837" spans="15:17" ht="20.100000000000001" customHeight="1">
      <c r="O7837" s="387"/>
      <c r="P7837" s="387"/>
      <c r="Q7837" s="387"/>
    </row>
    <row r="7838" spans="15:17" ht="20.100000000000001" customHeight="1">
      <c r="O7838" s="387"/>
      <c r="P7838" s="387"/>
      <c r="Q7838" s="387"/>
    </row>
    <row r="7839" spans="15:17" ht="20.100000000000001" customHeight="1">
      <c r="O7839" s="387"/>
      <c r="P7839" s="387"/>
      <c r="Q7839" s="387"/>
    </row>
    <row r="7840" spans="15:17" ht="20.100000000000001" customHeight="1">
      <c r="O7840" s="387"/>
      <c r="P7840" s="387"/>
      <c r="Q7840" s="387"/>
    </row>
    <row r="7841" spans="15:17" ht="20.100000000000001" customHeight="1">
      <c r="O7841" s="387"/>
      <c r="P7841" s="387"/>
      <c r="Q7841" s="387"/>
    </row>
    <row r="7842" spans="15:17" ht="20.100000000000001" customHeight="1">
      <c r="O7842" s="387"/>
      <c r="P7842" s="387"/>
      <c r="Q7842" s="387"/>
    </row>
    <row r="7843" spans="15:17" ht="20.100000000000001" customHeight="1">
      <c r="O7843" s="387"/>
      <c r="P7843" s="387"/>
      <c r="Q7843" s="387"/>
    </row>
    <row r="7844" spans="15:17" ht="20.100000000000001" customHeight="1">
      <c r="O7844" s="387"/>
      <c r="P7844" s="387"/>
      <c r="Q7844" s="387"/>
    </row>
    <row r="7845" spans="15:17" ht="20.100000000000001" customHeight="1">
      <c r="O7845" s="387"/>
      <c r="P7845" s="387"/>
      <c r="Q7845" s="387"/>
    </row>
    <row r="7846" spans="15:17" ht="20.100000000000001" customHeight="1">
      <c r="O7846" s="387"/>
      <c r="P7846" s="387"/>
      <c r="Q7846" s="387"/>
    </row>
    <row r="7847" spans="15:17" ht="20.100000000000001" customHeight="1">
      <c r="O7847" s="387"/>
      <c r="P7847" s="387"/>
      <c r="Q7847" s="387"/>
    </row>
    <row r="7848" spans="15:17" ht="20.100000000000001" customHeight="1">
      <c r="O7848" s="387"/>
      <c r="P7848" s="387"/>
      <c r="Q7848" s="387"/>
    </row>
    <row r="7849" spans="15:17" ht="20.100000000000001" customHeight="1">
      <c r="O7849" s="387"/>
      <c r="P7849" s="387"/>
      <c r="Q7849" s="387"/>
    </row>
    <row r="7850" spans="15:17" ht="20.100000000000001" customHeight="1">
      <c r="O7850" s="387"/>
      <c r="P7850" s="387"/>
      <c r="Q7850" s="387"/>
    </row>
    <row r="7851" spans="15:17" ht="20.100000000000001" customHeight="1">
      <c r="O7851" s="387"/>
      <c r="P7851" s="387"/>
      <c r="Q7851" s="387"/>
    </row>
    <row r="7852" spans="15:17" ht="20.100000000000001" customHeight="1">
      <c r="O7852" s="387"/>
      <c r="P7852" s="387"/>
      <c r="Q7852" s="387"/>
    </row>
    <row r="7853" spans="15:17" ht="20.100000000000001" customHeight="1">
      <c r="O7853" s="387"/>
      <c r="P7853" s="387"/>
      <c r="Q7853" s="387"/>
    </row>
    <row r="7854" spans="15:17" ht="20.100000000000001" customHeight="1">
      <c r="O7854" s="387"/>
      <c r="P7854" s="387"/>
      <c r="Q7854" s="387"/>
    </row>
    <row r="7855" spans="15:17" ht="20.100000000000001" customHeight="1">
      <c r="O7855" s="387"/>
      <c r="P7855" s="387"/>
      <c r="Q7855" s="387"/>
    </row>
    <row r="7856" spans="15:17" ht="20.100000000000001" customHeight="1">
      <c r="O7856" s="387"/>
      <c r="P7856" s="387"/>
      <c r="Q7856" s="387"/>
    </row>
    <row r="7857" spans="15:17" ht="20.100000000000001" customHeight="1">
      <c r="O7857" s="387"/>
      <c r="P7857" s="387"/>
      <c r="Q7857" s="387"/>
    </row>
    <row r="7858" spans="15:17" ht="20.100000000000001" customHeight="1">
      <c r="O7858" s="387"/>
      <c r="P7858" s="387"/>
      <c r="Q7858" s="387"/>
    </row>
    <row r="7859" spans="15:17" ht="20.100000000000001" customHeight="1">
      <c r="O7859" s="387"/>
      <c r="P7859" s="387"/>
      <c r="Q7859" s="387"/>
    </row>
    <row r="7860" spans="15:17" ht="20.100000000000001" customHeight="1">
      <c r="O7860" s="387"/>
      <c r="P7860" s="387"/>
      <c r="Q7860" s="387"/>
    </row>
    <row r="7861" spans="15:17" ht="20.100000000000001" customHeight="1">
      <c r="O7861" s="387"/>
      <c r="P7861" s="387"/>
      <c r="Q7861" s="387"/>
    </row>
    <row r="7862" spans="15:17" ht="20.100000000000001" customHeight="1">
      <c r="O7862" s="387"/>
      <c r="P7862" s="387"/>
      <c r="Q7862" s="387"/>
    </row>
    <row r="7863" spans="15:17" ht="20.100000000000001" customHeight="1">
      <c r="O7863" s="387"/>
      <c r="P7863" s="387"/>
      <c r="Q7863" s="387"/>
    </row>
    <row r="7864" spans="15:17" ht="20.100000000000001" customHeight="1">
      <c r="O7864" s="387"/>
      <c r="P7864" s="387"/>
      <c r="Q7864" s="387"/>
    </row>
    <row r="7865" spans="15:17" ht="20.100000000000001" customHeight="1">
      <c r="O7865" s="387"/>
      <c r="P7865" s="387"/>
      <c r="Q7865" s="387"/>
    </row>
    <row r="7866" spans="15:17" ht="20.100000000000001" customHeight="1">
      <c r="O7866" s="387"/>
      <c r="P7866" s="387"/>
      <c r="Q7866" s="387"/>
    </row>
    <row r="7867" spans="15:17" ht="20.100000000000001" customHeight="1">
      <c r="O7867" s="387"/>
      <c r="P7867" s="387"/>
      <c r="Q7867" s="387"/>
    </row>
    <row r="7868" spans="15:17" ht="20.100000000000001" customHeight="1">
      <c r="O7868" s="387"/>
      <c r="P7868" s="387"/>
      <c r="Q7868" s="387"/>
    </row>
    <row r="7869" spans="15:17" ht="20.100000000000001" customHeight="1">
      <c r="O7869" s="387"/>
      <c r="P7869" s="387"/>
      <c r="Q7869" s="387"/>
    </row>
    <row r="7870" spans="15:17" ht="20.100000000000001" customHeight="1">
      <c r="O7870" s="387"/>
      <c r="P7870" s="387"/>
      <c r="Q7870" s="387"/>
    </row>
    <row r="7871" spans="15:17" ht="20.100000000000001" customHeight="1">
      <c r="O7871" s="387"/>
      <c r="P7871" s="387"/>
      <c r="Q7871" s="387"/>
    </row>
    <row r="7872" spans="15:17" ht="20.100000000000001" customHeight="1">
      <c r="O7872" s="387"/>
      <c r="P7872" s="387"/>
      <c r="Q7872" s="387"/>
    </row>
    <row r="7873" spans="15:17" ht="20.100000000000001" customHeight="1">
      <c r="O7873" s="387"/>
      <c r="P7873" s="387"/>
      <c r="Q7873" s="387"/>
    </row>
    <row r="7874" spans="15:17" ht="20.100000000000001" customHeight="1">
      <c r="O7874" s="387"/>
      <c r="P7874" s="387"/>
      <c r="Q7874" s="387"/>
    </row>
    <row r="7875" spans="15:17" ht="20.100000000000001" customHeight="1">
      <c r="O7875" s="387"/>
      <c r="P7875" s="387"/>
      <c r="Q7875" s="387"/>
    </row>
    <row r="7876" spans="15:17" ht="20.100000000000001" customHeight="1">
      <c r="O7876" s="387"/>
      <c r="P7876" s="387"/>
      <c r="Q7876" s="387"/>
    </row>
    <row r="7877" spans="15:17" ht="20.100000000000001" customHeight="1">
      <c r="O7877" s="387"/>
      <c r="P7877" s="387"/>
      <c r="Q7877" s="387"/>
    </row>
    <row r="7878" spans="15:17" ht="20.100000000000001" customHeight="1">
      <c r="O7878" s="387"/>
      <c r="P7878" s="387"/>
      <c r="Q7878" s="387"/>
    </row>
    <row r="7879" spans="15:17" ht="20.100000000000001" customHeight="1">
      <c r="O7879" s="387"/>
      <c r="P7879" s="387"/>
      <c r="Q7879" s="387"/>
    </row>
    <row r="7880" spans="15:17" ht="20.100000000000001" customHeight="1">
      <c r="O7880" s="387"/>
      <c r="P7880" s="387"/>
      <c r="Q7880" s="387"/>
    </row>
    <row r="7881" spans="15:17" ht="20.100000000000001" customHeight="1">
      <c r="O7881" s="387"/>
      <c r="P7881" s="387"/>
      <c r="Q7881" s="387"/>
    </row>
    <row r="7882" spans="15:17" ht="20.100000000000001" customHeight="1">
      <c r="O7882" s="387"/>
      <c r="P7882" s="387"/>
      <c r="Q7882" s="387"/>
    </row>
    <row r="7883" spans="15:17" ht="20.100000000000001" customHeight="1">
      <c r="O7883" s="387"/>
      <c r="P7883" s="387"/>
      <c r="Q7883" s="387"/>
    </row>
    <row r="7884" spans="15:17" ht="20.100000000000001" customHeight="1">
      <c r="O7884" s="387"/>
      <c r="P7884" s="387"/>
      <c r="Q7884" s="387"/>
    </row>
    <row r="7885" spans="15:17" ht="20.100000000000001" customHeight="1">
      <c r="O7885" s="387"/>
      <c r="P7885" s="387"/>
      <c r="Q7885" s="387"/>
    </row>
    <row r="7886" spans="15:17" ht="20.100000000000001" customHeight="1">
      <c r="O7886" s="387"/>
      <c r="P7886" s="387"/>
      <c r="Q7886" s="387"/>
    </row>
    <row r="7887" spans="15:17" ht="20.100000000000001" customHeight="1">
      <c r="O7887" s="387"/>
      <c r="P7887" s="387"/>
      <c r="Q7887" s="387"/>
    </row>
    <row r="7888" spans="15:17" ht="20.100000000000001" customHeight="1">
      <c r="O7888" s="387"/>
      <c r="P7888" s="387"/>
      <c r="Q7888" s="387"/>
    </row>
    <row r="7889" spans="15:17" ht="20.100000000000001" customHeight="1">
      <c r="O7889" s="387"/>
      <c r="P7889" s="387"/>
      <c r="Q7889" s="387"/>
    </row>
    <row r="7890" spans="15:17" ht="20.100000000000001" customHeight="1">
      <c r="O7890" s="387"/>
      <c r="P7890" s="387"/>
      <c r="Q7890" s="387"/>
    </row>
    <row r="7891" spans="15:17" ht="20.100000000000001" customHeight="1">
      <c r="O7891" s="387"/>
      <c r="P7891" s="387"/>
      <c r="Q7891" s="387"/>
    </row>
    <row r="7892" spans="15:17" ht="20.100000000000001" customHeight="1">
      <c r="O7892" s="387"/>
      <c r="P7892" s="387"/>
      <c r="Q7892" s="387"/>
    </row>
    <row r="7893" spans="15:17" ht="20.100000000000001" customHeight="1">
      <c r="O7893" s="387"/>
      <c r="P7893" s="387"/>
      <c r="Q7893" s="387"/>
    </row>
    <row r="7894" spans="15:17" ht="20.100000000000001" customHeight="1">
      <c r="O7894" s="387"/>
      <c r="P7894" s="387"/>
      <c r="Q7894" s="387"/>
    </row>
    <row r="7895" spans="15:17" ht="20.100000000000001" customHeight="1">
      <c r="O7895" s="387"/>
      <c r="P7895" s="387"/>
      <c r="Q7895" s="387"/>
    </row>
    <row r="7896" spans="15:17" ht="20.100000000000001" customHeight="1">
      <c r="O7896" s="387"/>
      <c r="P7896" s="387"/>
      <c r="Q7896" s="387"/>
    </row>
    <row r="7897" spans="15:17" ht="20.100000000000001" customHeight="1">
      <c r="O7897" s="387"/>
      <c r="P7897" s="387"/>
      <c r="Q7897" s="387"/>
    </row>
    <row r="7898" spans="15:17" ht="20.100000000000001" customHeight="1">
      <c r="O7898" s="387"/>
      <c r="P7898" s="387"/>
      <c r="Q7898" s="387"/>
    </row>
    <row r="7899" spans="15:17" ht="20.100000000000001" customHeight="1">
      <c r="O7899" s="387"/>
      <c r="P7899" s="387"/>
      <c r="Q7899" s="387"/>
    </row>
    <row r="7900" spans="15:17" ht="20.100000000000001" customHeight="1">
      <c r="O7900" s="387"/>
      <c r="P7900" s="387"/>
      <c r="Q7900" s="387"/>
    </row>
    <row r="7901" spans="15:17" ht="20.100000000000001" customHeight="1">
      <c r="O7901" s="387"/>
      <c r="P7901" s="387"/>
      <c r="Q7901" s="387"/>
    </row>
    <row r="7902" spans="15:17" ht="20.100000000000001" customHeight="1">
      <c r="O7902" s="387"/>
      <c r="P7902" s="387"/>
      <c r="Q7902" s="387"/>
    </row>
    <row r="7903" spans="15:17" ht="20.100000000000001" customHeight="1">
      <c r="O7903" s="387"/>
      <c r="P7903" s="387"/>
      <c r="Q7903" s="387"/>
    </row>
    <row r="7904" spans="15:17" ht="20.100000000000001" customHeight="1">
      <c r="O7904" s="387"/>
      <c r="P7904" s="387"/>
      <c r="Q7904" s="387"/>
    </row>
    <row r="7905" spans="15:17" ht="20.100000000000001" customHeight="1">
      <c r="O7905" s="387"/>
      <c r="P7905" s="387"/>
      <c r="Q7905" s="387"/>
    </row>
    <row r="7906" spans="15:17" ht="20.100000000000001" customHeight="1">
      <c r="O7906" s="387"/>
      <c r="P7906" s="387"/>
      <c r="Q7906" s="387"/>
    </row>
    <row r="7907" spans="15:17" ht="20.100000000000001" customHeight="1">
      <c r="O7907" s="387"/>
      <c r="P7907" s="387"/>
      <c r="Q7907" s="387"/>
    </row>
    <row r="7908" spans="15:17" ht="20.100000000000001" customHeight="1">
      <c r="O7908" s="387"/>
      <c r="P7908" s="387"/>
      <c r="Q7908" s="387"/>
    </row>
    <row r="7909" spans="15:17" ht="20.100000000000001" customHeight="1">
      <c r="O7909" s="387"/>
      <c r="P7909" s="387"/>
      <c r="Q7909" s="387"/>
    </row>
    <row r="7910" spans="15:17" ht="20.100000000000001" customHeight="1">
      <c r="O7910" s="387"/>
      <c r="P7910" s="387"/>
      <c r="Q7910" s="387"/>
    </row>
    <row r="7911" spans="15:17" ht="20.100000000000001" customHeight="1">
      <c r="O7911" s="387"/>
      <c r="P7911" s="387"/>
      <c r="Q7911" s="387"/>
    </row>
    <row r="7912" spans="15:17" ht="20.100000000000001" customHeight="1">
      <c r="O7912" s="387"/>
      <c r="P7912" s="387"/>
      <c r="Q7912" s="387"/>
    </row>
    <row r="7913" spans="15:17" ht="20.100000000000001" customHeight="1">
      <c r="O7913" s="387"/>
      <c r="P7913" s="387"/>
      <c r="Q7913" s="387"/>
    </row>
    <row r="7914" spans="15:17" ht="20.100000000000001" customHeight="1">
      <c r="O7914" s="387"/>
      <c r="P7914" s="387"/>
      <c r="Q7914" s="387"/>
    </row>
    <row r="7915" spans="15:17" ht="20.100000000000001" customHeight="1">
      <c r="O7915" s="387"/>
      <c r="P7915" s="387"/>
      <c r="Q7915" s="387"/>
    </row>
    <row r="7916" spans="15:17" ht="20.100000000000001" customHeight="1">
      <c r="O7916" s="387"/>
      <c r="P7916" s="387"/>
      <c r="Q7916" s="387"/>
    </row>
    <row r="7917" spans="15:17" ht="20.100000000000001" customHeight="1">
      <c r="O7917" s="387"/>
      <c r="P7917" s="387"/>
      <c r="Q7917" s="387"/>
    </row>
    <row r="7918" spans="15:17" ht="20.100000000000001" customHeight="1">
      <c r="O7918" s="387"/>
      <c r="P7918" s="387"/>
      <c r="Q7918" s="387"/>
    </row>
    <row r="7919" spans="15:17" ht="20.100000000000001" customHeight="1">
      <c r="O7919" s="387"/>
      <c r="P7919" s="387"/>
      <c r="Q7919" s="387"/>
    </row>
    <row r="7920" spans="15:17" ht="20.100000000000001" customHeight="1">
      <c r="O7920" s="387"/>
      <c r="P7920" s="387"/>
      <c r="Q7920" s="387"/>
    </row>
    <row r="7921" spans="15:17" ht="20.100000000000001" customHeight="1">
      <c r="O7921" s="387"/>
      <c r="P7921" s="387"/>
      <c r="Q7921" s="387"/>
    </row>
    <row r="7922" spans="15:17" ht="20.100000000000001" customHeight="1">
      <c r="O7922" s="387"/>
      <c r="P7922" s="387"/>
      <c r="Q7922" s="387"/>
    </row>
    <row r="7923" spans="15:17" ht="20.100000000000001" customHeight="1">
      <c r="O7923" s="387"/>
      <c r="P7923" s="387"/>
      <c r="Q7923" s="387"/>
    </row>
    <row r="7924" spans="15:17" ht="20.100000000000001" customHeight="1">
      <c r="O7924" s="387"/>
      <c r="P7924" s="387"/>
      <c r="Q7924" s="387"/>
    </row>
    <row r="7925" spans="15:17" ht="20.100000000000001" customHeight="1">
      <c r="O7925" s="387"/>
      <c r="P7925" s="387"/>
      <c r="Q7925" s="387"/>
    </row>
    <row r="7926" spans="15:17" ht="20.100000000000001" customHeight="1">
      <c r="O7926" s="387"/>
      <c r="P7926" s="387"/>
      <c r="Q7926" s="387"/>
    </row>
    <row r="7927" spans="15:17" ht="20.100000000000001" customHeight="1">
      <c r="O7927" s="387"/>
      <c r="P7927" s="387"/>
      <c r="Q7927" s="387"/>
    </row>
    <row r="7928" spans="15:17" ht="20.100000000000001" customHeight="1">
      <c r="O7928" s="387"/>
      <c r="P7928" s="387"/>
      <c r="Q7928" s="387"/>
    </row>
    <row r="7929" spans="15:17" ht="20.100000000000001" customHeight="1">
      <c r="O7929" s="387"/>
      <c r="P7929" s="387"/>
      <c r="Q7929" s="387"/>
    </row>
    <row r="7930" spans="15:17" ht="20.100000000000001" customHeight="1">
      <c r="O7930" s="387"/>
      <c r="P7930" s="387"/>
      <c r="Q7930" s="387"/>
    </row>
    <row r="7931" spans="15:17" ht="20.100000000000001" customHeight="1">
      <c r="O7931" s="387"/>
      <c r="P7931" s="387"/>
      <c r="Q7931" s="387"/>
    </row>
    <row r="7932" spans="15:17" ht="20.100000000000001" customHeight="1">
      <c r="O7932" s="387"/>
      <c r="P7932" s="387"/>
      <c r="Q7932" s="387"/>
    </row>
    <row r="7933" spans="15:17" ht="20.100000000000001" customHeight="1">
      <c r="O7933" s="387"/>
      <c r="P7933" s="387"/>
      <c r="Q7933" s="387"/>
    </row>
    <row r="7934" spans="15:17" ht="20.100000000000001" customHeight="1">
      <c r="O7934" s="387"/>
      <c r="P7934" s="387"/>
      <c r="Q7934" s="387"/>
    </row>
    <row r="7935" spans="15:17" ht="20.100000000000001" customHeight="1">
      <c r="O7935" s="387"/>
      <c r="P7935" s="387"/>
      <c r="Q7935" s="387"/>
    </row>
    <row r="7936" spans="15:17" ht="20.100000000000001" customHeight="1">
      <c r="O7936" s="387"/>
      <c r="P7936" s="387"/>
      <c r="Q7936" s="387"/>
    </row>
    <row r="7937" spans="15:17" ht="20.100000000000001" customHeight="1">
      <c r="O7937" s="387"/>
      <c r="P7937" s="387"/>
      <c r="Q7937" s="387"/>
    </row>
    <row r="7938" spans="15:17" ht="20.100000000000001" customHeight="1">
      <c r="O7938" s="387"/>
      <c r="P7938" s="387"/>
      <c r="Q7938" s="387"/>
    </row>
    <row r="7939" spans="15:17" ht="20.100000000000001" customHeight="1">
      <c r="O7939" s="387"/>
      <c r="P7939" s="387"/>
      <c r="Q7939" s="387"/>
    </row>
    <row r="7940" spans="15:17" ht="20.100000000000001" customHeight="1">
      <c r="O7940" s="387"/>
      <c r="P7940" s="387"/>
      <c r="Q7940" s="387"/>
    </row>
    <row r="7941" spans="15:17" ht="20.100000000000001" customHeight="1">
      <c r="O7941" s="387"/>
      <c r="P7941" s="387"/>
      <c r="Q7941" s="387"/>
    </row>
    <row r="7942" spans="15:17" ht="20.100000000000001" customHeight="1">
      <c r="O7942" s="387"/>
      <c r="P7942" s="387"/>
      <c r="Q7942" s="387"/>
    </row>
    <row r="7943" spans="15:17" ht="20.100000000000001" customHeight="1">
      <c r="O7943" s="387"/>
      <c r="P7943" s="387"/>
      <c r="Q7943" s="387"/>
    </row>
    <row r="7944" spans="15:17" ht="20.100000000000001" customHeight="1">
      <c r="O7944" s="387"/>
      <c r="P7944" s="387"/>
      <c r="Q7944" s="387"/>
    </row>
    <row r="7945" spans="15:17" ht="20.100000000000001" customHeight="1">
      <c r="O7945" s="387"/>
      <c r="P7945" s="387"/>
      <c r="Q7945" s="387"/>
    </row>
    <row r="7946" spans="15:17" ht="20.100000000000001" customHeight="1">
      <c r="O7946" s="387"/>
      <c r="P7946" s="387"/>
      <c r="Q7946" s="387"/>
    </row>
    <row r="7947" spans="15:17" ht="20.100000000000001" customHeight="1">
      <c r="O7947" s="387"/>
      <c r="P7947" s="387"/>
      <c r="Q7947" s="387"/>
    </row>
    <row r="7948" spans="15:17" ht="20.100000000000001" customHeight="1">
      <c r="O7948" s="387"/>
      <c r="P7948" s="387"/>
      <c r="Q7948" s="387"/>
    </row>
    <row r="7949" spans="15:17" ht="20.100000000000001" customHeight="1">
      <c r="O7949" s="387"/>
      <c r="P7949" s="387"/>
      <c r="Q7949" s="387"/>
    </row>
    <row r="7950" spans="15:17" ht="20.100000000000001" customHeight="1">
      <c r="O7950" s="387"/>
      <c r="P7950" s="387"/>
      <c r="Q7950" s="387"/>
    </row>
    <row r="7951" spans="15:17" ht="20.100000000000001" customHeight="1">
      <c r="O7951" s="387"/>
      <c r="P7951" s="387"/>
      <c r="Q7951" s="387"/>
    </row>
    <row r="7952" spans="15:17" ht="20.100000000000001" customHeight="1">
      <c r="O7952" s="387"/>
      <c r="P7952" s="387"/>
      <c r="Q7952" s="387"/>
    </row>
    <row r="7953" spans="15:17" ht="20.100000000000001" customHeight="1">
      <c r="O7953" s="387"/>
      <c r="P7953" s="387"/>
      <c r="Q7953" s="387"/>
    </row>
    <row r="7954" spans="15:17" ht="20.100000000000001" customHeight="1">
      <c r="O7954" s="387"/>
      <c r="P7954" s="387"/>
      <c r="Q7954" s="387"/>
    </row>
    <row r="7955" spans="15:17" ht="20.100000000000001" customHeight="1">
      <c r="O7955" s="387"/>
      <c r="P7955" s="387"/>
      <c r="Q7955" s="387"/>
    </row>
    <row r="7956" spans="15:17" ht="20.100000000000001" customHeight="1">
      <c r="O7956" s="387"/>
      <c r="P7956" s="387"/>
      <c r="Q7956" s="387"/>
    </row>
    <row r="7957" spans="15:17" ht="20.100000000000001" customHeight="1">
      <c r="O7957" s="387"/>
      <c r="P7957" s="387"/>
      <c r="Q7957" s="387"/>
    </row>
    <row r="7958" spans="15:17" ht="20.100000000000001" customHeight="1">
      <c r="O7958" s="387"/>
      <c r="P7958" s="387"/>
      <c r="Q7958" s="387"/>
    </row>
    <row r="7959" spans="15:17" ht="20.100000000000001" customHeight="1">
      <c r="O7959" s="387"/>
      <c r="P7959" s="387"/>
      <c r="Q7959" s="387"/>
    </row>
    <row r="7960" spans="15:17" ht="20.100000000000001" customHeight="1">
      <c r="O7960" s="387"/>
      <c r="P7960" s="387"/>
      <c r="Q7960" s="387"/>
    </row>
    <row r="7961" spans="15:17" ht="20.100000000000001" customHeight="1">
      <c r="O7961" s="387"/>
      <c r="P7961" s="387"/>
      <c r="Q7961" s="387"/>
    </row>
    <row r="7962" spans="15:17" ht="20.100000000000001" customHeight="1">
      <c r="O7962" s="387"/>
      <c r="P7962" s="387"/>
      <c r="Q7962" s="387"/>
    </row>
    <row r="7963" spans="15:17" ht="20.100000000000001" customHeight="1">
      <c r="O7963" s="387"/>
      <c r="P7963" s="387"/>
      <c r="Q7963" s="387"/>
    </row>
    <row r="7964" spans="15:17" ht="20.100000000000001" customHeight="1">
      <c r="O7964" s="387"/>
      <c r="P7964" s="387"/>
      <c r="Q7964" s="387"/>
    </row>
    <row r="7965" spans="15:17" ht="20.100000000000001" customHeight="1">
      <c r="O7965" s="387"/>
      <c r="P7965" s="387"/>
      <c r="Q7965" s="387"/>
    </row>
    <row r="7966" spans="15:17" ht="20.100000000000001" customHeight="1">
      <c r="O7966" s="387"/>
      <c r="P7966" s="387"/>
      <c r="Q7966" s="387"/>
    </row>
    <row r="7967" spans="15:17" ht="20.100000000000001" customHeight="1">
      <c r="O7967" s="387"/>
      <c r="P7967" s="387"/>
      <c r="Q7967" s="387"/>
    </row>
    <row r="7968" spans="15:17" ht="20.100000000000001" customHeight="1">
      <c r="O7968" s="387"/>
      <c r="P7968" s="387"/>
      <c r="Q7968" s="387"/>
    </row>
    <row r="7969" spans="15:17" ht="20.100000000000001" customHeight="1">
      <c r="O7969" s="387"/>
      <c r="P7969" s="387"/>
      <c r="Q7969" s="387"/>
    </row>
    <row r="7970" spans="15:17" ht="20.100000000000001" customHeight="1">
      <c r="O7970" s="387"/>
      <c r="P7970" s="387"/>
      <c r="Q7970" s="387"/>
    </row>
    <row r="7971" spans="15:17" ht="20.100000000000001" customHeight="1">
      <c r="O7971" s="387"/>
      <c r="P7971" s="387"/>
      <c r="Q7971" s="387"/>
    </row>
    <row r="7972" spans="15:17" ht="20.100000000000001" customHeight="1">
      <c r="O7972" s="387"/>
      <c r="P7972" s="387"/>
      <c r="Q7972" s="387"/>
    </row>
    <row r="7973" spans="15:17" ht="20.100000000000001" customHeight="1">
      <c r="O7973" s="387"/>
      <c r="P7973" s="387"/>
      <c r="Q7973" s="387"/>
    </row>
    <row r="7974" spans="15:17" ht="20.100000000000001" customHeight="1">
      <c r="O7974" s="387"/>
      <c r="P7974" s="387"/>
      <c r="Q7974" s="387"/>
    </row>
    <row r="7975" spans="15:17" ht="20.100000000000001" customHeight="1">
      <c r="O7975" s="387"/>
      <c r="P7975" s="387"/>
      <c r="Q7975" s="387"/>
    </row>
    <row r="7976" spans="15:17" ht="20.100000000000001" customHeight="1">
      <c r="O7976" s="387"/>
      <c r="P7976" s="387"/>
      <c r="Q7976" s="387"/>
    </row>
    <row r="7977" spans="15:17" ht="20.100000000000001" customHeight="1">
      <c r="O7977" s="387"/>
      <c r="P7977" s="387"/>
      <c r="Q7977" s="387"/>
    </row>
    <row r="7978" spans="15:17" ht="20.100000000000001" customHeight="1">
      <c r="O7978" s="387"/>
      <c r="P7978" s="387"/>
      <c r="Q7978" s="387"/>
    </row>
    <row r="7979" spans="15:17" ht="20.100000000000001" customHeight="1">
      <c r="O7979" s="387"/>
      <c r="P7979" s="387"/>
      <c r="Q7979" s="387"/>
    </row>
    <row r="7980" spans="15:17" ht="20.100000000000001" customHeight="1">
      <c r="O7980" s="387"/>
      <c r="P7980" s="387"/>
      <c r="Q7980" s="387"/>
    </row>
    <row r="7981" spans="15:17" ht="20.100000000000001" customHeight="1">
      <c r="O7981" s="387"/>
      <c r="P7981" s="387"/>
      <c r="Q7981" s="387"/>
    </row>
    <row r="7982" spans="15:17" ht="20.100000000000001" customHeight="1">
      <c r="O7982" s="387"/>
      <c r="P7982" s="387"/>
      <c r="Q7982" s="387"/>
    </row>
    <row r="7983" spans="15:17" ht="20.100000000000001" customHeight="1">
      <c r="O7983" s="387"/>
      <c r="P7983" s="387"/>
      <c r="Q7983" s="387"/>
    </row>
    <row r="7984" spans="15:17" ht="20.100000000000001" customHeight="1">
      <c r="O7984" s="387"/>
      <c r="P7984" s="387"/>
      <c r="Q7984" s="387"/>
    </row>
    <row r="7985" spans="15:17" ht="20.100000000000001" customHeight="1">
      <c r="O7985" s="387"/>
      <c r="P7985" s="387"/>
      <c r="Q7985" s="387"/>
    </row>
    <row r="7986" spans="15:17" ht="20.100000000000001" customHeight="1">
      <c r="O7986" s="387"/>
      <c r="P7986" s="387"/>
      <c r="Q7986" s="387"/>
    </row>
    <row r="7987" spans="15:17" ht="20.100000000000001" customHeight="1">
      <c r="O7987" s="387"/>
      <c r="P7987" s="387"/>
      <c r="Q7987" s="387"/>
    </row>
    <row r="7988" spans="15:17" ht="20.100000000000001" customHeight="1">
      <c r="O7988" s="387"/>
      <c r="P7988" s="387"/>
      <c r="Q7988" s="387"/>
    </row>
    <row r="7989" spans="15:17" ht="20.100000000000001" customHeight="1">
      <c r="O7989" s="387"/>
      <c r="P7989" s="387"/>
      <c r="Q7989" s="387"/>
    </row>
    <row r="7990" spans="15:17" ht="20.100000000000001" customHeight="1">
      <c r="O7990" s="387"/>
      <c r="P7990" s="387"/>
      <c r="Q7990" s="387"/>
    </row>
    <row r="7991" spans="15:17" ht="20.100000000000001" customHeight="1">
      <c r="O7991" s="387"/>
      <c r="P7991" s="387"/>
      <c r="Q7991" s="387"/>
    </row>
    <row r="7992" spans="15:17" ht="20.100000000000001" customHeight="1">
      <c r="O7992" s="387"/>
      <c r="P7992" s="387"/>
      <c r="Q7992" s="387"/>
    </row>
    <row r="7993" spans="15:17" ht="20.100000000000001" customHeight="1">
      <c r="O7993" s="387"/>
      <c r="P7993" s="387"/>
      <c r="Q7993" s="387"/>
    </row>
    <row r="7994" spans="15:17" ht="20.100000000000001" customHeight="1">
      <c r="O7994" s="387"/>
      <c r="P7994" s="387"/>
      <c r="Q7994" s="387"/>
    </row>
    <row r="7995" spans="15:17" ht="20.100000000000001" customHeight="1">
      <c r="O7995" s="387"/>
      <c r="P7995" s="387"/>
      <c r="Q7995" s="387"/>
    </row>
    <row r="7996" spans="15:17" ht="20.100000000000001" customHeight="1">
      <c r="O7996" s="387"/>
      <c r="P7996" s="387"/>
      <c r="Q7996" s="387"/>
    </row>
    <row r="7997" spans="15:17" ht="20.100000000000001" customHeight="1">
      <c r="O7997" s="387"/>
      <c r="P7997" s="387"/>
      <c r="Q7997" s="387"/>
    </row>
    <row r="7998" spans="15:17" ht="20.100000000000001" customHeight="1">
      <c r="O7998" s="387"/>
      <c r="P7998" s="387"/>
      <c r="Q7998" s="387"/>
    </row>
    <row r="7999" spans="15:17" ht="20.100000000000001" customHeight="1">
      <c r="O7999" s="387"/>
      <c r="P7999" s="387"/>
      <c r="Q7999" s="387"/>
    </row>
    <row r="8000" spans="15:17" ht="20.100000000000001" customHeight="1">
      <c r="O8000" s="387"/>
      <c r="P8000" s="387"/>
      <c r="Q8000" s="387"/>
    </row>
    <row r="8001" spans="15:17" ht="20.100000000000001" customHeight="1">
      <c r="O8001" s="387"/>
      <c r="P8001" s="387"/>
      <c r="Q8001" s="387"/>
    </row>
    <row r="8002" spans="15:17" ht="20.100000000000001" customHeight="1">
      <c r="O8002" s="387"/>
      <c r="P8002" s="387"/>
      <c r="Q8002" s="387"/>
    </row>
    <row r="8003" spans="15:17" ht="20.100000000000001" customHeight="1">
      <c r="O8003" s="387"/>
      <c r="P8003" s="387"/>
      <c r="Q8003" s="387"/>
    </row>
    <row r="8004" spans="15:17" ht="20.100000000000001" customHeight="1">
      <c r="O8004" s="387"/>
      <c r="P8004" s="387"/>
      <c r="Q8004" s="387"/>
    </row>
    <row r="8005" spans="15:17" ht="20.100000000000001" customHeight="1">
      <c r="O8005" s="387"/>
      <c r="P8005" s="387"/>
      <c r="Q8005" s="387"/>
    </row>
    <row r="8006" spans="15:17" ht="20.100000000000001" customHeight="1">
      <c r="O8006" s="387"/>
      <c r="P8006" s="387"/>
      <c r="Q8006" s="387"/>
    </row>
    <row r="8007" spans="15:17" ht="20.100000000000001" customHeight="1">
      <c r="O8007" s="387"/>
      <c r="P8007" s="387"/>
      <c r="Q8007" s="387"/>
    </row>
    <row r="8008" spans="15:17" ht="20.100000000000001" customHeight="1">
      <c r="O8008" s="387"/>
      <c r="P8008" s="387"/>
      <c r="Q8008" s="387"/>
    </row>
    <row r="8009" spans="15:17" ht="20.100000000000001" customHeight="1">
      <c r="O8009" s="387"/>
      <c r="P8009" s="387"/>
      <c r="Q8009" s="387"/>
    </row>
    <row r="8010" spans="15:17" ht="20.100000000000001" customHeight="1">
      <c r="O8010" s="387"/>
      <c r="P8010" s="387"/>
      <c r="Q8010" s="387"/>
    </row>
    <row r="8011" spans="15:17" ht="20.100000000000001" customHeight="1">
      <c r="O8011" s="387"/>
      <c r="P8011" s="387"/>
      <c r="Q8011" s="387"/>
    </row>
    <row r="8012" spans="15:17" ht="20.100000000000001" customHeight="1">
      <c r="O8012" s="387"/>
      <c r="P8012" s="387"/>
      <c r="Q8012" s="387"/>
    </row>
    <row r="8013" spans="15:17" ht="20.100000000000001" customHeight="1">
      <c r="O8013" s="387"/>
      <c r="P8013" s="387"/>
      <c r="Q8013" s="387"/>
    </row>
    <row r="8014" spans="15:17" ht="20.100000000000001" customHeight="1">
      <c r="O8014" s="387"/>
      <c r="P8014" s="387"/>
      <c r="Q8014" s="387"/>
    </row>
    <row r="8015" spans="15:17" ht="20.100000000000001" customHeight="1">
      <c r="O8015" s="387"/>
      <c r="P8015" s="387"/>
      <c r="Q8015" s="387"/>
    </row>
    <row r="8016" spans="15:17" ht="20.100000000000001" customHeight="1">
      <c r="O8016" s="387"/>
      <c r="P8016" s="387"/>
      <c r="Q8016" s="387"/>
    </row>
    <row r="8017" spans="15:17" ht="20.100000000000001" customHeight="1">
      <c r="O8017" s="387"/>
      <c r="P8017" s="387"/>
      <c r="Q8017" s="387"/>
    </row>
    <row r="8018" spans="15:17" ht="20.100000000000001" customHeight="1">
      <c r="O8018" s="387"/>
      <c r="P8018" s="387"/>
      <c r="Q8018" s="387"/>
    </row>
    <row r="8019" spans="15:17" ht="20.100000000000001" customHeight="1">
      <c r="O8019" s="387"/>
      <c r="P8019" s="387"/>
      <c r="Q8019" s="387"/>
    </row>
    <row r="8020" spans="15:17" ht="20.100000000000001" customHeight="1">
      <c r="O8020" s="387"/>
      <c r="P8020" s="387"/>
      <c r="Q8020" s="387"/>
    </row>
    <row r="8021" spans="15:17" ht="20.100000000000001" customHeight="1">
      <c r="O8021" s="387"/>
      <c r="P8021" s="387"/>
      <c r="Q8021" s="387"/>
    </row>
    <row r="8022" spans="15:17" ht="20.100000000000001" customHeight="1">
      <c r="O8022" s="387"/>
      <c r="P8022" s="387"/>
      <c r="Q8022" s="387"/>
    </row>
    <row r="8023" spans="15:17" ht="20.100000000000001" customHeight="1">
      <c r="O8023" s="387"/>
      <c r="P8023" s="387"/>
      <c r="Q8023" s="387"/>
    </row>
    <row r="8024" spans="15:17" ht="20.100000000000001" customHeight="1">
      <c r="O8024" s="387"/>
      <c r="P8024" s="387"/>
      <c r="Q8024" s="387"/>
    </row>
    <row r="8025" spans="15:17" ht="20.100000000000001" customHeight="1">
      <c r="O8025" s="387"/>
      <c r="P8025" s="387"/>
      <c r="Q8025" s="387"/>
    </row>
    <row r="8026" spans="15:17" ht="20.100000000000001" customHeight="1">
      <c r="O8026" s="387"/>
      <c r="P8026" s="387"/>
      <c r="Q8026" s="387"/>
    </row>
    <row r="8027" spans="15:17" ht="20.100000000000001" customHeight="1">
      <c r="O8027" s="387"/>
      <c r="P8027" s="387"/>
      <c r="Q8027" s="387"/>
    </row>
    <row r="8028" spans="15:17" ht="20.100000000000001" customHeight="1">
      <c r="O8028" s="387"/>
      <c r="P8028" s="387"/>
      <c r="Q8028" s="387"/>
    </row>
    <row r="8029" spans="15:17" ht="20.100000000000001" customHeight="1">
      <c r="O8029" s="387"/>
      <c r="P8029" s="387"/>
      <c r="Q8029" s="387"/>
    </row>
    <row r="8030" spans="15:17" ht="20.100000000000001" customHeight="1">
      <c r="O8030" s="387"/>
      <c r="P8030" s="387"/>
      <c r="Q8030" s="387"/>
    </row>
    <row r="8031" spans="15:17" ht="20.100000000000001" customHeight="1">
      <c r="O8031" s="387"/>
      <c r="P8031" s="387"/>
      <c r="Q8031" s="387"/>
    </row>
    <row r="8032" spans="15:17" ht="20.100000000000001" customHeight="1">
      <c r="O8032" s="387"/>
      <c r="P8032" s="387"/>
      <c r="Q8032" s="387"/>
    </row>
    <row r="8033" spans="15:17" ht="20.100000000000001" customHeight="1">
      <c r="O8033" s="387"/>
      <c r="P8033" s="387"/>
      <c r="Q8033" s="387"/>
    </row>
    <row r="8034" spans="15:17" ht="20.100000000000001" customHeight="1">
      <c r="O8034" s="387"/>
      <c r="P8034" s="387"/>
      <c r="Q8034" s="387"/>
    </row>
    <row r="8035" spans="15:17" ht="20.100000000000001" customHeight="1">
      <c r="O8035" s="387"/>
      <c r="P8035" s="387"/>
      <c r="Q8035" s="387"/>
    </row>
    <row r="8036" spans="15:17" ht="20.100000000000001" customHeight="1">
      <c r="O8036" s="387"/>
      <c r="P8036" s="387"/>
      <c r="Q8036" s="387"/>
    </row>
    <row r="8037" spans="15:17" ht="20.100000000000001" customHeight="1">
      <c r="O8037" s="387"/>
      <c r="P8037" s="387"/>
      <c r="Q8037" s="387"/>
    </row>
    <row r="8038" spans="15:17" ht="20.100000000000001" customHeight="1">
      <c r="O8038" s="387"/>
      <c r="P8038" s="387"/>
      <c r="Q8038" s="387"/>
    </row>
    <row r="8039" spans="15:17" ht="20.100000000000001" customHeight="1">
      <c r="O8039" s="387"/>
      <c r="P8039" s="387"/>
      <c r="Q8039" s="387"/>
    </row>
    <row r="8040" spans="15:17" ht="20.100000000000001" customHeight="1">
      <c r="O8040" s="387"/>
      <c r="P8040" s="387"/>
      <c r="Q8040" s="387"/>
    </row>
    <row r="8041" spans="15:17" ht="20.100000000000001" customHeight="1">
      <c r="O8041" s="387"/>
      <c r="P8041" s="387"/>
      <c r="Q8041" s="387"/>
    </row>
    <row r="8042" spans="15:17" ht="20.100000000000001" customHeight="1">
      <c r="O8042" s="387"/>
      <c r="P8042" s="387"/>
      <c r="Q8042" s="387"/>
    </row>
    <row r="8043" spans="15:17" ht="20.100000000000001" customHeight="1">
      <c r="O8043" s="387"/>
      <c r="P8043" s="387"/>
      <c r="Q8043" s="387"/>
    </row>
    <row r="8044" spans="15:17" ht="20.100000000000001" customHeight="1">
      <c r="O8044" s="387"/>
      <c r="P8044" s="387"/>
      <c r="Q8044" s="387"/>
    </row>
    <row r="8045" spans="15:17" ht="20.100000000000001" customHeight="1">
      <c r="O8045" s="387"/>
      <c r="P8045" s="387"/>
      <c r="Q8045" s="387"/>
    </row>
    <row r="8046" spans="15:17" ht="20.100000000000001" customHeight="1">
      <c r="O8046" s="387"/>
      <c r="P8046" s="387"/>
      <c r="Q8046" s="387"/>
    </row>
    <row r="8047" spans="15:17" ht="20.100000000000001" customHeight="1">
      <c r="O8047" s="387"/>
      <c r="P8047" s="387"/>
      <c r="Q8047" s="387"/>
    </row>
    <row r="8048" spans="15:17" ht="20.100000000000001" customHeight="1">
      <c r="O8048" s="387"/>
      <c r="P8048" s="387"/>
      <c r="Q8048" s="387"/>
    </row>
    <row r="8049" spans="15:17" ht="20.100000000000001" customHeight="1">
      <c r="O8049" s="387"/>
      <c r="P8049" s="387"/>
      <c r="Q8049" s="387"/>
    </row>
    <row r="8050" spans="15:17" ht="20.100000000000001" customHeight="1">
      <c r="O8050" s="387"/>
      <c r="P8050" s="387"/>
      <c r="Q8050" s="387"/>
    </row>
    <row r="8051" spans="15:17" ht="20.100000000000001" customHeight="1">
      <c r="O8051" s="387"/>
      <c r="P8051" s="387"/>
      <c r="Q8051" s="387"/>
    </row>
    <row r="8052" spans="15:17" ht="20.100000000000001" customHeight="1">
      <c r="O8052" s="387"/>
      <c r="P8052" s="387"/>
      <c r="Q8052" s="387"/>
    </row>
    <row r="8053" spans="15:17" ht="20.100000000000001" customHeight="1">
      <c r="O8053" s="387"/>
      <c r="P8053" s="387"/>
      <c r="Q8053" s="387"/>
    </row>
    <row r="8054" spans="15:17" ht="20.100000000000001" customHeight="1">
      <c r="O8054" s="387"/>
      <c r="P8054" s="387"/>
      <c r="Q8054" s="387"/>
    </row>
    <row r="8055" spans="15:17" ht="20.100000000000001" customHeight="1">
      <c r="O8055" s="387"/>
      <c r="P8055" s="387"/>
      <c r="Q8055" s="387"/>
    </row>
    <row r="8056" spans="15:17" ht="20.100000000000001" customHeight="1">
      <c r="O8056" s="387"/>
      <c r="P8056" s="387"/>
      <c r="Q8056" s="387"/>
    </row>
    <row r="8057" spans="15:17" ht="20.100000000000001" customHeight="1">
      <c r="O8057" s="387"/>
      <c r="P8057" s="387"/>
      <c r="Q8057" s="387"/>
    </row>
    <row r="8058" spans="15:17" ht="20.100000000000001" customHeight="1">
      <c r="O8058" s="387"/>
      <c r="P8058" s="387"/>
      <c r="Q8058" s="387"/>
    </row>
    <row r="8059" spans="15:17" ht="20.100000000000001" customHeight="1">
      <c r="O8059" s="387"/>
      <c r="P8059" s="387"/>
      <c r="Q8059" s="387"/>
    </row>
    <row r="8060" spans="15:17" ht="20.100000000000001" customHeight="1">
      <c r="O8060" s="387"/>
      <c r="P8060" s="387"/>
      <c r="Q8060" s="387"/>
    </row>
    <row r="8061" spans="15:17" ht="20.100000000000001" customHeight="1">
      <c r="O8061" s="387"/>
      <c r="P8061" s="387"/>
      <c r="Q8061" s="387"/>
    </row>
    <row r="8062" spans="15:17" ht="20.100000000000001" customHeight="1">
      <c r="O8062" s="387"/>
      <c r="P8062" s="387"/>
      <c r="Q8062" s="387"/>
    </row>
    <row r="8063" spans="15:17" ht="20.100000000000001" customHeight="1">
      <c r="O8063" s="387"/>
      <c r="P8063" s="387"/>
      <c r="Q8063" s="387"/>
    </row>
    <row r="8064" spans="15:17" ht="20.100000000000001" customHeight="1">
      <c r="O8064" s="387"/>
      <c r="P8064" s="387"/>
      <c r="Q8064" s="387"/>
    </row>
    <row r="8065" spans="15:17" ht="20.100000000000001" customHeight="1">
      <c r="O8065" s="387"/>
      <c r="P8065" s="387"/>
      <c r="Q8065" s="387"/>
    </row>
    <row r="8066" spans="15:17" ht="20.100000000000001" customHeight="1">
      <c r="O8066" s="387"/>
      <c r="P8066" s="387"/>
      <c r="Q8066" s="387"/>
    </row>
    <row r="8067" spans="15:17" ht="20.100000000000001" customHeight="1">
      <c r="O8067" s="387"/>
      <c r="P8067" s="387"/>
      <c r="Q8067" s="387"/>
    </row>
    <row r="8068" spans="15:17" ht="20.100000000000001" customHeight="1">
      <c r="O8068" s="387"/>
      <c r="P8068" s="387"/>
      <c r="Q8068" s="387"/>
    </row>
    <row r="8069" spans="15:17" ht="20.100000000000001" customHeight="1">
      <c r="O8069" s="387"/>
      <c r="P8069" s="387"/>
      <c r="Q8069" s="387"/>
    </row>
    <row r="8070" spans="15:17" ht="20.100000000000001" customHeight="1">
      <c r="O8070" s="387"/>
      <c r="P8070" s="387"/>
      <c r="Q8070" s="387"/>
    </row>
    <row r="8071" spans="15:17" ht="20.100000000000001" customHeight="1">
      <c r="O8071" s="387"/>
      <c r="P8071" s="387"/>
      <c r="Q8071" s="387"/>
    </row>
    <row r="8072" spans="15:17" ht="20.100000000000001" customHeight="1">
      <c r="O8072" s="387"/>
      <c r="P8072" s="387"/>
      <c r="Q8072" s="387"/>
    </row>
    <row r="8073" spans="15:17" ht="20.100000000000001" customHeight="1">
      <c r="O8073" s="387"/>
      <c r="P8073" s="387"/>
      <c r="Q8073" s="387"/>
    </row>
    <row r="8074" spans="15:17" ht="20.100000000000001" customHeight="1">
      <c r="O8074" s="387"/>
      <c r="P8074" s="387"/>
      <c r="Q8074" s="387"/>
    </row>
    <row r="8075" spans="15:17" ht="20.100000000000001" customHeight="1">
      <c r="O8075" s="387"/>
      <c r="P8075" s="387"/>
      <c r="Q8075" s="387"/>
    </row>
    <row r="8076" spans="15:17" ht="20.100000000000001" customHeight="1">
      <c r="O8076" s="387"/>
      <c r="P8076" s="387"/>
      <c r="Q8076" s="387"/>
    </row>
    <row r="8077" spans="15:17" ht="20.100000000000001" customHeight="1">
      <c r="O8077" s="387"/>
      <c r="P8077" s="387"/>
      <c r="Q8077" s="387"/>
    </row>
    <row r="8078" spans="15:17" ht="20.100000000000001" customHeight="1">
      <c r="O8078" s="387"/>
      <c r="P8078" s="387"/>
      <c r="Q8078" s="387"/>
    </row>
    <row r="8079" spans="15:17" ht="20.100000000000001" customHeight="1">
      <c r="O8079" s="387"/>
      <c r="P8079" s="387"/>
      <c r="Q8079" s="387"/>
    </row>
    <row r="8080" spans="15:17" ht="20.100000000000001" customHeight="1">
      <c r="O8080" s="387"/>
      <c r="P8080" s="387"/>
      <c r="Q8080" s="387"/>
    </row>
    <row r="8081" spans="15:17" ht="20.100000000000001" customHeight="1">
      <c r="O8081" s="387"/>
      <c r="P8081" s="387"/>
      <c r="Q8081" s="387"/>
    </row>
    <row r="8082" spans="15:17" ht="20.100000000000001" customHeight="1">
      <c r="O8082" s="387"/>
      <c r="P8082" s="387"/>
      <c r="Q8082" s="387"/>
    </row>
    <row r="8083" spans="15:17" ht="20.100000000000001" customHeight="1">
      <c r="O8083" s="387"/>
      <c r="P8083" s="387"/>
      <c r="Q8083" s="387"/>
    </row>
    <row r="8084" spans="15:17" ht="20.100000000000001" customHeight="1">
      <c r="O8084" s="387"/>
      <c r="P8084" s="387"/>
      <c r="Q8084" s="387"/>
    </row>
    <row r="8085" spans="15:17" ht="20.100000000000001" customHeight="1">
      <c r="O8085" s="387"/>
      <c r="P8085" s="387"/>
      <c r="Q8085" s="387"/>
    </row>
    <row r="8086" spans="15:17" ht="20.100000000000001" customHeight="1">
      <c r="O8086" s="387"/>
      <c r="P8086" s="387"/>
      <c r="Q8086" s="387"/>
    </row>
    <row r="8087" spans="15:17" ht="20.100000000000001" customHeight="1">
      <c r="O8087" s="387"/>
      <c r="P8087" s="387"/>
      <c r="Q8087" s="387"/>
    </row>
    <row r="8088" spans="15:17" ht="20.100000000000001" customHeight="1">
      <c r="O8088" s="387"/>
      <c r="P8088" s="387"/>
      <c r="Q8088" s="387"/>
    </row>
    <row r="8089" spans="15:17" ht="20.100000000000001" customHeight="1">
      <c r="O8089" s="387"/>
      <c r="P8089" s="387"/>
      <c r="Q8089" s="387"/>
    </row>
    <row r="8090" spans="15:17" ht="20.100000000000001" customHeight="1">
      <c r="O8090" s="387"/>
      <c r="P8090" s="387"/>
      <c r="Q8090" s="387"/>
    </row>
    <row r="8091" spans="15:17" ht="20.100000000000001" customHeight="1">
      <c r="O8091" s="387"/>
      <c r="P8091" s="387"/>
      <c r="Q8091" s="387"/>
    </row>
    <row r="8092" spans="15:17" ht="20.100000000000001" customHeight="1">
      <c r="O8092" s="387"/>
      <c r="P8092" s="387"/>
      <c r="Q8092" s="387"/>
    </row>
    <row r="8093" spans="15:17" ht="20.100000000000001" customHeight="1">
      <c r="O8093" s="387"/>
      <c r="P8093" s="387"/>
      <c r="Q8093" s="387"/>
    </row>
    <row r="8094" spans="15:17" ht="20.100000000000001" customHeight="1">
      <c r="O8094" s="387"/>
      <c r="P8094" s="387"/>
      <c r="Q8094" s="387"/>
    </row>
    <row r="8095" spans="15:17" ht="20.100000000000001" customHeight="1">
      <c r="O8095" s="387"/>
      <c r="P8095" s="387"/>
      <c r="Q8095" s="387"/>
    </row>
    <row r="8096" spans="15:17" ht="20.100000000000001" customHeight="1">
      <c r="O8096" s="387"/>
      <c r="P8096" s="387"/>
      <c r="Q8096" s="387"/>
    </row>
    <row r="8097" spans="15:17" ht="20.100000000000001" customHeight="1">
      <c r="O8097" s="387"/>
      <c r="P8097" s="387"/>
      <c r="Q8097" s="387"/>
    </row>
    <row r="8098" spans="15:17" ht="20.100000000000001" customHeight="1">
      <c r="O8098" s="387"/>
      <c r="P8098" s="387"/>
      <c r="Q8098" s="387"/>
    </row>
    <row r="8099" spans="15:17" ht="20.100000000000001" customHeight="1">
      <c r="O8099" s="387"/>
      <c r="P8099" s="387"/>
      <c r="Q8099" s="387"/>
    </row>
    <row r="8100" spans="15:17" ht="20.100000000000001" customHeight="1">
      <c r="O8100" s="387"/>
      <c r="P8100" s="387"/>
      <c r="Q8100" s="387"/>
    </row>
    <row r="8101" spans="15:17" ht="20.100000000000001" customHeight="1">
      <c r="O8101" s="387"/>
      <c r="P8101" s="387"/>
      <c r="Q8101" s="387"/>
    </row>
    <row r="8102" spans="15:17" ht="20.100000000000001" customHeight="1">
      <c r="O8102" s="387"/>
      <c r="P8102" s="387"/>
      <c r="Q8102" s="387"/>
    </row>
    <row r="8103" spans="15:17" ht="20.100000000000001" customHeight="1">
      <c r="O8103" s="387"/>
      <c r="P8103" s="387"/>
      <c r="Q8103" s="387"/>
    </row>
    <row r="8104" spans="15:17" ht="20.100000000000001" customHeight="1">
      <c r="O8104" s="387"/>
      <c r="P8104" s="387"/>
      <c r="Q8104" s="387"/>
    </row>
    <row r="8105" spans="15:17" ht="20.100000000000001" customHeight="1">
      <c r="O8105" s="387"/>
      <c r="P8105" s="387"/>
      <c r="Q8105" s="387"/>
    </row>
    <row r="8106" spans="15:17" ht="20.100000000000001" customHeight="1">
      <c r="O8106" s="387"/>
      <c r="P8106" s="387"/>
      <c r="Q8106" s="387"/>
    </row>
    <row r="8107" spans="15:17" ht="20.100000000000001" customHeight="1">
      <c r="O8107" s="387"/>
      <c r="P8107" s="387"/>
      <c r="Q8107" s="387"/>
    </row>
    <row r="8108" spans="15:17" ht="20.100000000000001" customHeight="1">
      <c r="O8108" s="387"/>
      <c r="P8108" s="387"/>
      <c r="Q8108" s="387"/>
    </row>
    <row r="8109" spans="15:17" ht="20.100000000000001" customHeight="1">
      <c r="O8109" s="387"/>
      <c r="P8109" s="387"/>
      <c r="Q8109" s="387"/>
    </row>
    <row r="8110" spans="15:17" ht="20.100000000000001" customHeight="1">
      <c r="O8110" s="387"/>
      <c r="P8110" s="387"/>
      <c r="Q8110" s="387"/>
    </row>
    <row r="8111" spans="15:17" ht="20.100000000000001" customHeight="1">
      <c r="O8111" s="387"/>
      <c r="P8111" s="387"/>
      <c r="Q8111" s="387"/>
    </row>
    <row r="8112" spans="15:17" ht="20.100000000000001" customHeight="1">
      <c r="O8112" s="387"/>
      <c r="P8112" s="387"/>
      <c r="Q8112" s="387"/>
    </row>
    <row r="8113" spans="15:17" ht="20.100000000000001" customHeight="1">
      <c r="O8113" s="387"/>
      <c r="P8113" s="387"/>
      <c r="Q8113" s="387"/>
    </row>
    <row r="8114" spans="15:17" ht="20.100000000000001" customHeight="1">
      <c r="O8114" s="387"/>
      <c r="P8114" s="387"/>
      <c r="Q8114" s="387"/>
    </row>
    <row r="8115" spans="15:17" ht="20.100000000000001" customHeight="1">
      <c r="O8115" s="387"/>
      <c r="P8115" s="387"/>
      <c r="Q8115" s="387"/>
    </row>
    <row r="8116" spans="15:17" ht="20.100000000000001" customHeight="1">
      <c r="O8116" s="387"/>
      <c r="P8116" s="387"/>
      <c r="Q8116" s="387"/>
    </row>
    <row r="8117" spans="15:17" ht="20.100000000000001" customHeight="1">
      <c r="O8117" s="387"/>
      <c r="P8117" s="387"/>
      <c r="Q8117" s="387"/>
    </row>
    <row r="8118" spans="15:17" ht="20.100000000000001" customHeight="1">
      <c r="O8118" s="387"/>
      <c r="P8118" s="387"/>
      <c r="Q8118" s="387"/>
    </row>
    <row r="8119" spans="15:17" ht="20.100000000000001" customHeight="1">
      <c r="O8119" s="387"/>
      <c r="P8119" s="387"/>
      <c r="Q8119" s="387"/>
    </row>
    <row r="8120" spans="15:17" ht="20.100000000000001" customHeight="1">
      <c r="O8120" s="387"/>
      <c r="P8120" s="387"/>
      <c r="Q8120" s="387"/>
    </row>
    <row r="8121" spans="15:17" ht="20.100000000000001" customHeight="1">
      <c r="O8121" s="387"/>
      <c r="P8121" s="387"/>
      <c r="Q8121" s="387"/>
    </row>
    <row r="8122" spans="15:17" ht="20.100000000000001" customHeight="1">
      <c r="O8122" s="387"/>
      <c r="P8122" s="387"/>
      <c r="Q8122" s="387"/>
    </row>
    <row r="8123" spans="15:17" ht="20.100000000000001" customHeight="1">
      <c r="O8123" s="387"/>
      <c r="P8123" s="387"/>
      <c r="Q8123" s="387"/>
    </row>
    <row r="8124" spans="15:17" ht="20.100000000000001" customHeight="1">
      <c r="O8124" s="387"/>
      <c r="P8124" s="387"/>
      <c r="Q8124" s="387"/>
    </row>
    <row r="8125" spans="15:17" ht="20.100000000000001" customHeight="1">
      <c r="O8125" s="387"/>
      <c r="P8125" s="387"/>
      <c r="Q8125" s="387"/>
    </row>
    <row r="8126" spans="15:17" ht="20.100000000000001" customHeight="1">
      <c r="O8126" s="387"/>
      <c r="P8126" s="387"/>
      <c r="Q8126" s="387"/>
    </row>
    <row r="8127" spans="15:17" ht="20.100000000000001" customHeight="1">
      <c r="O8127" s="387"/>
      <c r="P8127" s="387"/>
      <c r="Q8127" s="387"/>
    </row>
    <row r="8128" spans="15:17" ht="20.100000000000001" customHeight="1">
      <c r="O8128" s="387"/>
      <c r="P8128" s="387"/>
      <c r="Q8128" s="387"/>
    </row>
    <row r="8129" spans="15:17" ht="20.100000000000001" customHeight="1">
      <c r="O8129" s="387"/>
      <c r="P8129" s="387"/>
      <c r="Q8129" s="387"/>
    </row>
    <row r="8130" spans="15:17" ht="20.100000000000001" customHeight="1">
      <c r="O8130" s="387"/>
      <c r="P8130" s="387"/>
      <c r="Q8130" s="387"/>
    </row>
    <row r="8131" spans="15:17" ht="20.100000000000001" customHeight="1">
      <c r="O8131" s="387"/>
      <c r="P8131" s="387"/>
      <c r="Q8131" s="387"/>
    </row>
    <row r="8132" spans="15:17" ht="20.100000000000001" customHeight="1">
      <c r="O8132" s="387"/>
      <c r="P8132" s="387"/>
      <c r="Q8132" s="387"/>
    </row>
    <row r="8133" spans="15:17" ht="20.100000000000001" customHeight="1">
      <c r="O8133" s="387"/>
      <c r="P8133" s="387"/>
      <c r="Q8133" s="387"/>
    </row>
    <row r="8134" spans="15:17" ht="20.100000000000001" customHeight="1">
      <c r="O8134" s="387"/>
      <c r="P8134" s="387"/>
      <c r="Q8134" s="387"/>
    </row>
    <row r="8135" spans="15:17" ht="20.100000000000001" customHeight="1">
      <c r="O8135" s="387"/>
      <c r="P8135" s="387"/>
      <c r="Q8135" s="387"/>
    </row>
    <row r="8136" spans="15:17" ht="20.100000000000001" customHeight="1">
      <c r="O8136" s="387"/>
      <c r="P8136" s="387"/>
      <c r="Q8136" s="387"/>
    </row>
    <row r="8137" spans="15:17" ht="20.100000000000001" customHeight="1">
      <c r="O8137" s="387"/>
      <c r="P8137" s="387"/>
      <c r="Q8137" s="387"/>
    </row>
    <row r="8138" spans="15:17" ht="20.100000000000001" customHeight="1">
      <c r="O8138" s="387"/>
      <c r="P8138" s="387"/>
      <c r="Q8138" s="387"/>
    </row>
    <row r="8139" spans="15:17" ht="20.100000000000001" customHeight="1">
      <c r="O8139" s="387"/>
      <c r="P8139" s="387"/>
      <c r="Q8139" s="387"/>
    </row>
    <row r="8140" spans="15:17" ht="20.100000000000001" customHeight="1">
      <c r="O8140" s="387"/>
      <c r="P8140" s="387"/>
      <c r="Q8140" s="387"/>
    </row>
    <row r="8141" spans="15:17" ht="20.100000000000001" customHeight="1">
      <c r="O8141" s="387"/>
      <c r="P8141" s="387"/>
      <c r="Q8141" s="387"/>
    </row>
    <row r="8142" spans="15:17" ht="20.100000000000001" customHeight="1">
      <c r="O8142" s="387"/>
      <c r="P8142" s="387"/>
      <c r="Q8142" s="387"/>
    </row>
    <row r="8143" spans="15:17" ht="20.100000000000001" customHeight="1">
      <c r="O8143" s="387"/>
      <c r="P8143" s="387"/>
      <c r="Q8143" s="387"/>
    </row>
    <row r="8144" spans="15:17" ht="20.100000000000001" customHeight="1">
      <c r="O8144" s="387"/>
      <c r="P8144" s="387"/>
      <c r="Q8144" s="387"/>
    </row>
    <row r="8145" spans="15:17" ht="20.100000000000001" customHeight="1">
      <c r="O8145" s="387"/>
      <c r="P8145" s="387"/>
      <c r="Q8145" s="387"/>
    </row>
    <row r="8146" spans="15:17" ht="20.100000000000001" customHeight="1">
      <c r="O8146" s="387"/>
      <c r="P8146" s="387"/>
      <c r="Q8146" s="387"/>
    </row>
    <row r="8147" spans="15:17" ht="20.100000000000001" customHeight="1">
      <c r="O8147" s="387"/>
      <c r="P8147" s="387"/>
      <c r="Q8147" s="387"/>
    </row>
    <row r="8148" spans="15:17" ht="20.100000000000001" customHeight="1">
      <c r="O8148" s="387"/>
      <c r="P8148" s="387"/>
      <c r="Q8148" s="387"/>
    </row>
    <row r="8149" spans="15:17" ht="20.100000000000001" customHeight="1">
      <c r="O8149" s="387"/>
      <c r="P8149" s="387"/>
      <c r="Q8149" s="387"/>
    </row>
    <row r="8150" spans="15:17" ht="20.100000000000001" customHeight="1">
      <c r="O8150" s="387"/>
      <c r="P8150" s="387"/>
      <c r="Q8150" s="387"/>
    </row>
    <row r="8151" spans="15:17" ht="20.100000000000001" customHeight="1">
      <c r="O8151" s="387"/>
      <c r="P8151" s="387"/>
      <c r="Q8151" s="387"/>
    </row>
    <row r="8152" spans="15:17" ht="20.100000000000001" customHeight="1">
      <c r="O8152" s="387"/>
      <c r="P8152" s="387"/>
      <c r="Q8152" s="387"/>
    </row>
    <row r="8153" spans="15:17" ht="20.100000000000001" customHeight="1">
      <c r="O8153" s="387"/>
      <c r="P8153" s="387"/>
      <c r="Q8153" s="387"/>
    </row>
    <row r="8154" spans="15:17" ht="20.100000000000001" customHeight="1">
      <c r="O8154" s="387"/>
      <c r="P8154" s="387"/>
      <c r="Q8154" s="387"/>
    </row>
    <row r="8155" spans="15:17" ht="20.100000000000001" customHeight="1">
      <c r="O8155" s="387"/>
      <c r="P8155" s="387"/>
      <c r="Q8155" s="387"/>
    </row>
    <row r="8156" spans="15:17" ht="20.100000000000001" customHeight="1">
      <c r="O8156" s="387"/>
      <c r="P8156" s="387"/>
      <c r="Q8156" s="387"/>
    </row>
    <row r="8157" spans="15:17" ht="20.100000000000001" customHeight="1">
      <c r="O8157" s="387"/>
      <c r="P8157" s="387"/>
      <c r="Q8157" s="387"/>
    </row>
    <row r="8158" spans="15:17" ht="20.100000000000001" customHeight="1">
      <c r="O8158" s="387"/>
      <c r="P8158" s="387"/>
      <c r="Q8158" s="387"/>
    </row>
    <row r="8159" spans="15:17" ht="20.100000000000001" customHeight="1">
      <c r="O8159" s="387"/>
      <c r="P8159" s="387"/>
      <c r="Q8159" s="387"/>
    </row>
    <row r="8160" spans="15:17" ht="20.100000000000001" customHeight="1">
      <c r="O8160" s="387"/>
      <c r="P8160" s="387"/>
      <c r="Q8160" s="387"/>
    </row>
    <row r="8161" spans="15:17" ht="20.100000000000001" customHeight="1">
      <c r="O8161" s="387"/>
      <c r="P8161" s="387"/>
      <c r="Q8161" s="387"/>
    </row>
    <row r="8162" spans="15:17" ht="20.100000000000001" customHeight="1">
      <c r="O8162" s="387"/>
      <c r="P8162" s="387"/>
      <c r="Q8162" s="387"/>
    </row>
    <row r="8163" spans="15:17" ht="20.100000000000001" customHeight="1">
      <c r="O8163" s="387"/>
      <c r="P8163" s="387"/>
      <c r="Q8163" s="387"/>
    </row>
    <row r="8164" spans="15:17" ht="20.100000000000001" customHeight="1">
      <c r="O8164" s="387"/>
      <c r="P8164" s="387"/>
      <c r="Q8164" s="387"/>
    </row>
    <row r="8165" spans="15:17" ht="20.100000000000001" customHeight="1">
      <c r="O8165" s="387"/>
      <c r="P8165" s="387"/>
      <c r="Q8165" s="387"/>
    </row>
    <row r="8166" spans="15:17" ht="20.100000000000001" customHeight="1">
      <c r="O8166" s="387"/>
      <c r="P8166" s="387"/>
      <c r="Q8166" s="387"/>
    </row>
    <row r="8167" spans="15:17" ht="20.100000000000001" customHeight="1">
      <c r="O8167" s="387"/>
      <c r="P8167" s="387"/>
      <c r="Q8167" s="387"/>
    </row>
    <row r="8168" spans="15:17" ht="20.100000000000001" customHeight="1">
      <c r="O8168" s="387"/>
      <c r="P8168" s="387"/>
      <c r="Q8168" s="387"/>
    </row>
    <row r="8169" spans="15:17" ht="20.100000000000001" customHeight="1">
      <c r="O8169" s="387"/>
      <c r="P8169" s="387"/>
      <c r="Q8169" s="387"/>
    </row>
    <row r="8170" spans="15:17" ht="20.100000000000001" customHeight="1">
      <c r="O8170" s="387"/>
      <c r="P8170" s="387"/>
      <c r="Q8170" s="387"/>
    </row>
    <row r="8171" spans="15:17" ht="20.100000000000001" customHeight="1">
      <c r="O8171" s="387"/>
      <c r="P8171" s="387"/>
      <c r="Q8171" s="387"/>
    </row>
    <row r="8172" spans="15:17" ht="20.100000000000001" customHeight="1">
      <c r="O8172" s="387"/>
      <c r="P8172" s="387"/>
      <c r="Q8172" s="387"/>
    </row>
    <row r="8173" spans="15:17" ht="20.100000000000001" customHeight="1">
      <c r="O8173" s="387"/>
      <c r="P8173" s="387"/>
      <c r="Q8173" s="387"/>
    </row>
    <row r="8174" spans="15:17" ht="20.100000000000001" customHeight="1">
      <c r="O8174" s="387"/>
      <c r="P8174" s="387"/>
      <c r="Q8174" s="387"/>
    </row>
    <row r="8175" spans="15:17" ht="20.100000000000001" customHeight="1">
      <c r="O8175" s="387"/>
      <c r="P8175" s="387"/>
      <c r="Q8175" s="387"/>
    </row>
    <row r="8176" spans="15:17" ht="20.100000000000001" customHeight="1">
      <c r="O8176" s="387"/>
      <c r="P8176" s="387"/>
      <c r="Q8176" s="387"/>
    </row>
    <row r="8177" spans="15:17" ht="20.100000000000001" customHeight="1">
      <c r="O8177" s="387"/>
      <c r="P8177" s="387"/>
      <c r="Q8177" s="387"/>
    </row>
    <row r="8178" spans="15:17" ht="20.100000000000001" customHeight="1">
      <c r="O8178" s="387"/>
      <c r="P8178" s="387"/>
      <c r="Q8178" s="387"/>
    </row>
    <row r="8179" spans="15:17" ht="20.100000000000001" customHeight="1">
      <c r="O8179" s="387"/>
      <c r="P8179" s="387"/>
      <c r="Q8179" s="387"/>
    </row>
    <row r="8180" spans="15:17" ht="20.100000000000001" customHeight="1">
      <c r="O8180" s="387"/>
      <c r="P8180" s="387"/>
      <c r="Q8180" s="387"/>
    </row>
    <row r="8181" spans="15:17" ht="20.100000000000001" customHeight="1">
      <c r="O8181" s="387"/>
      <c r="P8181" s="387"/>
      <c r="Q8181" s="387"/>
    </row>
    <row r="8182" spans="15:17" ht="20.100000000000001" customHeight="1">
      <c r="O8182" s="387"/>
      <c r="P8182" s="387"/>
      <c r="Q8182" s="387"/>
    </row>
    <row r="8183" spans="15:17" ht="20.100000000000001" customHeight="1">
      <c r="O8183" s="387"/>
      <c r="P8183" s="387"/>
      <c r="Q8183" s="387"/>
    </row>
    <row r="8184" spans="15:17" ht="20.100000000000001" customHeight="1">
      <c r="O8184" s="387"/>
      <c r="P8184" s="387"/>
      <c r="Q8184" s="387"/>
    </row>
    <row r="8185" spans="15:17" ht="20.100000000000001" customHeight="1">
      <c r="O8185" s="387"/>
      <c r="P8185" s="387"/>
      <c r="Q8185" s="387"/>
    </row>
    <row r="8186" spans="15:17" ht="20.100000000000001" customHeight="1">
      <c r="O8186" s="387"/>
      <c r="P8186" s="387"/>
      <c r="Q8186" s="387"/>
    </row>
    <row r="8187" spans="15:17" ht="20.100000000000001" customHeight="1">
      <c r="O8187" s="387"/>
      <c r="P8187" s="387"/>
      <c r="Q8187" s="387"/>
    </row>
    <row r="8188" spans="15:17" ht="20.100000000000001" customHeight="1">
      <c r="O8188" s="387"/>
      <c r="P8188" s="387"/>
      <c r="Q8188" s="387"/>
    </row>
    <row r="8189" spans="15:17" ht="20.100000000000001" customHeight="1">
      <c r="O8189" s="387"/>
      <c r="P8189" s="387"/>
      <c r="Q8189" s="387"/>
    </row>
    <row r="8190" spans="15:17" ht="20.100000000000001" customHeight="1">
      <c r="O8190" s="387"/>
      <c r="P8190" s="387"/>
      <c r="Q8190" s="387"/>
    </row>
    <row r="8191" spans="15:17" ht="20.100000000000001" customHeight="1">
      <c r="O8191" s="387"/>
      <c r="P8191" s="387"/>
      <c r="Q8191" s="387"/>
    </row>
    <row r="8192" spans="15:17" ht="20.100000000000001" customHeight="1">
      <c r="O8192" s="387"/>
      <c r="P8192" s="387"/>
      <c r="Q8192" s="387"/>
    </row>
    <row r="8193" spans="15:17" ht="20.100000000000001" customHeight="1">
      <c r="O8193" s="387"/>
      <c r="P8193" s="387"/>
      <c r="Q8193" s="387"/>
    </row>
    <row r="8194" spans="15:17" ht="20.100000000000001" customHeight="1">
      <c r="O8194" s="387"/>
      <c r="P8194" s="387"/>
      <c r="Q8194" s="387"/>
    </row>
    <row r="8195" spans="15:17" ht="20.100000000000001" customHeight="1">
      <c r="O8195" s="387"/>
      <c r="P8195" s="387"/>
      <c r="Q8195" s="387"/>
    </row>
    <row r="8196" spans="15:17" ht="20.100000000000001" customHeight="1">
      <c r="O8196" s="387"/>
      <c r="P8196" s="387"/>
      <c r="Q8196" s="387"/>
    </row>
    <row r="8197" spans="15:17" ht="20.100000000000001" customHeight="1">
      <c r="O8197" s="387"/>
      <c r="P8197" s="387"/>
      <c r="Q8197" s="387"/>
    </row>
    <row r="8198" spans="15:17" ht="20.100000000000001" customHeight="1">
      <c r="O8198" s="387"/>
      <c r="P8198" s="387"/>
      <c r="Q8198" s="387"/>
    </row>
    <row r="8199" spans="15:17" ht="20.100000000000001" customHeight="1">
      <c r="O8199" s="387"/>
      <c r="P8199" s="387"/>
      <c r="Q8199" s="387"/>
    </row>
    <row r="8200" spans="15:17" ht="20.100000000000001" customHeight="1">
      <c r="O8200" s="387"/>
      <c r="P8200" s="387"/>
      <c r="Q8200" s="387"/>
    </row>
    <row r="8201" spans="15:17" ht="20.100000000000001" customHeight="1">
      <c r="O8201" s="387"/>
      <c r="P8201" s="387"/>
      <c r="Q8201" s="387"/>
    </row>
    <row r="8202" spans="15:17" ht="20.100000000000001" customHeight="1">
      <c r="O8202" s="387"/>
      <c r="P8202" s="387"/>
      <c r="Q8202" s="387"/>
    </row>
    <row r="8203" spans="15:17" ht="20.100000000000001" customHeight="1">
      <c r="O8203" s="387"/>
      <c r="P8203" s="387"/>
      <c r="Q8203" s="387"/>
    </row>
    <row r="8204" spans="15:17" ht="20.100000000000001" customHeight="1">
      <c r="O8204" s="387"/>
      <c r="P8204" s="387"/>
      <c r="Q8204" s="387"/>
    </row>
    <row r="8205" spans="15:17" ht="20.100000000000001" customHeight="1">
      <c r="O8205" s="387"/>
      <c r="P8205" s="387"/>
      <c r="Q8205" s="387"/>
    </row>
    <row r="8206" spans="15:17" ht="20.100000000000001" customHeight="1">
      <c r="O8206" s="387"/>
      <c r="P8206" s="387"/>
      <c r="Q8206" s="387"/>
    </row>
    <row r="8207" spans="15:17" ht="20.100000000000001" customHeight="1">
      <c r="O8207" s="387"/>
      <c r="P8207" s="387"/>
      <c r="Q8207" s="387"/>
    </row>
    <row r="8208" spans="15:17" ht="20.100000000000001" customHeight="1">
      <c r="O8208" s="387"/>
      <c r="P8208" s="387"/>
      <c r="Q8208" s="387"/>
    </row>
    <row r="8209" spans="15:17" ht="20.100000000000001" customHeight="1">
      <c r="O8209" s="387"/>
      <c r="P8209" s="387"/>
      <c r="Q8209" s="387"/>
    </row>
    <row r="8210" spans="15:17" ht="20.100000000000001" customHeight="1">
      <c r="O8210" s="387"/>
      <c r="P8210" s="387"/>
      <c r="Q8210" s="387"/>
    </row>
    <row r="8211" spans="15:17" ht="20.100000000000001" customHeight="1">
      <c r="O8211" s="387"/>
      <c r="P8211" s="387"/>
      <c r="Q8211" s="387"/>
    </row>
    <row r="8212" spans="15:17" ht="20.100000000000001" customHeight="1">
      <c r="O8212" s="387"/>
      <c r="P8212" s="387"/>
      <c r="Q8212" s="387"/>
    </row>
    <row r="8213" spans="15:17" ht="20.100000000000001" customHeight="1">
      <c r="O8213" s="387"/>
      <c r="P8213" s="387"/>
      <c r="Q8213" s="387"/>
    </row>
    <row r="8214" spans="15:17" ht="20.100000000000001" customHeight="1">
      <c r="O8214" s="387"/>
      <c r="P8214" s="387"/>
      <c r="Q8214" s="387"/>
    </row>
    <row r="8215" spans="15:17" ht="20.100000000000001" customHeight="1">
      <c r="O8215" s="387"/>
      <c r="P8215" s="387"/>
      <c r="Q8215" s="387"/>
    </row>
    <row r="8216" spans="15:17" ht="20.100000000000001" customHeight="1">
      <c r="O8216" s="387"/>
      <c r="P8216" s="387"/>
      <c r="Q8216" s="387"/>
    </row>
    <row r="8217" spans="15:17" ht="20.100000000000001" customHeight="1">
      <c r="O8217" s="387"/>
      <c r="P8217" s="387"/>
      <c r="Q8217" s="387"/>
    </row>
    <row r="8218" spans="15:17" ht="20.100000000000001" customHeight="1">
      <c r="O8218" s="387"/>
      <c r="P8218" s="387"/>
      <c r="Q8218" s="387"/>
    </row>
    <row r="8219" spans="15:17" ht="20.100000000000001" customHeight="1">
      <c r="O8219" s="387"/>
      <c r="P8219" s="387"/>
      <c r="Q8219" s="387"/>
    </row>
    <row r="8220" spans="15:17" ht="20.100000000000001" customHeight="1">
      <c r="O8220" s="387"/>
      <c r="P8220" s="387"/>
      <c r="Q8220" s="387"/>
    </row>
    <row r="8221" spans="15:17" ht="20.100000000000001" customHeight="1">
      <c r="O8221" s="387"/>
      <c r="P8221" s="387"/>
      <c r="Q8221" s="387"/>
    </row>
    <row r="8222" spans="15:17" ht="20.100000000000001" customHeight="1">
      <c r="O8222" s="387"/>
      <c r="P8222" s="387"/>
      <c r="Q8222" s="387"/>
    </row>
    <row r="8223" spans="15:17" ht="20.100000000000001" customHeight="1">
      <c r="O8223" s="387"/>
      <c r="P8223" s="387"/>
      <c r="Q8223" s="387"/>
    </row>
    <row r="8224" spans="15:17" ht="20.100000000000001" customHeight="1">
      <c r="O8224" s="387"/>
      <c r="P8224" s="387"/>
      <c r="Q8224" s="387"/>
    </row>
    <row r="8225" spans="15:17" ht="20.100000000000001" customHeight="1">
      <c r="O8225" s="387"/>
      <c r="P8225" s="387"/>
      <c r="Q8225" s="387"/>
    </row>
    <row r="8226" spans="15:17" ht="20.100000000000001" customHeight="1">
      <c r="O8226" s="387"/>
      <c r="P8226" s="387"/>
      <c r="Q8226" s="387"/>
    </row>
    <row r="8227" spans="15:17" ht="20.100000000000001" customHeight="1">
      <c r="O8227" s="387"/>
      <c r="P8227" s="387"/>
      <c r="Q8227" s="387"/>
    </row>
    <row r="8228" spans="15:17" ht="20.100000000000001" customHeight="1">
      <c r="O8228" s="387"/>
      <c r="P8228" s="387"/>
      <c r="Q8228" s="387"/>
    </row>
    <row r="8229" spans="15:17" ht="20.100000000000001" customHeight="1">
      <c r="O8229" s="387"/>
      <c r="P8229" s="387"/>
      <c r="Q8229" s="387"/>
    </row>
    <row r="8230" spans="15:17" ht="20.100000000000001" customHeight="1">
      <c r="O8230" s="387"/>
      <c r="P8230" s="387"/>
      <c r="Q8230" s="387"/>
    </row>
    <row r="8231" spans="15:17" ht="20.100000000000001" customHeight="1">
      <c r="O8231" s="387"/>
      <c r="P8231" s="387"/>
      <c r="Q8231" s="387"/>
    </row>
    <row r="8232" spans="15:17" ht="20.100000000000001" customHeight="1">
      <c r="O8232" s="387"/>
      <c r="P8232" s="387"/>
      <c r="Q8232" s="387"/>
    </row>
    <row r="8233" spans="15:17" ht="20.100000000000001" customHeight="1">
      <c r="O8233" s="387"/>
      <c r="P8233" s="387"/>
      <c r="Q8233" s="387"/>
    </row>
    <row r="8234" spans="15:17" ht="20.100000000000001" customHeight="1">
      <c r="O8234" s="387"/>
      <c r="P8234" s="387"/>
      <c r="Q8234" s="387"/>
    </row>
    <row r="8235" spans="15:17" ht="20.100000000000001" customHeight="1">
      <c r="O8235" s="387"/>
      <c r="P8235" s="387"/>
      <c r="Q8235" s="387"/>
    </row>
    <row r="8236" spans="15:17" ht="20.100000000000001" customHeight="1">
      <c r="O8236" s="387"/>
      <c r="P8236" s="387"/>
      <c r="Q8236" s="387"/>
    </row>
    <row r="8237" spans="15:17" ht="20.100000000000001" customHeight="1">
      <c r="O8237" s="387"/>
      <c r="P8237" s="387"/>
      <c r="Q8237" s="387"/>
    </row>
    <row r="8238" spans="15:17" ht="20.100000000000001" customHeight="1">
      <c r="O8238" s="387"/>
      <c r="P8238" s="387"/>
      <c r="Q8238" s="387"/>
    </row>
    <row r="8239" spans="15:17" ht="20.100000000000001" customHeight="1">
      <c r="O8239" s="387"/>
      <c r="P8239" s="387"/>
      <c r="Q8239" s="387"/>
    </row>
    <row r="8240" spans="15:17" ht="20.100000000000001" customHeight="1">
      <c r="O8240" s="387"/>
      <c r="P8240" s="387"/>
      <c r="Q8240" s="387"/>
    </row>
    <row r="8241" spans="15:17" ht="20.100000000000001" customHeight="1">
      <c r="O8241" s="387"/>
      <c r="P8241" s="387"/>
      <c r="Q8241" s="387"/>
    </row>
    <row r="8242" spans="15:17" ht="20.100000000000001" customHeight="1">
      <c r="O8242" s="387"/>
      <c r="P8242" s="387"/>
      <c r="Q8242" s="387"/>
    </row>
    <row r="8243" spans="15:17" ht="20.100000000000001" customHeight="1">
      <c r="O8243" s="387"/>
      <c r="P8243" s="387"/>
      <c r="Q8243" s="387"/>
    </row>
    <row r="8244" spans="15:17" ht="20.100000000000001" customHeight="1">
      <c r="O8244" s="387"/>
      <c r="P8244" s="387"/>
      <c r="Q8244" s="387"/>
    </row>
    <row r="8245" spans="15:17" ht="20.100000000000001" customHeight="1">
      <c r="O8245" s="387"/>
      <c r="P8245" s="387"/>
      <c r="Q8245" s="387"/>
    </row>
    <row r="8246" spans="15:17" ht="20.100000000000001" customHeight="1">
      <c r="O8246" s="387"/>
      <c r="P8246" s="387"/>
      <c r="Q8246" s="387"/>
    </row>
    <row r="8247" spans="15:17" ht="20.100000000000001" customHeight="1">
      <c r="O8247" s="387"/>
      <c r="P8247" s="387"/>
      <c r="Q8247" s="387"/>
    </row>
    <row r="8248" spans="15:17" ht="20.100000000000001" customHeight="1">
      <c r="O8248" s="387"/>
      <c r="P8248" s="387"/>
      <c r="Q8248" s="387"/>
    </row>
    <row r="8249" spans="15:17" ht="20.100000000000001" customHeight="1">
      <c r="O8249" s="387"/>
      <c r="P8249" s="387"/>
      <c r="Q8249" s="387"/>
    </row>
    <row r="8250" spans="15:17" ht="20.100000000000001" customHeight="1">
      <c r="O8250" s="387"/>
      <c r="P8250" s="387"/>
      <c r="Q8250" s="387"/>
    </row>
    <row r="8251" spans="15:17" ht="20.100000000000001" customHeight="1">
      <c r="O8251" s="387"/>
      <c r="P8251" s="387"/>
      <c r="Q8251" s="387"/>
    </row>
    <row r="8252" spans="15:17" ht="20.100000000000001" customHeight="1">
      <c r="O8252" s="387"/>
      <c r="P8252" s="387"/>
      <c r="Q8252" s="387"/>
    </row>
    <row r="8253" spans="15:17" ht="20.100000000000001" customHeight="1">
      <c r="O8253" s="387"/>
      <c r="P8253" s="387"/>
      <c r="Q8253" s="387"/>
    </row>
    <row r="8254" spans="15:17" ht="20.100000000000001" customHeight="1">
      <c r="O8254" s="387"/>
      <c r="P8254" s="387"/>
      <c r="Q8254" s="387"/>
    </row>
    <row r="8255" spans="15:17" ht="20.100000000000001" customHeight="1">
      <c r="O8255" s="387"/>
      <c r="P8255" s="387"/>
      <c r="Q8255" s="387"/>
    </row>
    <row r="8256" spans="15:17" ht="20.100000000000001" customHeight="1">
      <c r="O8256" s="387"/>
      <c r="P8256" s="387"/>
      <c r="Q8256" s="387"/>
    </row>
    <row r="8257" spans="15:17" ht="20.100000000000001" customHeight="1">
      <c r="O8257" s="387"/>
      <c r="P8257" s="387"/>
      <c r="Q8257" s="387"/>
    </row>
    <row r="8258" spans="15:17" ht="20.100000000000001" customHeight="1">
      <c r="O8258" s="387"/>
      <c r="P8258" s="387"/>
      <c r="Q8258" s="387"/>
    </row>
    <row r="8259" spans="15:17" ht="20.100000000000001" customHeight="1">
      <c r="O8259" s="387"/>
      <c r="P8259" s="387"/>
      <c r="Q8259" s="387"/>
    </row>
    <row r="8260" spans="15:17" ht="20.100000000000001" customHeight="1">
      <c r="O8260" s="387"/>
      <c r="P8260" s="387"/>
      <c r="Q8260" s="387"/>
    </row>
    <row r="8261" spans="15:17" ht="20.100000000000001" customHeight="1">
      <c r="O8261" s="387"/>
      <c r="P8261" s="387"/>
      <c r="Q8261" s="387"/>
    </row>
    <row r="8262" spans="15:17" ht="20.100000000000001" customHeight="1">
      <c r="O8262" s="387"/>
      <c r="P8262" s="387"/>
      <c r="Q8262" s="387"/>
    </row>
    <row r="8263" spans="15:17" ht="20.100000000000001" customHeight="1">
      <c r="O8263" s="387"/>
      <c r="P8263" s="387"/>
      <c r="Q8263" s="387"/>
    </row>
    <row r="8264" spans="15:17" ht="20.100000000000001" customHeight="1">
      <c r="O8264" s="387"/>
      <c r="P8264" s="387"/>
      <c r="Q8264" s="387"/>
    </row>
    <row r="8265" spans="15:17" ht="20.100000000000001" customHeight="1">
      <c r="O8265" s="387"/>
      <c r="P8265" s="387"/>
      <c r="Q8265" s="387"/>
    </row>
    <row r="8266" spans="15:17" ht="20.100000000000001" customHeight="1">
      <c r="O8266" s="387"/>
      <c r="P8266" s="387"/>
      <c r="Q8266" s="387"/>
    </row>
    <row r="8267" spans="15:17" ht="20.100000000000001" customHeight="1">
      <c r="O8267" s="387"/>
      <c r="P8267" s="387"/>
      <c r="Q8267" s="387"/>
    </row>
    <row r="8268" spans="15:17" ht="20.100000000000001" customHeight="1">
      <c r="O8268" s="387"/>
      <c r="P8268" s="387"/>
      <c r="Q8268" s="387"/>
    </row>
    <row r="8269" spans="15:17" ht="20.100000000000001" customHeight="1">
      <c r="O8269" s="387"/>
      <c r="P8269" s="387"/>
      <c r="Q8269" s="387"/>
    </row>
    <row r="8270" spans="15:17" ht="20.100000000000001" customHeight="1">
      <c r="O8270" s="387"/>
      <c r="P8270" s="387"/>
      <c r="Q8270" s="387"/>
    </row>
    <row r="8271" spans="15:17" ht="20.100000000000001" customHeight="1">
      <c r="O8271" s="387"/>
      <c r="P8271" s="387"/>
      <c r="Q8271" s="387"/>
    </row>
    <row r="8272" spans="15:17" ht="20.100000000000001" customHeight="1">
      <c r="O8272" s="387"/>
      <c r="P8272" s="387"/>
      <c r="Q8272" s="387"/>
    </row>
    <row r="8273" spans="15:17" ht="20.100000000000001" customHeight="1">
      <c r="O8273" s="387"/>
      <c r="P8273" s="387"/>
      <c r="Q8273" s="387"/>
    </row>
    <row r="8274" spans="15:17" ht="20.100000000000001" customHeight="1">
      <c r="O8274" s="387"/>
      <c r="P8274" s="387"/>
      <c r="Q8274" s="387"/>
    </row>
    <row r="8275" spans="15:17" ht="20.100000000000001" customHeight="1">
      <c r="O8275" s="387"/>
      <c r="P8275" s="387"/>
      <c r="Q8275" s="387"/>
    </row>
    <row r="8276" spans="15:17" ht="20.100000000000001" customHeight="1">
      <c r="O8276" s="387"/>
      <c r="P8276" s="387"/>
      <c r="Q8276" s="387"/>
    </row>
    <row r="8277" spans="15:17" ht="20.100000000000001" customHeight="1">
      <c r="O8277" s="387"/>
      <c r="P8277" s="387"/>
      <c r="Q8277" s="387"/>
    </row>
    <row r="8278" spans="15:17" ht="20.100000000000001" customHeight="1">
      <c r="O8278" s="387"/>
      <c r="P8278" s="387"/>
      <c r="Q8278" s="387"/>
    </row>
    <row r="8279" spans="15:17" ht="20.100000000000001" customHeight="1">
      <c r="O8279" s="387"/>
      <c r="P8279" s="387"/>
      <c r="Q8279" s="387"/>
    </row>
    <row r="8280" spans="15:17" ht="20.100000000000001" customHeight="1">
      <c r="O8280" s="387"/>
      <c r="P8280" s="387"/>
      <c r="Q8280" s="387"/>
    </row>
    <row r="8281" spans="15:17" ht="20.100000000000001" customHeight="1">
      <c r="O8281" s="387"/>
      <c r="P8281" s="387"/>
      <c r="Q8281" s="387"/>
    </row>
    <row r="8282" spans="15:17" ht="20.100000000000001" customHeight="1">
      <c r="O8282" s="387"/>
      <c r="P8282" s="387"/>
      <c r="Q8282" s="387"/>
    </row>
    <row r="8283" spans="15:17" ht="20.100000000000001" customHeight="1">
      <c r="O8283" s="387"/>
      <c r="P8283" s="387"/>
      <c r="Q8283" s="387"/>
    </row>
    <row r="8284" spans="15:17" ht="20.100000000000001" customHeight="1">
      <c r="O8284" s="387"/>
      <c r="P8284" s="387"/>
      <c r="Q8284" s="387"/>
    </row>
    <row r="8285" spans="15:17" ht="20.100000000000001" customHeight="1">
      <c r="O8285" s="387"/>
      <c r="P8285" s="387"/>
      <c r="Q8285" s="387"/>
    </row>
    <row r="8286" spans="15:17" ht="20.100000000000001" customHeight="1">
      <c r="O8286" s="387"/>
      <c r="P8286" s="387"/>
      <c r="Q8286" s="387"/>
    </row>
    <row r="8287" spans="15:17" ht="20.100000000000001" customHeight="1">
      <c r="O8287" s="387"/>
      <c r="P8287" s="387"/>
      <c r="Q8287" s="387"/>
    </row>
    <row r="8288" spans="15:17" ht="20.100000000000001" customHeight="1">
      <c r="O8288" s="387"/>
      <c r="P8288" s="387"/>
      <c r="Q8288" s="387"/>
    </row>
    <row r="8289" spans="15:17" ht="20.100000000000001" customHeight="1">
      <c r="O8289" s="387"/>
      <c r="P8289" s="387"/>
      <c r="Q8289" s="387"/>
    </row>
    <row r="8290" spans="15:17" ht="20.100000000000001" customHeight="1">
      <c r="O8290" s="387"/>
      <c r="P8290" s="387"/>
      <c r="Q8290" s="387"/>
    </row>
    <row r="8291" spans="15:17" ht="20.100000000000001" customHeight="1">
      <c r="O8291" s="387"/>
      <c r="P8291" s="387"/>
      <c r="Q8291" s="387"/>
    </row>
    <row r="8292" spans="15:17" ht="20.100000000000001" customHeight="1">
      <c r="O8292" s="387"/>
      <c r="P8292" s="387"/>
      <c r="Q8292" s="387"/>
    </row>
    <row r="8293" spans="15:17" ht="20.100000000000001" customHeight="1">
      <c r="O8293" s="387"/>
      <c r="P8293" s="387"/>
      <c r="Q8293" s="387"/>
    </row>
    <row r="8294" spans="15:17" ht="20.100000000000001" customHeight="1">
      <c r="O8294" s="387"/>
      <c r="P8294" s="387"/>
      <c r="Q8294" s="387"/>
    </row>
    <row r="8295" spans="15:17" ht="20.100000000000001" customHeight="1">
      <c r="O8295" s="387"/>
      <c r="P8295" s="387"/>
      <c r="Q8295" s="387"/>
    </row>
    <row r="8296" spans="15:17" ht="20.100000000000001" customHeight="1">
      <c r="O8296" s="387"/>
      <c r="P8296" s="387"/>
      <c r="Q8296" s="387"/>
    </row>
    <row r="8297" spans="15:17" ht="20.100000000000001" customHeight="1">
      <c r="O8297" s="387"/>
      <c r="P8297" s="387"/>
      <c r="Q8297" s="387"/>
    </row>
    <row r="8298" spans="15:17" ht="20.100000000000001" customHeight="1">
      <c r="O8298" s="387"/>
      <c r="P8298" s="387"/>
      <c r="Q8298" s="387"/>
    </row>
    <row r="8299" spans="15:17" ht="20.100000000000001" customHeight="1">
      <c r="O8299" s="387"/>
      <c r="P8299" s="387"/>
      <c r="Q8299" s="387"/>
    </row>
    <row r="8300" spans="15:17" ht="20.100000000000001" customHeight="1">
      <c r="O8300" s="387"/>
      <c r="P8300" s="387"/>
      <c r="Q8300" s="387"/>
    </row>
    <row r="8301" spans="15:17" ht="20.100000000000001" customHeight="1">
      <c r="O8301" s="387"/>
      <c r="P8301" s="387"/>
      <c r="Q8301" s="387"/>
    </row>
    <row r="8302" spans="15:17" ht="20.100000000000001" customHeight="1">
      <c r="O8302" s="387"/>
      <c r="P8302" s="387"/>
      <c r="Q8302" s="387"/>
    </row>
    <row r="8303" spans="15:17" ht="20.100000000000001" customHeight="1">
      <c r="O8303" s="387"/>
      <c r="P8303" s="387"/>
      <c r="Q8303" s="387"/>
    </row>
    <row r="8304" spans="15:17" ht="20.100000000000001" customHeight="1">
      <c r="O8304" s="387"/>
      <c r="P8304" s="387"/>
      <c r="Q8304" s="387"/>
    </row>
    <row r="8305" spans="15:17" ht="20.100000000000001" customHeight="1">
      <c r="O8305" s="387"/>
      <c r="P8305" s="387"/>
      <c r="Q8305" s="387"/>
    </row>
    <row r="8306" spans="15:17" ht="20.100000000000001" customHeight="1">
      <c r="O8306" s="387"/>
      <c r="P8306" s="387"/>
      <c r="Q8306" s="387"/>
    </row>
    <row r="8307" spans="15:17" ht="20.100000000000001" customHeight="1">
      <c r="O8307" s="387"/>
      <c r="P8307" s="387"/>
      <c r="Q8307" s="387"/>
    </row>
    <row r="8308" spans="15:17" ht="20.100000000000001" customHeight="1">
      <c r="O8308" s="387"/>
      <c r="P8308" s="387"/>
      <c r="Q8308" s="387"/>
    </row>
    <row r="8309" spans="15:17" ht="20.100000000000001" customHeight="1">
      <c r="O8309" s="387"/>
      <c r="P8309" s="387"/>
      <c r="Q8309" s="387"/>
    </row>
    <row r="8310" spans="15:17" ht="20.100000000000001" customHeight="1">
      <c r="O8310" s="387"/>
      <c r="P8310" s="387"/>
      <c r="Q8310" s="387"/>
    </row>
    <row r="8311" spans="15:17" ht="20.100000000000001" customHeight="1">
      <c r="O8311" s="387"/>
      <c r="P8311" s="387"/>
      <c r="Q8311" s="387"/>
    </row>
    <row r="8312" spans="15:17" ht="20.100000000000001" customHeight="1">
      <c r="O8312" s="387"/>
      <c r="P8312" s="387"/>
      <c r="Q8312" s="387"/>
    </row>
    <row r="8313" spans="15:17" ht="20.100000000000001" customHeight="1">
      <c r="O8313" s="387"/>
      <c r="P8313" s="387"/>
      <c r="Q8313" s="387"/>
    </row>
    <row r="8314" spans="15:17" ht="20.100000000000001" customHeight="1">
      <c r="O8314" s="387"/>
      <c r="P8314" s="387"/>
      <c r="Q8314" s="387"/>
    </row>
    <row r="8315" spans="15:17" ht="20.100000000000001" customHeight="1">
      <c r="O8315" s="387"/>
      <c r="P8315" s="387"/>
      <c r="Q8315" s="387"/>
    </row>
    <row r="8316" spans="15:17" ht="20.100000000000001" customHeight="1">
      <c r="O8316" s="387"/>
      <c r="P8316" s="387"/>
      <c r="Q8316" s="387"/>
    </row>
    <row r="8317" spans="15:17" ht="20.100000000000001" customHeight="1">
      <c r="O8317" s="387"/>
      <c r="P8317" s="387"/>
      <c r="Q8317" s="387"/>
    </row>
    <row r="8318" spans="15:17" ht="20.100000000000001" customHeight="1">
      <c r="O8318" s="387"/>
      <c r="P8318" s="387"/>
      <c r="Q8318" s="387"/>
    </row>
    <row r="8319" spans="15:17" ht="20.100000000000001" customHeight="1">
      <c r="O8319" s="387"/>
      <c r="P8319" s="387"/>
      <c r="Q8319" s="387"/>
    </row>
    <row r="8320" spans="15:17" ht="20.100000000000001" customHeight="1">
      <c r="O8320" s="387"/>
      <c r="P8320" s="387"/>
      <c r="Q8320" s="387"/>
    </row>
    <row r="8321" spans="15:17" ht="20.100000000000001" customHeight="1">
      <c r="O8321" s="387"/>
      <c r="P8321" s="387"/>
      <c r="Q8321" s="387"/>
    </row>
    <row r="8322" spans="15:17" ht="20.100000000000001" customHeight="1">
      <c r="O8322" s="387"/>
      <c r="P8322" s="387"/>
      <c r="Q8322" s="387"/>
    </row>
    <row r="8323" spans="15:17" ht="20.100000000000001" customHeight="1">
      <c r="O8323" s="387"/>
      <c r="P8323" s="387"/>
      <c r="Q8323" s="387"/>
    </row>
    <row r="8324" spans="15:17" ht="20.100000000000001" customHeight="1">
      <c r="O8324" s="387"/>
      <c r="P8324" s="387"/>
      <c r="Q8324" s="387"/>
    </row>
    <row r="8325" spans="15:17" ht="20.100000000000001" customHeight="1">
      <c r="O8325" s="387"/>
      <c r="P8325" s="387"/>
      <c r="Q8325" s="387"/>
    </row>
    <row r="8326" spans="15:17" ht="20.100000000000001" customHeight="1">
      <c r="O8326" s="387"/>
      <c r="P8326" s="387"/>
      <c r="Q8326" s="387"/>
    </row>
    <row r="8327" spans="15:17" ht="20.100000000000001" customHeight="1">
      <c r="O8327" s="387"/>
      <c r="P8327" s="387"/>
      <c r="Q8327" s="387"/>
    </row>
    <row r="8328" spans="15:17" ht="20.100000000000001" customHeight="1">
      <c r="O8328" s="387"/>
      <c r="P8328" s="387"/>
      <c r="Q8328" s="387"/>
    </row>
    <row r="8329" spans="15:17" ht="20.100000000000001" customHeight="1">
      <c r="O8329" s="387"/>
      <c r="P8329" s="387"/>
      <c r="Q8329" s="387"/>
    </row>
    <row r="8330" spans="15:17" ht="20.100000000000001" customHeight="1">
      <c r="O8330" s="387"/>
      <c r="P8330" s="387"/>
      <c r="Q8330" s="387"/>
    </row>
    <row r="8331" spans="15:17" ht="20.100000000000001" customHeight="1">
      <c r="O8331" s="387"/>
      <c r="P8331" s="387"/>
      <c r="Q8331" s="387"/>
    </row>
    <row r="8332" spans="15:17" ht="20.100000000000001" customHeight="1">
      <c r="O8332" s="387"/>
      <c r="P8332" s="387"/>
      <c r="Q8332" s="387"/>
    </row>
    <row r="8333" spans="15:17" ht="20.100000000000001" customHeight="1">
      <c r="O8333" s="387"/>
      <c r="P8333" s="387"/>
      <c r="Q8333" s="387"/>
    </row>
    <row r="8334" spans="15:17" ht="20.100000000000001" customHeight="1">
      <c r="O8334" s="387"/>
      <c r="P8334" s="387"/>
      <c r="Q8334" s="387"/>
    </row>
    <row r="8335" spans="15:17" ht="20.100000000000001" customHeight="1">
      <c r="O8335" s="387"/>
      <c r="P8335" s="387"/>
      <c r="Q8335" s="387"/>
    </row>
    <row r="8336" spans="15:17" ht="20.100000000000001" customHeight="1">
      <c r="O8336" s="387"/>
      <c r="P8336" s="387"/>
      <c r="Q8336" s="387"/>
    </row>
    <row r="8337" spans="15:17" ht="20.100000000000001" customHeight="1">
      <c r="O8337" s="387"/>
      <c r="P8337" s="387"/>
      <c r="Q8337" s="387"/>
    </row>
    <row r="8338" spans="15:17" ht="20.100000000000001" customHeight="1">
      <c r="O8338" s="387"/>
      <c r="P8338" s="387"/>
      <c r="Q8338" s="387"/>
    </row>
    <row r="8339" spans="15:17" ht="20.100000000000001" customHeight="1">
      <c r="O8339" s="387"/>
      <c r="P8339" s="387"/>
      <c r="Q8339" s="387"/>
    </row>
    <row r="8340" spans="15:17" ht="20.100000000000001" customHeight="1">
      <c r="O8340" s="387"/>
      <c r="P8340" s="387"/>
      <c r="Q8340" s="387"/>
    </row>
    <row r="8341" spans="15:17" ht="20.100000000000001" customHeight="1">
      <c r="O8341" s="387"/>
      <c r="P8341" s="387"/>
      <c r="Q8341" s="387"/>
    </row>
    <row r="8342" spans="15:17" ht="20.100000000000001" customHeight="1">
      <c r="O8342" s="387"/>
      <c r="P8342" s="387"/>
      <c r="Q8342" s="387"/>
    </row>
    <row r="8343" spans="15:17" ht="20.100000000000001" customHeight="1">
      <c r="O8343" s="387"/>
      <c r="P8343" s="387"/>
      <c r="Q8343" s="387"/>
    </row>
    <row r="8344" spans="15:17" ht="20.100000000000001" customHeight="1">
      <c r="O8344" s="387"/>
      <c r="P8344" s="387"/>
      <c r="Q8344" s="387"/>
    </row>
    <row r="8345" spans="15:17" ht="20.100000000000001" customHeight="1">
      <c r="O8345" s="387"/>
      <c r="P8345" s="387"/>
      <c r="Q8345" s="387"/>
    </row>
    <row r="8346" spans="15:17" ht="20.100000000000001" customHeight="1">
      <c r="O8346" s="387"/>
      <c r="P8346" s="387"/>
      <c r="Q8346" s="387"/>
    </row>
    <row r="8347" spans="15:17" ht="20.100000000000001" customHeight="1">
      <c r="O8347" s="387"/>
      <c r="P8347" s="387"/>
      <c r="Q8347" s="387"/>
    </row>
    <row r="8348" spans="15:17" ht="20.100000000000001" customHeight="1">
      <c r="O8348" s="387"/>
      <c r="P8348" s="387"/>
      <c r="Q8348" s="387"/>
    </row>
    <row r="8349" spans="15:17" ht="20.100000000000001" customHeight="1">
      <c r="O8349" s="387"/>
      <c r="P8349" s="387"/>
      <c r="Q8349" s="387"/>
    </row>
    <row r="8350" spans="15:17" ht="20.100000000000001" customHeight="1">
      <c r="O8350" s="387"/>
      <c r="P8350" s="387"/>
      <c r="Q8350" s="387"/>
    </row>
    <row r="8351" spans="15:17" ht="20.100000000000001" customHeight="1">
      <c r="O8351" s="387"/>
      <c r="P8351" s="387"/>
      <c r="Q8351" s="387"/>
    </row>
    <row r="8352" spans="15:17" ht="20.100000000000001" customHeight="1">
      <c r="O8352" s="387"/>
      <c r="P8352" s="387"/>
      <c r="Q8352" s="387"/>
    </row>
    <row r="8353" spans="15:17" ht="20.100000000000001" customHeight="1">
      <c r="O8353" s="387"/>
      <c r="P8353" s="387"/>
      <c r="Q8353" s="387"/>
    </row>
    <row r="8354" spans="15:17" ht="20.100000000000001" customHeight="1">
      <c r="O8354" s="387"/>
      <c r="P8354" s="387"/>
      <c r="Q8354" s="387"/>
    </row>
    <row r="8355" spans="15:17" ht="20.100000000000001" customHeight="1">
      <c r="O8355" s="387"/>
      <c r="P8355" s="387"/>
      <c r="Q8355" s="387"/>
    </row>
    <row r="8356" spans="15:17" ht="20.100000000000001" customHeight="1">
      <c r="O8356" s="387"/>
      <c r="P8356" s="387"/>
      <c r="Q8356" s="387"/>
    </row>
    <row r="8357" spans="15:17" ht="20.100000000000001" customHeight="1">
      <c r="O8357" s="387"/>
      <c r="P8357" s="387"/>
      <c r="Q8357" s="387"/>
    </row>
    <row r="8358" spans="15:17" ht="20.100000000000001" customHeight="1">
      <c r="O8358" s="387"/>
      <c r="P8358" s="387"/>
      <c r="Q8358" s="387"/>
    </row>
    <row r="8359" spans="15:17" ht="20.100000000000001" customHeight="1">
      <c r="O8359" s="387"/>
      <c r="P8359" s="387"/>
      <c r="Q8359" s="387"/>
    </row>
    <row r="8360" spans="15:17" ht="20.100000000000001" customHeight="1">
      <c r="O8360" s="387"/>
      <c r="P8360" s="387"/>
      <c r="Q8360" s="387"/>
    </row>
    <row r="8361" spans="15:17" ht="20.100000000000001" customHeight="1">
      <c r="O8361" s="387"/>
      <c r="P8361" s="387"/>
      <c r="Q8361" s="387"/>
    </row>
    <row r="8362" spans="15:17" ht="20.100000000000001" customHeight="1">
      <c r="O8362" s="387"/>
      <c r="P8362" s="387"/>
      <c r="Q8362" s="387"/>
    </row>
    <row r="8363" spans="15:17" ht="20.100000000000001" customHeight="1">
      <c r="O8363" s="387"/>
      <c r="P8363" s="387"/>
      <c r="Q8363" s="387"/>
    </row>
    <row r="8364" spans="15:17" ht="20.100000000000001" customHeight="1">
      <c r="O8364" s="387"/>
      <c r="P8364" s="387"/>
      <c r="Q8364" s="387"/>
    </row>
    <row r="8365" spans="15:17" ht="20.100000000000001" customHeight="1">
      <c r="O8365" s="387"/>
      <c r="P8365" s="387"/>
      <c r="Q8365" s="387"/>
    </row>
    <row r="8366" spans="15:17" ht="20.100000000000001" customHeight="1">
      <c r="O8366" s="387"/>
      <c r="P8366" s="387"/>
      <c r="Q8366" s="387"/>
    </row>
    <row r="8367" spans="15:17" ht="20.100000000000001" customHeight="1">
      <c r="O8367" s="387"/>
      <c r="P8367" s="387"/>
      <c r="Q8367" s="387"/>
    </row>
    <row r="8368" spans="15:17" ht="20.100000000000001" customHeight="1">
      <c r="O8368" s="387"/>
      <c r="P8368" s="387"/>
      <c r="Q8368" s="387"/>
    </row>
    <row r="8369" spans="15:17" ht="20.100000000000001" customHeight="1">
      <c r="O8369" s="387"/>
      <c r="P8369" s="387"/>
      <c r="Q8369" s="387"/>
    </row>
    <row r="8370" spans="15:17" ht="20.100000000000001" customHeight="1">
      <c r="O8370" s="387"/>
      <c r="P8370" s="387"/>
      <c r="Q8370" s="387"/>
    </row>
    <row r="8371" spans="15:17" ht="20.100000000000001" customHeight="1">
      <c r="O8371" s="387"/>
      <c r="P8371" s="387"/>
      <c r="Q8371" s="387"/>
    </row>
    <row r="8372" spans="15:17" ht="20.100000000000001" customHeight="1">
      <c r="O8372" s="387"/>
      <c r="P8372" s="387"/>
      <c r="Q8372" s="387"/>
    </row>
    <row r="8373" spans="15:17" ht="20.100000000000001" customHeight="1">
      <c r="O8373" s="387"/>
      <c r="P8373" s="387"/>
      <c r="Q8373" s="387"/>
    </row>
    <row r="8374" spans="15:17" ht="20.100000000000001" customHeight="1">
      <c r="O8374" s="387"/>
      <c r="P8374" s="387"/>
      <c r="Q8374" s="387"/>
    </row>
    <row r="8375" spans="15:17" ht="20.100000000000001" customHeight="1">
      <c r="O8375" s="387"/>
      <c r="P8375" s="387"/>
      <c r="Q8375" s="387"/>
    </row>
    <row r="8376" spans="15:17" ht="20.100000000000001" customHeight="1">
      <c r="O8376" s="387"/>
      <c r="P8376" s="387"/>
      <c r="Q8376" s="387"/>
    </row>
    <row r="8377" spans="15:17" ht="20.100000000000001" customHeight="1">
      <c r="O8377" s="387"/>
      <c r="P8377" s="387"/>
      <c r="Q8377" s="387"/>
    </row>
    <row r="8378" spans="15:17" ht="20.100000000000001" customHeight="1">
      <c r="O8378" s="387"/>
      <c r="P8378" s="387"/>
      <c r="Q8378" s="387"/>
    </row>
    <row r="8379" spans="15:17" ht="20.100000000000001" customHeight="1">
      <c r="O8379" s="387"/>
      <c r="P8379" s="387"/>
      <c r="Q8379" s="387"/>
    </row>
    <row r="8380" spans="15:17" ht="20.100000000000001" customHeight="1">
      <c r="O8380" s="387"/>
      <c r="P8380" s="387"/>
      <c r="Q8380" s="387"/>
    </row>
    <row r="8381" spans="15:17" ht="20.100000000000001" customHeight="1">
      <c r="O8381" s="387"/>
      <c r="P8381" s="387"/>
      <c r="Q8381" s="387"/>
    </row>
    <row r="8382" spans="15:17" ht="20.100000000000001" customHeight="1">
      <c r="O8382" s="387"/>
      <c r="P8382" s="387"/>
      <c r="Q8382" s="387"/>
    </row>
    <row r="8383" spans="15:17" ht="20.100000000000001" customHeight="1">
      <c r="O8383" s="387"/>
      <c r="P8383" s="387"/>
      <c r="Q8383" s="387"/>
    </row>
    <row r="8384" spans="15:17" ht="20.100000000000001" customHeight="1">
      <c r="O8384" s="387"/>
      <c r="P8384" s="387"/>
      <c r="Q8384" s="387"/>
    </row>
    <row r="8385" spans="15:17" ht="20.100000000000001" customHeight="1">
      <c r="O8385" s="387"/>
      <c r="P8385" s="387"/>
      <c r="Q8385" s="387"/>
    </row>
    <row r="8386" spans="15:17" ht="20.100000000000001" customHeight="1">
      <c r="O8386" s="387"/>
      <c r="P8386" s="387"/>
      <c r="Q8386" s="387"/>
    </row>
    <row r="8387" spans="15:17" ht="20.100000000000001" customHeight="1">
      <c r="O8387" s="387"/>
      <c r="P8387" s="387"/>
      <c r="Q8387" s="387"/>
    </row>
    <row r="8388" spans="15:17" ht="20.100000000000001" customHeight="1">
      <c r="O8388" s="387"/>
      <c r="P8388" s="387"/>
      <c r="Q8388" s="387"/>
    </row>
    <row r="8389" spans="15:17" ht="20.100000000000001" customHeight="1">
      <c r="O8389" s="387"/>
      <c r="P8389" s="387"/>
      <c r="Q8389" s="387"/>
    </row>
    <row r="8390" spans="15:17" ht="20.100000000000001" customHeight="1">
      <c r="O8390" s="387"/>
      <c r="P8390" s="387"/>
      <c r="Q8390" s="387"/>
    </row>
    <row r="8391" spans="15:17" ht="20.100000000000001" customHeight="1">
      <c r="O8391" s="387"/>
      <c r="P8391" s="387"/>
      <c r="Q8391" s="387"/>
    </row>
    <row r="8392" spans="15:17" ht="20.100000000000001" customHeight="1">
      <c r="O8392" s="387"/>
      <c r="P8392" s="387"/>
      <c r="Q8392" s="387"/>
    </row>
    <row r="8393" spans="15:17" ht="20.100000000000001" customHeight="1">
      <c r="O8393" s="387"/>
      <c r="P8393" s="387"/>
      <c r="Q8393" s="387"/>
    </row>
    <row r="8394" spans="15:17" ht="20.100000000000001" customHeight="1">
      <c r="O8394" s="387"/>
      <c r="P8394" s="387"/>
      <c r="Q8394" s="387"/>
    </row>
    <row r="8395" spans="15:17" ht="20.100000000000001" customHeight="1">
      <c r="O8395" s="387"/>
      <c r="P8395" s="387"/>
      <c r="Q8395" s="387"/>
    </row>
    <row r="8396" spans="15:17" ht="20.100000000000001" customHeight="1">
      <c r="O8396" s="387"/>
      <c r="P8396" s="387"/>
      <c r="Q8396" s="387"/>
    </row>
    <row r="8397" spans="15:17" ht="20.100000000000001" customHeight="1">
      <c r="O8397" s="387"/>
      <c r="P8397" s="387"/>
      <c r="Q8397" s="387"/>
    </row>
    <row r="8398" spans="15:17" ht="20.100000000000001" customHeight="1">
      <c r="O8398" s="387"/>
      <c r="P8398" s="387"/>
      <c r="Q8398" s="387"/>
    </row>
    <row r="8399" spans="15:17" ht="20.100000000000001" customHeight="1">
      <c r="O8399" s="387"/>
      <c r="P8399" s="387"/>
      <c r="Q8399" s="387"/>
    </row>
    <row r="8400" spans="15:17" ht="20.100000000000001" customHeight="1">
      <c r="O8400" s="387"/>
      <c r="P8400" s="387"/>
      <c r="Q8400" s="387"/>
    </row>
    <row r="8401" spans="15:17" ht="20.100000000000001" customHeight="1">
      <c r="O8401" s="387"/>
      <c r="P8401" s="387"/>
      <c r="Q8401" s="387"/>
    </row>
    <row r="8402" spans="15:17" ht="20.100000000000001" customHeight="1">
      <c r="O8402" s="387"/>
      <c r="P8402" s="387"/>
      <c r="Q8402" s="387"/>
    </row>
    <row r="8403" spans="15:17" ht="20.100000000000001" customHeight="1">
      <c r="O8403" s="387"/>
      <c r="P8403" s="387"/>
      <c r="Q8403" s="387"/>
    </row>
    <row r="8404" spans="15:17" ht="20.100000000000001" customHeight="1">
      <c r="O8404" s="387"/>
      <c r="P8404" s="387"/>
      <c r="Q8404" s="387"/>
    </row>
    <row r="8405" spans="15:17" ht="20.100000000000001" customHeight="1">
      <c r="O8405" s="387"/>
      <c r="P8405" s="387"/>
      <c r="Q8405" s="387"/>
    </row>
    <row r="8406" spans="15:17" ht="20.100000000000001" customHeight="1">
      <c r="O8406" s="387"/>
      <c r="P8406" s="387"/>
      <c r="Q8406" s="387"/>
    </row>
    <row r="8407" spans="15:17" ht="20.100000000000001" customHeight="1">
      <c r="O8407" s="387"/>
      <c r="P8407" s="387"/>
      <c r="Q8407" s="387"/>
    </row>
    <row r="8408" spans="15:17" ht="20.100000000000001" customHeight="1">
      <c r="O8408" s="387"/>
      <c r="P8408" s="387"/>
      <c r="Q8408" s="387"/>
    </row>
    <row r="8409" spans="15:17" ht="20.100000000000001" customHeight="1">
      <c r="O8409" s="387"/>
      <c r="P8409" s="387"/>
      <c r="Q8409" s="387"/>
    </row>
    <row r="8410" spans="15:17" ht="20.100000000000001" customHeight="1">
      <c r="O8410" s="387"/>
      <c r="P8410" s="387"/>
      <c r="Q8410" s="387"/>
    </row>
    <row r="8411" spans="15:17" ht="20.100000000000001" customHeight="1">
      <c r="O8411" s="387"/>
      <c r="P8411" s="387"/>
      <c r="Q8411" s="387"/>
    </row>
    <row r="8412" spans="15:17" ht="20.100000000000001" customHeight="1">
      <c r="O8412" s="387"/>
      <c r="P8412" s="387"/>
      <c r="Q8412" s="387"/>
    </row>
    <row r="8413" spans="15:17" ht="20.100000000000001" customHeight="1">
      <c r="O8413" s="387"/>
      <c r="P8413" s="387"/>
      <c r="Q8413" s="387"/>
    </row>
    <row r="8414" spans="15:17" ht="20.100000000000001" customHeight="1">
      <c r="O8414" s="387"/>
      <c r="P8414" s="387"/>
      <c r="Q8414" s="387"/>
    </row>
    <row r="8415" spans="15:17" ht="20.100000000000001" customHeight="1">
      <c r="O8415" s="387"/>
      <c r="P8415" s="387"/>
      <c r="Q8415" s="387"/>
    </row>
    <row r="8416" spans="15:17" ht="20.100000000000001" customHeight="1">
      <c r="O8416" s="387"/>
      <c r="P8416" s="387"/>
      <c r="Q8416" s="387"/>
    </row>
    <row r="8417" spans="15:17" ht="20.100000000000001" customHeight="1">
      <c r="O8417" s="387"/>
      <c r="P8417" s="387"/>
      <c r="Q8417" s="387"/>
    </row>
    <row r="8418" spans="15:17" ht="20.100000000000001" customHeight="1">
      <c r="O8418" s="387"/>
      <c r="P8418" s="387"/>
      <c r="Q8418" s="387"/>
    </row>
    <row r="8419" spans="15:17" ht="20.100000000000001" customHeight="1">
      <c r="O8419" s="387"/>
      <c r="P8419" s="387"/>
      <c r="Q8419" s="387"/>
    </row>
    <row r="8420" spans="15:17" ht="20.100000000000001" customHeight="1">
      <c r="O8420" s="387"/>
      <c r="P8420" s="387"/>
      <c r="Q8420" s="387"/>
    </row>
    <row r="8421" spans="15:17" ht="20.100000000000001" customHeight="1">
      <c r="O8421" s="387"/>
      <c r="P8421" s="387"/>
      <c r="Q8421" s="387"/>
    </row>
    <row r="8422" spans="15:17" ht="20.100000000000001" customHeight="1">
      <c r="O8422" s="387"/>
      <c r="P8422" s="387"/>
      <c r="Q8422" s="387"/>
    </row>
    <row r="8423" spans="15:17" ht="20.100000000000001" customHeight="1">
      <c r="O8423" s="387"/>
      <c r="P8423" s="387"/>
      <c r="Q8423" s="387"/>
    </row>
    <row r="8424" spans="15:17" ht="20.100000000000001" customHeight="1">
      <c r="O8424" s="387"/>
      <c r="P8424" s="387"/>
      <c r="Q8424" s="387"/>
    </row>
    <row r="8425" spans="15:17" ht="20.100000000000001" customHeight="1">
      <c r="O8425" s="387"/>
      <c r="P8425" s="387"/>
      <c r="Q8425" s="387"/>
    </row>
    <row r="8426" spans="15:17" ht="20.100000000000001" customHeight="1">
      <c r="O8426" s="387"/>
      <c r="P8426" s="387"/>
      <c r="Q8426" s="387"/>
    </row>
    <row r="8427" spans="15:17" ht="20.100000000000001" customHeight="1">
      <c r="O8427" s="387"/>
      <c r="P8427" s="387"/>
      <c r="Q8427" s="387"/>
    </row>
    <row r="8428" spans="15:17" ht="20.100000000000001" customHeight="1">
      <c r="O8428" s="387"/>
      <c r="P8428" s="387"/>
      <c r="Q8428" s="387"/>
    </row>
    <row r="8429" spans="15:17" ht="20.100000000000001" customHeight="1">
      <c r="O8429" s="387"/>
      <c r="P8429" s="387"/>
      <c r="Q8429" s="387"/>
    </row>
    <row r="8430" spans="15:17" ht="20.100000000000001" customHeight="1">
      <c r="O8430" s="387"/>
      <c r="P8430" s="387"/>
      <c r="Q8430" s="387"/>
    </row>
    <row r="8431" spans="15:17" ht="20.100000000000001" customHeight="1">
      <c r="O8431" s="387"/>
      <c r="P8431" s="387"/>
      <c r="Q8431" s="387"/>
    </row>
    <row r="8432" spans="15:17" ht="20.100000000000001" customHeight="1">
      <c r="O8432" s="387"/>
      <c r="P8432" s="387"/>
      <c r="Q8432" s="387"/>
    </row>
    <row r="8433" spans="15:17" ht="20.100000000000001" customHeight="1">
      <c r="O8433" s="387"/>
      <c r="P8433" s="387"/>
      <c r="Q8433" s="387"/>
    </row>
    <row r="8434" spans="15:17" ht="20.100000000000001" customHeight="1">
      <c r="O8434" s="387"/>
      <c r="P8434" s="387"/>
      <c r="Q8434" s="387"/>
    </row>
    <row r="8435" spans="15:17" ht="20.100000000000001" customHeight="1">
      <c r="O8435" s="387"/>
      <c r="P8435" s="387"/>
      <c r="Q8435" s="387"/>
    </row>
    <row r="8436" spans="15:17" ht="20.100000000000001" customHeight="1">
      <c r="O8436" s="387"/>
      <c r="P8436" s="387"/>
      <c r="Q8436" s="387"/>
    </row>
    <row r="8437" spans="15:17" ht="20.100000000000001" customHeight="1">
      <c r="O8437" s="387"/>
      <c r="P8437" s="387"/>
      <c r="Q8437" s="387"/>
    </row>
    <row r="8438" spans="15:17" ht="20.100000000000001" customHeight="1">
      <c r="O8438" s="387"/>
      <c r="P8438" s="387"/>
      <c r="Q8438" s="387"/>
    </row>
    <row r="8439" spans="15:17" ht="20.100000000000001" customHeight="1">
      <c r="O8439" s="387"/>
      <c r="P8439" s="387"/>
      <c r="Q8439" s="387"/>
    </row>
    <row r="8440" spans="15:17" ht="20.100000000000001" customHeight="1">
      <c r="O8440" s="387"/>
      <c r="P8440" s="387"/>
      <c r="Q8440" s="387"/>
    </row>
    <row r="8441" spans="15:17" ht="20.100000000000001" customHeight="1">
      <c r="O8441" s="387"/>
      <c r="P8441" s="387"/>
      <c r="Q8441" s="387"/>
    </row>
    <row r="8442" spans="15:17" ht="20.100000000000001" customHeight="1">
      <c r="O8442" s="387"/>
      <c r="P8442" s="387"/>
      <c r="Q8442" s="387"/>
    </row>
    <row r="8443" spans="15:17" ht="20.100000000000001" customHeight="1">
      <c r="O8443" s="387"/>
      <c r="P8443" s="387"/>
      <c r="Q8443" s="387"/>
    </row>
    <row r="8444" spans="15:17" ht="20.100000000000001" customHeight="1">
      <c r="O8444" s="387"/>
      <c r="P8444" s="387"/>
      <c r="Q8444" s="387"/>
    </row>
    <row r="8445" spans="15:17" ht="20.100000000000001" customHeight="1">
      <c r="O8445" s="387"/>
      <c r="P8445" s="387"/>
      <c r="Q8445" s="387"/>
    </row>
    <row r="8446" spans="15:17" ht="20.100000000000001" customHeight="1">
      <c r="O8446" s="387"/>
      <c r="P8446" s="387"/>
      <c r="Q8446" s="387"/>
    </row>
    <row r="8447" spans="15:17" ht="20.100000000000001" customHeight="1">
      <c r="O8447" s="387"/>
      <c r="P8447" s="387"/>
      <c r="Q8447" s="387"/>
    </row>
    <row r="8448" spans="15:17" ht="20.100000000000001" customHeight="1">
      <c r="O8448" s="387"/>
      <c r="P8448" s="387"/>
      <c r="Q8448" s="387"/>
    </row>
    <row r="8449" spans="15:17" ht="20.100000000000001" customHeight="1">
      <c r="O8449" s="387"/>
      <c r="P8449" s="387"/>
      <c r="Q8449" s="387"/>
    </row>
    <row r="8450" spans="15:17" ht="20.100000000000001" customHeight="1">
      <c r="O8450" s="387"/>
      <c r="P8450" s="387"/>
      <c r="Q8450" s="387"/>
    </row>
    <row r="8451" spans="15:17" ht="20.100000000000001" customHeight="1">
      <c r="O8451" s="387"/>
      <c r="P8451" s="387"/>
      <c r="Q8451" s="387"/>
    </row>
    <row r="8452" spans="15:17" ht="20.100000000000001" customHeight="1">
      <c r="O8452" s="387"/>
      <c r="P8452" s="387"/>
      <c r="Q8452" s="387"/>
    </row>
    <row r="8453" spans="15:17" ht="20.100000000000001" customHeight="1">
      <c r="O8453" s="387"/>
      <c r="P8453" s="387"/>
      <c r="Q8453" s="387"/>
    </row>
    <row r="8454" spans="15:17" ht="20.100000000000001" customHeight="1">
      <c r="O8454" s="387"/>
      <c r="P8454" s="387"/>
      <c r="Q8454" s="387"/>
    </row>
    <row r="8455" spans="15:17" ht="20.100000000000001" customHeight="1">
      <c r="O8455" s="387"/>
      <c r="P8455" s="387"/>
      <c r="Q8455" s="387"/>
    </row>
    <row r="8456" spans="15:17" ht="20.100000000000001" customHeight="1">
      <c r="O8456" s="387"/>
      <c r="P8456" s="387"/>
      <c r="Q8456" s="387"/>
    </row>
    <row r="8457" spans="15:17" ht="20.100000000000001" customHeight="1">
      <c r="O8457" s="387"/>
      <c r="P8457" s="387"/>
      <c r="Q8457" s="387"/>
    </row>
    <row r="8458" spans="15:17" ht="20.100000000000001" customHeight="1">
      <c r="O8458" s="387"/>
      <c r="P8458" s="387"/>
      <c r="Q8458" s="387"/>
    </row>
    <row r="8459" spans="15:17" ht="20.100000000000001" customHeight="1">
      <c r="O8459" s="387"/>
      <c r="P8459" s="387"/>
      <c r="Q8459" s="387"/>
    </row>
    <row r="8460" spans="15:17" ht="20.100000000000001" customHeight="1">
      <c r="O8460" s="387"/>
      <c r="P8460" s="387"/>
      <c r="Q8460" s="387"/>
    </row>
    <row r="8461" spans="15:17" ht="20.100000000000001" customHeight="1">
      <c r="O8461" s="387"/>
      <c r="P8461" s="387"/>
      <c r="Q8461" s="387"/>
    </row>
    <row r="8462" spans="15:17" ht="20.100000000000001" customHeight="1">
      <c r="O8462" s="387"/>
      <c r="P8462" s="387"/>
      <c r="Q8462" s="387"/>
    </row>
    <row r="8463" spans="15:17" ht="20.100000000000001" customHeight="1">
      <c r="O8463" s="387"/>
      <c r="P8463" s="387"/>
      <c r="Q8463" s="387"/>
    </row>
    <row r="8464" spans="15:17" ht="20.100000000000001" customHeight="1">
      <c r="O8464" s="387"/>
      <c r="P8464" s="387"/>
      <c r="Q8464" s="387"/>
    </row>
    <row r="8465" spans="15:17" ht="20.100000000000001" customHeight="1">
      <c r="O8465" s="387"/>
      <c r="P8465" s="387"/>
      <c r="Q8465" s="387"/>
    </row>
    <row r="8466" spans="15:17" ht="20.100000000000001" customHeight="1">
      <c r="O8466" s="387"/>
      <c r="P8466" s="387"/>
      <c r="Q8466" s="387"/>
    </row>
    <row r="8467" spans="15:17" ht="20.100000000000001" customHeight="1">
      <c r="O8467" s="387"/>
      <c r="P8467" s="387"/>
      <c r="Q8467" s="387"/>
    </row>
    <row r="8468" spans="15:17" ht="20.100000000000001" customHeight="1">
      <c r="O8468" s="387"/>
      <c r="P8468" s="387"/>
      <c r="Q8468" s="387"/>
    </row>
    <row r="8469" spans="15:17" ht="20.100000000000001" customHeight="1">
      <c r="O8469" s="387"/>
      <c r="P8469" s="387"/>
      <c r="Q8469" s="387"/>
    </row>
    <row r="8470" spans="15:17" ht="20.100000000000001" customHeight="1">
      <c r="O8470" s="387"/>
      <c r="P8470" s="387"/>
      <c r="Q8470" s="387"/>
    </row>
    <row r="8471" spans="15:17" ht="20.100000000000001" customHeight="1">
      <c r="O8471" s="387"/>
      <c r="P8471" s="387"/>
      <c r="Q8471" s="387"/>
    </row>
    <row r="8472" spans="15:17" ht="20.100000000000001" customHeight="1">
      <c r="O8472" s="387"/>
      <c r="P8472" s="387"/>
      <c r="Q8472" s="387"/>
    </row>
    <row r="8473" spans="15:17" ht="20.100000000000001" customHeight="1">
      <c r="O8473" s="387"/>
      <c r="P8473" s="387"/>
      <c r="Q8473" s="387"/>
    </row>
    <row r="8474" spans="15:17" ht="20.100000000000001" customHeight="1">
      <c r="O8474" s="387"/>
      <c r="P8474" s="387"/>
      <c r="Q8474" s="387"/>
    </row>
    <row r="8475" spans="15:17" ht="20.100000000000001" customHeight="1">
      <c r="O8475" s="387"/>
      <c r="P8475" s="387"/>
      <c r="Q8475" s="387"/>
    </row>
    <row r="8476" spans="15:17" ht="20.100000000000001" customHeight="1">
      <c r="O8476" s="387"/>
      <c r="P8476" s="387"/>
      <c r="Q8476" s="387"/>
    </row>
    <row r="8477" spans="15:17" ht="20.100000000000001" customHeight="1">
      <c r="O8477" s="387"/>
      <c r="P8477" s="387"/>
      <c r="Q8477" s="387"/>
    </row>
    <row r="8478" spans="15:17" ht="20.100000000000001" customHeight="1">
      <c r="O8478" s="387"/>
      <c r="P8478" s="387"/>
      <c r="Q8478" s="387"/>
    </row>
    <row r="8479" spans="15:17" ht="20.100000000000001" customHeight="1">
      <c r="O8479" s="387"/>
      <c r="P8479" s="387"/>
      <c r="Q8479" s="387"/>
    </row>
    <row r="8480" spans="15:17" ht="20.100000000000001" customHeight="1">
      <c r="O8480" s="387"/>
      <c r="P8480" s="387"/>
      <c r="Q8480" s="387"/>
    </row>
    <row r="8481" spans="15:17" ht="20.100000000000001" customHeight="1">
      <c r="O8481" s="387"/>
      <c r="P8481" s="387"/>
      <c r="Q8481" s="387"/>
    </row>
    <row r="8482" spans="15:17" ht="20.100000000000001" customHeight="1">
      <c r="O8482" s="387"/>
      <c r="P8482" s="387"/>
      <c r="Q8482" s="387"/>
    </row>
    <row r="8483" spans="15:17" ht="20.100000000000001" customHeight="1">
      <c r="O8483" s="387"/>
      <c r="P8483" s="387"/>
      <c r="Q8483" s="387"/>
    </row>
    <row r="8484" spans="15:17" ht="20.100000000000001" customHeight="1">
      <c r="O8484" s="387"/>
      <c r="P8484" s="387"/>
      <c r="Q8484" s="387"/>
    </row>
    <row r="8485" spans="15:17" ht="20.100000000000001" customHeight="1">
      <c r="O8485" s="387"/>
      <c r="P8485" s="387"/>
      <c r="Q8485" s="387"/>
    </row>
    <row r="8486" spans="15:17" ht="20.100000000000001" customHeight="1">
      <c r="O8486" s="387"/>
      <c r="P8486" s="387"/>
      <c r="Q8486" s="387"/>
    </row>
    <row r="8487" spans="15:17" ht="20.100000000000001" customHeight="1">
      <c r="O8487" s="387"/>
      <c r="P8487" s="387"/>
      <c r="Q8487" s="387"/>
    </row>
    <row r="8488" spans="15:17" ht="20.100000000000001" customHeight="1">
      <c r="O8488" s="387"/>
      <c r="P8488" s="387"/>
      <c r="Q8488" s="387"/>
    </row>
    <row r="8489" spans="15:17" ht="20.100000000000001" customHeight="1">
      <c r="O8489" s="387"/>
      <c r="P8489" s="387"/>
      <c r="Q8489" s="387"/>
    </row>
    <row r="8490" spans="15:17" ht="20.100000000000001" customHeight="1">
      <c r="O8490" s="387"/>
      <c r="P8490" s="387"/>
      <c r="Q8490" s="387"/>
    </row>
    <row r="8491" spans="15:17" ht="20.100000000000001" customHeight="1">
      <c r="O8491" s="387"/>
      <c r="P8491" s="387"/>
      <c r="Q8491" s="387"/>
    </row>
    <row r="8492" spans="15:17" ht="20.100000000000001" customHeight="1">
      <c r="O8492" s="387"/>
      <c r="P8492" s="387"/>
      <c r="Q8492" s="387"/>
    </row>
    <row r="8493" spans="15:17" ht="20.100000000000001" customHeight="1">
      <c r="O8493" s="387"/>
      <c r="P8493" s="387"/>
      <c r="Q8493" s="387"/>
    </row>
    <row r="8494" spans="15:17" ht="20.100000000000001" customHeight="1">
      <c r="O8494" s="387"/>
      <c r="P8494" s="387"/>
      <c r="Q8494" s="387"/>
    </row>
    <row r="8495" spans="15:17" ht="20.100000000000001" customHeight="1">
      <c r="O8495" s="387"/>
      <c r="P8495" s="387"/>
      <c r="Q8495" s="387"/>
    </row>
    <row r="8496" spans="15:17" ht="20.100000000000001" customHeight="1">
      <c r="O8496" s="387"/>
      <c r="P8496" s="387"/>
      <c r="Q8496" s="387"/>
    </row>
    <row r="8497" spans="15:17" ht="20.100000000000001" customHeight="1">
      <c r="O8497" s="387"/>
      <c r="P8497" s="387"/>
      <c r="Q8497" s="387"/>
    </row>
    <row r="8498" spans="15:17" ht="20.100000000000001" customHeight="1">
      <c r="O8498" s="387"/>
      <c r="P8498" s="387"/>
      <c r="Q8498" s="387"/>
    </row>
    <row r="8499" spans="15:17" ht="20.100000000000001" customHeight="1">
      <c r="O8499" s="387"/>
      <c r="P8499" s="387"/>
      <c r="Q8499" s="387"/>
    </row>
    <row r="8500" spans="15:17" ht="20.100000000000001" customHeight="1">
      <c r="O8500" s="387"/>
      <c r="P8500" s="387"/>
      <c r="Q8500" s="387"/>
    </row>
    <row r="8501" spans="15:17" ht="20.100000000000001" customHeight="1">
      <c r="O8501" s="387"/>
      <c r="P8501" s="387"/>
      <c r="Q8501" s="387"/>
    </row>
    <row r="8502" spans="15:17" ht="20.100000000000001" customHeight="1">
      <c r="O8502" s="387"/>
      <c r="P8502" s="387"/>
      <c r="Q8502" s="387"/>
    </row>
    <row r="8503" spans="15:17" ht="20.100000000000001" customHeight="1">
      <c r="O8503" s="387"/>
      <c r="P8503" s="387"/>
      <c r="Q8503" s="387"/>
    </row>
    <row r="8504" spans="15:17" ht="20.100000000000001" customHeight="1">
      <c r="O8504" s="387"/>
      <c r="P8504" s="387"/>
      <c r="Q8504" s="387"/>
    </row>
    <row r="8505" spans="15:17" ht="20.100000000000001" customHeight="1">
      <c r="O8505" s="387"/>
      <c r="P8505" s="387"/>
      <c r="Q8505" s="387"/>
    </row>
    <row r="8506" spans="15:17" ht="20.100000000000001" customHeight="1">
      <c r="O8506" s="387"/>
      <c r="P8506" s="387"/>
      <c r="Q8506" s="387"/>
    </row>
    <row r="8507" spans="15:17" ht="20.100000000000001" customHeight="1">
      <c r="O8507" s="387"/>
      <c r="P8507" s="387"/>
      <c r="Q8507" s="387"/>
    </row>
    <row r="8508" spans="15:17" ht="20.100000000000001" customHeight="1">
      <c r="O8508" s="387"/>
      <c r="P8508" s="387"/>
      <c r="Q8508" s="387"/>
    </row>
    <row r="8509" spans="15:17" ht="20.100000000000001" customHeight="1">
      <c r="O8509" s="387"/>
      <c r="P8509" s="387"/>
      <c r="Q8509" s="387"/>
    </row>
    <row r="8510" spans="15:17" ht="20.100000000000001" customHeight="1">
      <c r="O8510" s="387"/>
      <c r="P8510" s="387"/>
      <c r="Q8510" s="387"/>
    </row>
    <row r="8511" spans="15:17" ht="20.100000000000001" customHeight="1">
      <c r="O8511" s="387"/>
      <c r="P8511" s="387"/>
      <c r="Q8511" s="387"/>
    </row>
    <row r="8512" spans="15:17" ht="20.100000000000001" customHeight="1">
      <c r="O8512" s="387"/>
      <c r="P8512" s="387"/>
      <c r="Q8512" s="387"/>
    </row>
    <row r="8513" spans="15:17" ht="20.100000000000001" customHeight="1">
      <c r="O8513" s="387"/>
      <c r="P8513" s="387"/>
      <c r="Q8513" s="387"/>
    </row>
    <row r="8514" spans="15:17" ht="20.100000000000001" customHeight="1">
      <c r="O8514" s="387"/>
      <c r="P8514" s="387"/>
      <c r="Q8514" s="387"/>
    </row>
    <row r="8515" spans="15:17" ht="20.100000000000001" customHeight="1">
      <c r="O8515" s="387"/>
      <c r="P8515" s="387"/>
      <c r="Q8515" s="387"/>
    </row>
    <row r="8516" spans="15:17" ht="20.100000000000001" customHeight="1">
      <c r="O8516" s="387"/>
      <c r="P8516" s="387"/>
      <c r="Q8516" s="387"/>
    </row>
    <row r="8517" spans="15:17" ht="20.100000000000001" customHeight="1">
      <c r="O8517" s="387"/>
      <c r="P8517" s="387"/>
      <c r="Q8517" s="387"/>
    </row>
    <row r="8518" spans="15:17" ht="20.100000000000001" customHeight="1">
      <c r="O8518" s="387"/>
      <c r="P8518" s="387"/>
      <c r="Q8518" s="387"/>
    </row>
    <row r="8519" spans="15:17" ht="20.100000000000001" customHeight="1">
      <c r="O8519" s="387"/>
      <c r="P8519" s="387"/>
      <c r="Q8519" s="387"/>
    </row>
    <row r="8520" spans="15:17" ht="20.100000000000001" customHeight="1">
      <c r="O8520" s="387"/>
      <c r="P8520" s="387"/>
      <c r="Q8520" s="387"/>
    </row>
    <row r="8521" spans="15:17" ht="20.100000000000001" customHeight="1">
      <c r="O8521" s="387"/>
      <c r="P8521" s="387"/>
      <c r="Q8521" s="387"/>
    </row>
    <row r="8522" spans="15:17" ht="20.100000000000001" customHeight="1">
      <c r="O8522" s="387"/>
      <c r="P8522" s="387"/>
      <c r="Q8522" s="387"/>
    </row>
    <row r="8523" spans="15:17" ht="20.100000000000001" customHeight="1">
      <c r="O8523" s="387"/>
      <c r="P8523" s="387"/>
      <c r="Q8523" s="387"/>
    </row>
    <row r="8524" spans="15:17" ht="20.100000000000001" customHeight="1">
      <c r="O8524" s="387"/>
      <c r="P8524" s="387"/>
      <c r="Q8524" s="387"/>
    </row>
    <row r="8525" spans="15:17" ht="20.100000000000001" customHeight="1">
      <c r="O8525" s="387"/>
      <c r="P8525" s="387"/>
      <c r="Q8525" s="387"/>
    </row>
    <row r="8526" spans="15:17" ht="20.100000000000001" customHeight="1">
      <c r="O8526" s="387"/>
      <c r="P8526" s="387"/>
      <c r="Q8526" s="387"/>
    </row>
    <row r="8527" spans="15:17" ht="20.100000000000001" customHeight="1">
      <c r="O8527" s="387"/>
      <c r="P8527" s="387"/>
      <c r="Q8527" s="387"/>
    </row>
    <row r="8528" spans="15:17" ht="20.100000000000001" customHeight="1">
      <c r="O8528" s="387"/>
      <c r="P8528" s="387"/>
      <c r="Q8528" s="387"/>
    </row>
    <row r="8529" spans="15:17" ht="20.100000000000001" customHeight="1">
      <c r="O8529" s="387"/>
      <c r="P8529" s="387"/>
      <c r="Q8529" s="387"/>
    </row>
    <row r="8530" spans="15:17" ht="20.100000000000001" customHeight="1">
      <c r="O8530" s="387"/>
      <c r="P8530" s="387"/>
      <c r="Q8530" s="387"/>
    </row>
    <row r="8531" spans="15:17" ht="20.100000000000001" customHeight="1">
      <c r="O8531" s="387"/>
      <c r="P8531" s="387"/>
      <c r="Q8531" s="387"/>
    </row>
    <row r="8532" spans="15:17" ht="20.100000000000001" customHeight="1">
      <c r="O8532" s="387"/>
      <c r="P8532" s="387"/>
      <c r="Q8532" s="387"/>
    </row>
    <row r="8533" spans="15:17" ht="20.100000000000001" customHeight="1">
      <c r="O8533" s="387"/>
      <c r="P8533" s="387"/>
      <c r="Q8533" s="387"/>
    </row>
    <row r="8534" spans="15:17" ht="20.100000000000001" customHeight="1">
      <c r="O8534" s="387"/>
      <c r="P8534" s="387"/>
      <c r="Q8534" s="387"/>
    </row>
    <row r="8535" spans="15:17" ht="20.100000000000001" customHeight="1">
      <c r="O8535" s="387"/>
      <c r="P8535" s="387"/>
      <c r="Q8535" s="387"/>
    </row>
    <row r="8536" spans="15:17" ht="20.100000000000001" customHeight="1">
      <c r="O8536" s="387"/>
      <c r="P8536" s="387"/>
      <c r="Q8536" s="387"/>
    </row>
    <row r="8537" spans="15:17" ht="20.100000000000001" customHeight="1">
      <c r="O8537" s="387"/>
      <c r="P8537" s="387"/>
      <c r="Q8537" s="387"/>
    </row>
    <row r="8538" spans="15:17" ht="20.100000000000001" customHeight="1">
      <c r="O8538" s="387"/>
      <c r="P8538" s="387"/>
      <c r="Q8538" s="387"/>
    </row>
    <row r="8539" spans="15:17" ht="20.100000000000001" customHeight="1">
      <c r="O8539" s="387"/>
      <c r="P8539" s="387"/>
      <c r="Q8539" s="387"/>
    </row>
    <row r="8540" spans="15:17" ht="20.100000000000001" customHeight="1">
      <c r="O8540" s="387"/>
      <c r="P8540" s="387"/>
      <c r="Q8540" s="387"/>
    </row>
    <row r="8541" spans="15:17" ht="20.100000000000001" customHeight="1">
      <c r="O8541" s="387"/>
      <c r="P8541" s="387"/>
      <c r="Q8541" s="387"/>
    </row>
    <row r="8542" spans="15:17" ht="20.100000000000001" customHeight="1">
      <c r="O8542" s="387"/>
      <c r="P8542" s="387"/>
      <c r="Q8542" s="387"/>
    </row>
    <row r="8543" spans="15:17" ht="20.100000000000001" customHeight="1">
      <c r="O8543" s="387"/>
      <c r="P8543" s="387"/>
      <c r="Q8543" s="387"/>
    </row>
    <row r="8544" spans="15:17" ht="20.100000000000001" customHeight="1">
      <c r="O8544" s="387"/>
      <c r="P8544" s="387"/>
      <c r="Q8544" s="387"/>
    </row>
    <row r="8545" spans="15:17" ht="20.100000000000001" customHeight="1">
      <c r="O8545" s="387"/>
      <c r="P8545" s="387"/>
      <c r="Q8545" s="387"/>
    </row>
    <row r="8546" spans="15:17" ht="20.100000000000001" customHeight="1">
      <c r="O8546" s="387"/>
      <c r="P8546" s="387"/>
      <c r="Q8546" s="387"/>
    </row>
    <row r="8547" spans="15:17" ht="20.100000000000001" customHeight="1">
      <c r="O8547" s="387"/>
      <c r="P8547" s="387"/>
      <c r="Q8547" s="387"/>
    </row>
    <row r="8548" spans="15:17" ht="20.100000000000001" customHeight="1">
      <c r="O8548" s="387"/>
      <c r="P8548" s="387"/>
      <c r="Q8548" s="387"/>
    </row>
    <row r="8549" spans="15:17" ht="20.100000000000001" customHeight="1">
      <c r="O8549" s="387"/>
      <c r="P8549" s="387"/>
      <c r="Q8549" s="387"/>
    </row>
    <row r="8550" spans="15:17" ht="20.100000000000001" customHeight="1">
      <c r="O8550" s="387"/>
      <c r="P8550" s="387"/>
      <c r="Q8550" s="387"/>
    </row>
    <row r="8551" spans="15:17" ht="20.100000000000001" customHeight="1">
      <c r="O8551" s="387"/>
      <c r="P8551" s="387"/>
      <c r="Q8551" s="387"/>
    </row>
    <row r="8552" spans="15:17" ht="20.100000000000001" customHeight="1">
      <c r="O8552" s="387"/>
      <c r="P8552" s="387"/>
      <c r="Q8552" s="387"/>
    </row>
    <row r="8553" spans="15:17" ht="20.100000000000001" customHeight="1">
      <c r="O8553" s="387"/>
      <c r="P8553" s="387"/>
      <c r="Q8553" s="387"/>
    </row>
    <row r="8554" spans="15:17" ht="20.100000000000001" customHeight="1">
      <c r="O8554" s="387"/>
      <c r="P8554" s="387"/>
      <c r="Q8554" s="387"/>
    </row>
    <row r="8555" spans="15:17" ht="20.100000000000001" customHeight="1">
      <c r="O8555" s="387"/>
      <c r="P8555" s="387"/>
      <c r="Q8555" s="387"/>
    </row>
    <row r="8556" spans="15:17" ht="20.100000000000001" customHeight="1">
      <c r="O8556" s="387"/>
      <c r="P8556" s="387"/>
      <c r="Q8556" s="387"/>
    </row>
    <row r="8557" spans="15:17" ht="20.100000000000001" customHeight="1">
      <c r="O8557" s="387"/>
      <c r="P8557" s="387"/>
      <c r="Q8557" s="387"/>
    </row>
    <row r="8558" spans="15:17" ht="20.100000000000001" customHeight="1">
      <c r="O8558" s="387"/>
      <c r="P8558" s="387"/>
      <c r="Q8558" s="387"/>
    </row>
    <row r="8559" spans="15:17" ht="20.100000000000001" customHeight="1">
      <c r="O8559" s="387"/>
      <c r="P8559" s="387"/>
      <c r="Q8559" s="387"/>
    </row>
    <row r="8560" spans="15:17" ht="20.100000000000001" customHeight="1">
      <c r="O8560" s="387"/>
      <c r="P8560" s="387"/>
      <c r="Q8560" s="387"/>
    </row>
    <row r="8561" spans="15:17" ht="20.100000000000001" customHeight="1">
      <c r="O8561" s="387"/>
      <c r="P8561" s="387"/>
      <c r="Q8561" s="387"/>
    </row>
    <row r="8562" spans="15:17" ht="20.100000000000001" customHeight="1">
      <c r="O8562" s="387"/>
      <c r="P8562" s="387"/>
      <c r="Q8562" s="387"/>
    </row>
    <row r="8563" spans="15:17" ht="20.100000000000001" customHeight="1">
      <c r="O8563" s="387"/>
      <c r="P8563" s="387"/>
      <c r="Q8563" s="387"/>
    </row>
    <row r="8564" spans="15:17" ht="20.100000000000001" customHeight="1">
      <c r="O8564" s="387"/>
      <c r="P8564" s="387"/>
      <c r="Q8564" s="387"/>
    </row>
    <row r="8565" spans="15:17" ht="20.100000000000001" customHeight="1">
      <c r="O8565" s="387"/>
      <c r="P8565" s="387"/>
      <c r="Q8565" s="387"/>
    </row>
    <row r="8566" spans="15:17" ht="20.100000000000001" customHeight="1">
      <c r="O8566" s="387"/>
      <c r="P8566" s="387"/>
      <c r="Q8566" s="387"/>
    </row>
    <row r="8567" spans="15:17" ht="20.100000000000001" customHeight="1">
      <c r="O8567" s="387"/>
      <c r="P8567" s="387"/>
      <c r="Q8567" s="387"/>
    </row>
    <row r="8568" spans="15:17" ht="20.100000000000001" customHeight="1">
      <c r="O8568" s="387"/>
      <c r="P8568" s="387"/>
      <c r="Q8568" s="387"/>
    </row>
    <row r="8569" spans="15:17" ht="20.100000000000001" customHeight="1">
      <c r="O8569" s="387"/>
      <c r="P8569" s="387"/>
      <c r="Q8569" s="387"/>
    </row>
    <row r="8570" spans="15:17" ht="20.100000000000001" customHeight="1">
      <c r="O8570" s="387"/>
      <c r="P8570" s="387"/>
      <c r="Q8570" s="387"/>
    </row>
    <row r="8571" spans="15:17" ht="20.100000000000001" customHeight="1">
      <c r="O8571" s="387"/>
      <c r="P8571" s="387"/>
      <c r="Q8571" s="387"/>
    </row>
    <row r="8572" spans="15:17" ht="20.100000000000001" customHeight="1">
      <c r="O8572" s="387"/>
      <c r="P8572" s="387"/>
      <c r="Q8572" s="387"/>
    </row>
    <row r="8573" spans="15:17" ht="20.100000000000001" customHeight="1">
      <c r="O8573" s="387"/>
      <c r="P8573" s="387"/>
      <c r="Q8573" s="387"/>
    </row>
    <row r="8574" spans="15:17" ht="20.100000000000001" customHeight="1">
      <c r="O8574" s="387"/>
      <c r="P8574" s="387"/>
      <c r="Q8574" s="387"/>
    </row>
    <row r="8575" spans="15:17" ht="20.100000000000001" customHeight="1">
      <c r="O8575" s="387"/>
      <c r="P8575" s="387"/>
      <c r="Q8575" s="387"/>
    </row>
    <row r="8576" spans="15:17" ht="20.100000000000001" customHeight="1">
      <c r="O8576" s="387"/>
      <c r="P8576" s="387"/>
      <c r="Q8576" s="387"/>
    </row>
    <row r="8577" spans="15:17" ht="20.100000000000001" customHeight="1">
      <c r="O8577" s="387"/>
      <c r="P8577" s="387"/>
      <c r="Q8577" s="387"/>
    </row>
    <row r="8578" spans="15:17" ht="20.100000000000001" customHeight="1">
      <c r="O8578" s="387"/>
      <c r="P8578" s="387"/>
      <c r="Q8578" s="387"/>
    </row>
    <row r="8579" spans="15:17" ht="20.100000000000001" customHeight="1">
      <c r="O8579" s="387"/>
      <c r="P8579" s="387"/>
      <c r="Q8579" s="387"/>
    </row>
    <row r="8580" spans="15:17" ht="20.100000000000001" customHeight="1">
      <c r="O8580" s="387"/>
      <c r="P8580" s="387"/>
      <c r="Q8580" s="387"/>
    </row>
    <row r="8581" spans="15:17" ht="20.100000000000001" customHeight="1">
      <c r="O8581" s="387"/>
      <c r="P8581" s="387"/>
      <c r="Q8581" s="387"/>
    </row>
    <row r="8582" spans="15:17" ht="20.100000000000001" customHeight="1">
      <c r="O8582" s="387"/>
      <c r="P8582" s="387"/>
      <c r="Q8582" s="387"/>
    </row>
    <row r="8583" spans="15:17" ht="20.100000000000001" customHeight="1">
      <c r="O8583" s="387"/>
      <c r="P8583" s="387"/>
      <c r="Q8583" s="387"/>
    </row>
    <row r="8584" spans="15:17" ht="20.100000000000001" customHeight="1">
      <c r="O8584" s="387"/>
      <c r="P8584" s="387"/>
      <c r="Q8584" s="387"/>
    </row>
    <row r="8585" spans="15:17" ht="20.100000000000001" customHeight="1">
      <c r="O8585" s="387"/>
      <c r="P8585" s="387"/>
      <c r="Q8585" s="387"/>
    </row>
    <row r="8586" spans="15:17" ht="20.100000000000001" customHeight="1">
      <c r="O8586" s="387"/>
      <c r="P8586" s="387"/>
      <c r="Q8586" s="387"/>
    </row>
    <row r="8587" spans="15:17" ht="20.100000000000001" customHeight="1">
      <c r="O8587" s="387"/>
      <c r="P8587" s="387"/>
      <c r="Q8587" s="387"/>
    </row>
    <row r="8588" spans="15:17" ht="20.100000000000001" customHeight="1">
      <c r="O8588" s="387"/>
      <c r="P8588" s="387"/>
      <c r="Q8588" s="387"/>
    </row>
    <row r="8589" spans="15:17" ht="20.100000000000001" customHeight="1">
      <c r="O8589" s="387"/>
      <c r="P8589" s="387"/>
      <c r="Q8589" s="387"/>
    </row>
    <row r="8590" spans="15:17" ht="20.100000000000001" customHeight="1">
      <c r="O8590" s="387"/>
      <c r="P8590" s="387"/>
      <c r="Q8590" s="387"/>
    </row>
    <row r="8591" spans="15:17" ht="20.100000000000001" customHeight="1">
      <c r="O8591" s="387"/>
      <c r="P8591" s="387"/>
      <c r="Q8591" s="387"/>
    </row>
    <row r="8592" spans="15:17" ht="20.100000000000001" customHeight="1">
      <c r="O8592" s="387"/>
      <c r="P8592" s="387"/>
      <c r="Q8592" s="387"/>
    </row>
    <row r="8593" spans="15:17" ht="20.100000000000001" customHeight="1">
      <c r="O8593" s="387"/>
      <c r="P8593" s="387"/>
      <c r="Q8593" s="387"/>
    </row>
    <row r="8594" spans="15:17" ht="20.100000000000001" customHeight="1">
      <c r="O8594" s="387"/>
      <c r="P8594" s="387"/>
      <c r="Q8594" s="387"/>
    </row>
    <row r="8595" spans="15:17" ht="20.100000000000001" customHeight="1">
      <c r="O8595" s="387"/>
      <c r="P8595" s="387"/>
      <c r="Q8595" s="387"/>
    </row>
    <row r="8596" spans="15:17" ht="20.100000000000001" customHeight="1">
      <c r="O8596" s="387"/>
      <c r="P8596" s="387"/>
      <c r="Q8596" s="387"/>
    </row>
    <row r="8597" spans="15:17" ht="20.100000000000001" customHeight="1">
      <c r="O8597" s="387"/>
      <c r="P8597" s="387"/>
      <c r="Q8597" s="387"/>
    </row>
    <row r="8598" spans="15:17" ht="20.100000000000001" customHeight="1">
      <c r="O8598" s="387"/>
      <c r="P8598" s="387"/>
      <c r="Q8598" s="387"/>
    </row>
    <row r="8599" spans="15:17" ht="20.100000000000001" customHeight="1">
      <c r="O8599" s="387"/>
      <c r="P8599" s="387"/>
      <c r="Q8599" s="387"/>
    </row>
    <row r="8600" spans="15:17" ht="20.100000000000001" customHeight="1">
      <c r="O8600" s="387"/>
      <c r="P8600" s="387"/>
      <c r="Q8600" s="387"/>
    </row>
    <row r="8601" spans="15:17" ht="20.100000000000001" customHeight="1">
      <c r="O8601" s="387"/>
      <c r="P8601" s="387"/>
      <c r="Q8601" s="387"/>
    </row>
    <row r="8602" spans="15:17" ht="20.100000000000001" customHeight="1">
      <c r="O8602" s="387"/>
      <c r="P8602" s="387"/>
      <c r="Q8602" s="387"/>
    </row>
    <row r="8603" spans="15:17" ht="20.100000000000001" customHeight="1">
      <c r="O8603" s="387"/>
      <c r="P8603" s="387"/>
      <c r="Q8603" s="387"/>
    </row>
    <row r="8604" spans="15:17" ht="20.100000000000001" customHeight="1">
      <c r="O8604" s="387"/>
      <c r="P8604" s="387"/>
      <c r="Q8604" s="387"/>
    </row>
    <row r="8605" spans="15:17" ht="20.100000000000001" customHeight="1">
      <c r="O8605" s="387"/>
      <c r="P8605" s="387"/>
      <c r="Q8605" s="387"/>
    </row>
    <row r="8606" spans="15:17" ht="20.100000000000001" customHeight="1">
      <c r="O8606" s="387"/>
      <c r="P8606" s="387"/>
      <c r="Q8606" s="387"/>
    </row>
    <row r="8607" spans="15:17" ht="20.100000000000001" customHeight="1">
      <c r="O8607" s="387"/>
      <c r="P8607" s="387"/>
      <c r="Q8607" s="387"/>
    </row>
    <row r="8608" spans="15:17" ht="20.100000000000001" customHeight="1">
      <c r="O8608" s="387"/>
      <c r="P8608" s="387"/>
      <c r="Q8608" s="387"/>
    </row>
    <row r="8609" spans="15:17" ht="20.100000000000001" customHeight="1">
      <c r="O8609" s="387"/>
      <c r="P8609" s="387"/>
      <c r="Q8609" s="387"/>
    </row>
    <row r="8610" spans="15:17" ht="20.100000000000001" customHeight="1">
      <c r="O8610" s="387"/>
      <c r="P8610" s="387"/>
      <c r="Q8610" s="387"/>
    </row>
    <row r="8611" spans="15:17" ht="20.100000000000001" customHeight="1">
      <c r="O8611" s="387"/>
      <c r="P8611" s="387"/>
      <c r="Q8611" s="387"/>
    </row>
    <row r="8612" spans="15:17" ht="20.100000000000001" customHeight="1">
      <c r="O8612" s="387"/>
      <c r="P8612" s="387"/>
      <c r="Q8612" s="387"/>
    </row>
    <row r="8613" spans="15:17" ht="20.100000000000001" customHeight="1">
      <c r="O8613" s="387"/>
      <c r="P8613" s="387"/>
      <c r="Q8613" s="387"/>
    </row>
    <row r="8614" spans="15:17" ht="20.100000000000001" customHeight="1">
      <c r="O8614" s="387"/>
      <c r="P8614" s="387"/>
      <c r="Q8614" s="387"/>
    </row>
    <row r="8615" spans="15:17" ht="20.100000000000001" customHeight="1">
      <c r="O8615" s="387"/>
      <c r="P8615" s="387"/>
      <c r="Q8615" s="387"/>
    </row>
    <row r="8616" spans="15:17" ht="20.100000000000001" customHeight="1">
      <c r="O8616" s="387"/>
      <c r="P8616" s="387"/>
      <c r="Q8616" s="387"/>
    </row>
    <row r="8617" spans="15:17" ht="20.100000000000001" customHeight="1">
      <c r="O8617" s="387"/>
      <c r="P8617" s="387"/>
      <c r="Q8617" s="387"/>
    </row>
    <row r="8618" spans="15:17" ht="20.100000000000001" customHeight="1">
      <c r="O8618" s="387"/>
      <c r="P8618" s="387"/>
      <c r="Q8618" s="387"/>
    </row>
    <row r="8619" spans="15:17" ht="20.100000000000001" customHeight="1">
      <c r="O8619" s="387"/>
      <c r="P8619" s="387"/>
      <c r="Q8619" s="387"/>
    </row>
    <row r="8620" spans="15:17" ht="20.100000000000001" customHeight="1">
      <c r="O8620" s="387"/>
      <c r="P8620" s="387"/>
      <c r="Q8620" s="387"/>
    </row>
    <row r="8621" spans="15:17" ht="20.100000000000001" customHeight="1">
      <c r="O8621" s="387"/>
      <c r="P8621" s="387"/>
      <c r="Q8621" s="387"/>
    </row>
    <row r="8622" spans="15:17" ht="20.100000000000001" customHeight="1">
      <c r="O8622" s="387"/>
      <c r="P8622" s="387"/>
      <c r="Q8622" s="387"/>
    </row>
    <row r="8623" spans="15:17" ht="20.100000000000001" customHeight="1">
      <c r="O8623" s="387"/>
      <c r="P8623" s="387"/>
      <c r="Q8623" s="387"/>
    </row>
    <row r="8624" spans="15:17" ht="20.100000000000001" customHeight="1">
      <c r="O8624" s="387"/>
      <c r="P8624" s="387"/>
      <c r="Q8624" s="387"/>
    </row>
    <row r="8625" spans="15:17" ht="20.100000000000001" customHeight="1">
      <c r="O8625" s="387"/>
      <c r="P8625" s="387"/>
      <c r="Q8625" s="387"/>
    </row>
    <row r="8626" spans="15:17" ht="20.100000000000001" customHeight="1">
      <c r="O8626" s="387"/>
      <c r="P8626" s="387"/>
      <c r="Q8626" s="387"/>
    </row>
    <row r="8627" spans="15:17" ht="20.100000000000001" customHeight="1">
      <c r="O8627" s="387"/>
      <c r="P8627" s="387"/>
      <c r="Q8627" s="387"/>
    </row>
    <row r="8628" spans="15:17" ht="20.100000000000001" customHeight="1">
      <c r="O8628" s="387"/>
      <c r="P8628" s="387"/>
      <c r="Q8628" s="387"/>
    </row>
    <row r="8629" spans="15:17" ht="20.100000000000001" customHeight="1">
      <c r="O8629" s="387"/>
      <c r="P8629" s="387"/>
      <c r="Q8629" s="387"/>
    </row>
    <row r="8630" spans="15:17" ht="20.100000000000001" customHeight="1">
      <c r="O8630" s="387"/>
      <c r="P8630" s="387"/>
      <c r="Q8630" s="387"/>
    </row>
    <row r="8631" spans="15:17" ht="20.100000000000001" customHeight="1">
      <c r="O8631" s="387"/>
      <c r="P8631" s="387"/>
      <c r="Q8631" s="387"/>
    </row>
    <row r="8632" spans="15:17" ht="20.100000000000001" customHeight="1">
      <c r="O8632" s="387"/>
      <c r="P8632" s="387"/>
      <c r="Q8632" s="387"/>
    </row>
    <row r="8633" spans="15:17" ht="20.100000000000001" customHeight="1">
      <c r="O8633" s="387"/>
      <c r="P8633" s="387"/>
      <c r="Q8633" s="387"/>
    </row>
    <row r="8634" spans="15:17" ht="20.100000000000001" customHeight="1">
      <c r="O8634" s="387"/>
      <c r="P8634" s="387"/>
      <c r="Q8634" s="387"/>
    </row>
    <row r="8635" spans="15:17" ht="20.100000000000001" customHeight="1">
      <c r="O8635" s="387"/>
      <c r="P8635" s="387"/>
      <c r="Q8635" s="387"/>
    </row>
    <row r="8636" spans="15:17" ht="20.100000000000001" customHeight="1">
      <c r="O8636" s="387"/>
      <c r="P8636" s="387"/>
      <c r="Q8636" s="387"/>
    </row>
    <row r="8637" spans="15:17" ht="20.100000000000001" customHeight="1">
      <c r="O8637" s="387"/>
      <c r="P8637" s="387"/>
      <c r="Q8637" s="387"/>
    </row>
    <row r="8638" spans="15:17" ht="20.100000000000001" customHeight="1">
      <c r="O8638" s="387"/>
      <c r="P8638" s="387"/>
      <c r="Q8638" s="387"/>
    </row>
    <row r="8639" spans="15:17" ht="20.100000000000001" customHeight="1">
      <c r="O8639" s="387"/>
      <c r="P8639" s="387"/>
      <c r="Q8639" s="387"/>
    </row>
    <row r="8640" spans="15:17" ht="20.100000000000001" customHeight="1">
      <c r="O8640" s="387"/>
      <c r="P8640" s="387"/>
      <c r="Q8640" s="387"/>
    </row>
    <row r="8641" spans="15:17" ht="20.100000000000001" customHeight="1">
      <c r="O8641" s="387"/>
      <c r="P8641" s="387"/>
      <c r="Q8641" s="387"/>
    </row>
    <row r="8642" spans="15:17" ht="20.100000000000001" customHeight="1">
      <c r="O8642" s="387"/>
      <c r="P8642" s="387"/>
      <c r="Q8642" s="387"/>
    </row>
    <row r="8643" spans="15:17" ht="20.100000000000001" customHeight="1">
      <c r="O8643" s="387"/>
      <c r="P8643" s="387"/>
      <c r="Q8643" s="387"/>
    </row>
    <row r="8644" spans="15:17" ht="20.100000000000001" customHeight="1">
      <c r="O8644" s="387"/>
      <c r="P8644" s="387"/>
      <c r="Q8644" s="387"/>
    </row>
    <row r="8645" spans="15:17" ht="20.100000000000001" customHeight="1">
      <c r="O8645" s="387"/>
      <c r="P8645" s="387"/>
      <c r="Q8645" s="387"/>
    </row>
    <row r="8646" spans="15:17" ht="20.100000000000001" customHeight="1">
      <c r="O8646" s="387"/>
      <c r="P8646" s="387"/>
      <c r="Q8646" s="387"/>
    </row>
    <row r="8647" spans="15:17" ht="20.100000000000001" customHeight="1">
      <c r="O8647" s="387"/>
      <c r="P8647" s="387"/>
      <c r="Q8647" s="387"/>
    </row>
    <row r="8648" spans="15:17" ht="20.100000000000001" customHeight="1">
      <c r="O8648" s="387"/>
      <c r="P8648" s="387"/>
      <c r="Q8648" s="387"/>
    </row>
    <row r="8649" spans="15:17" ht="20.100000000000001" customHeight="1">
      <c r="O8649" s="387"/>
      <c r="P8649" s="387"/>
      <c r="Q8649" s="387"/>
    </row>
    <row r="8650" spans="15:17" ht="20.100000000000001" customHeight="1">
      <c r="O8650" s="387"/>
      <c r="P8650" s="387"/>
      <c r="Q8650" s="387"/>
    </row>
    <row r="8651" spans="15:17" ht="20.100000000000001" customHeight="1">
      <c r="O8651" s="387"/>
      <c r="P8651" s="387"/>
      <c r="Q8651" s="387"/>
    </row>
    <row r="8652" spans="15:17" ht="20.100000000000001" customHeight="1">
      <c r="O8652" s="387"/>
      <c r="P8652" s="387"/>
      <c r="Q8652" s="387"/>
    </row>
    <row r="8653" spans="15:17" ht="20.100000000000001" customHeight="1">
      <c r="O8653" s="387"/>
      <c r="P8653" s="387"/>
      <c r="Q8653" s="387"/>
    </row>
    <row r="8654" spans="15:17" ht="20.100000000000001" customHeight="1">
      <c r="O8654" s="387"/>
      <c r="P8654" s="387"/>
      <c r="Q8654" s="387"/>
    </row>
    <row r="8655" spans="15:17" ht="20.100000000000001" customHeight="1">
      <c r="O8655" s="387"/>
      <c r="P8655" s="387"/>
      <c r="Q8655" s="387"/>
    </row>
    <row r="8656" spans="15:17" ht="20.100000000000001" customHeight="1">
      <c r="O8656" s="387"/>
      <c r="P8656" s="387"/>
      <c r="Q8656" s="387"/>
    </row>
    <row r="8657" spans="15:17" ht="20.100000000000001" customHeight="1">
      <c r="O8657" s="387"/>
      <c r="P8657" s="387"/>
      <c r="Q8657" s="387"/>
    </row>
    <row r="8658" spans="15:17" ht="20.100000000000001" customHeight="1">
      <c r="O8658" s="387"/>
      <c r="P8658" s="387"/>
      <c r="Q8658" s="387"/>
    </row>
    <row r="8659" spans="15:17" ht="20.100000000000001" customHeight="1">
      <c r="O8659" s="387"/>
      <c r="P8659" s="387"/>
      <c r="Q8659" s="387"/>
    </row>
    <row r="8660" spans="15:17" ht="20.100000000000001" customHeight="1">
      <c r="O8660" s="387"/>
      <c r="P8660" s="387"/>
      <c r="Q8660" s="387"/>
    </row>
    <row r="8661" spans="15:17" ht="20.100000000000001" customHeight="1">
      <c r="O8661" s="387"/>
      <c r="P8661" s="387"/>
      <c r="Q8661" s="387"/>
    </row>
    <row r="8662" spans="15:17" ht="20.100000000000001" customHeight="1">
      <c r="O8662" s="387"/>
      <c r="P8662" s="387"/>
      <c r="Q8662" s="387"/>
    </row>
    <row r="8663" spans="15:17" ht="20.100000000000001" customHeight="1">
      <c r="O8663" s="387"/>
      <c r="P8663" s="387"/>
      <c r="Q8663" s="387"/>
    </row>
    <row r="8664" spans="15:17" ht="20.100000000000001" customHeight="1">
      <c r="O8664" s="387"/>
      <c r="P8664" s="387"/>
      <c r="Q8664" s="387"/>
    </row>
    <row r="8665" spans="15:17" ht="20.100000000000001" customHeight="1">
      <c r="O8665" s="387"/>
      <c r="P8665" s="387"/>
      <c r="Q8665" s="387"/>
    </row>
    <row r="8666" spans="15:17" ht="20.100000000000001" customHeight="1">
      <c r="O8666" s="387"/>
      <c r="P8666" s="387"/>
      <c r="Q8666" s="387"/>
    </row>
    <row r="8667" spans="15:17" ht="20.100000000000001" customHeight="1">
      <c r="O8667" s="387"/>
      <c r="P8667" s="387"/>
      <c r="Q8667" s="387"/>
    </row>
    <row r="8668" spans="15:17" ht="20.100000000000001" customHeight="1">
      <c r="O8668" s="387"/>
      <c r="P8668" s="387"/>
      <c r="Q8668" s="387"/>
    </row>
    <row r="8669" spans="15:17" ht="20.100000000000001" customHeight="1">
      <c r="O8669" s="387"/>
      <c r="P8669" s="387"/>
      <c r="Q8669" s="387"/>
    </row>
    <row r="8670" spans="15:17" ht="20.100000000000001" customHeight="1">
      <c r="O8670" s="387"/>
      <c r="P8670" s="387"/>
      <c r="Q8670" s="387"/>
    </row>
    <row r="8671" spans="15:17" ht="20.100000000000001" customHeight="1">
      <c r="O8671" s="387"/>
      <c r="P8671" s="387"/>
      <c r="Q8671" s="387"/>
    </row>
    <row r="8672" spans="15:17" ht="20.100000000000001" customHeight="1">
      <c r="O8672" s="387"/>
      <c r="P8672" s="387"/>
      <c r="Q8672" s="387"/>
    </row>
    <row r="8673" spans="15:17" ht="20.100000000000001" customHeight="1">
      <c r="O8673" s="387"/>
      <c r="P8673" s="387"/>
      <c r="Q8673" s="387"/>
    </row>
    <row r="8674" spans="15:17" ht="20.100000000000001" customHeight="1">
      <c r="O8674" s="387"/>
      <c r="P8674" s="387"/>
      <c r="Q8674" s="387"/>
    </row>
    <row r="8675" spans="15:17" ht="20.100000000000001" customHeight="1">
      <c r="O8675" s="387"/>
      <c r="P8675" s="387"/>
      <c r="Q8675" s="387"/>
    </row>
    <row r="8676" spans="15:17" ht="20.100000000000001" customHeight="1">
      <c r="O8676" s="387"/>
      <c r="P8676" s="387"/>
      <c r="Q8676" s="387"/>
    </row>
    <row r="8677" spans="15:17" ht="20.100000000000001" customHeight="1">
      <c r="O8677" s="387"/>
      <c r="P8677" s="387"/>
      <c r="Q8677" s="387"/>
    </row>
    <row r="8678" spans="15:17" ht="20.100000000000001" customHeight="1">
      <c r="O8678" s="387"/>
      <c r="P8678" s="387"/>
      <c r="Q8678" s="387"/>
    </row>
    <row r="8679" spans="15:17" ht="20.100000000000001" customHeight="1">
      <c r="O8679" s="387"/>
      <c r="P8679" s="387"/>
      <c r="Q8679" s="387"/>
    </row>
    <row r="8680" spans="15:17" ht="20.100000000000001" customHeight="1">
      <c r="O8680" s="387"/>
      <c r="P8680" s="387"/>
      <c r="Q8680" s="387"/>
    </row>
    <row r="8681" spans="15:17" ht="20.100000000000001" customHeight="1">
      <c r="O8681" s="387"/>
      <c r="P8681" s="387"/>
      <c r="Q8681" s="387"/>
    </row>
    <row r="8682" spans="15:17" ht="20.100000000000001" customHeight="1">
      <c r="O8682" s="387"/>
      <c r="P8682" s="387"/>
      <c r="Q8682" s="387"/>
    </row>
    <row r="8683" spans="15:17" ht="20.100000000000001" customHeight="1">
      <c r="O8683" s="387"/>
      <c r="P8683" s="387"/>
      <c r="Q8683" s="387"/>
    </row>
    <row r="8684" spans="15:17" ht="20.100000000000001" customHeight="1">
      <c r="O8684" s="387"/>
      <c r="P8684" s="387"/>
      <c r="Q8684" s="387"/>
    </row>
    <row r="8685" spans="15:17" ht="20.100000000000001" customHeight="1">
      <c r="O8685" s="387"/>
      <c r="P8685" s="387"/>
      <c r="Q8685" s="387"/>
    </row>
    <row r="8686" spans="15:17" ht="20.100000000000001" customHeight="1">
      <c r="O8686" s="387"/>
      <c r="P8686" s="387"/>
      <c r="Q8686" s="387"/>
    </row>
    <row r="8687" spans="15:17" ht="20.100000000000001" customHeight="1">
      <c r="O8687" s="387"/>
      <c r="P8687" s="387"/>
      <c r="Q8687" s="387"/>
    </row>
    <row r="8688" spans="15:17" ht="20.100000000000001" customHeight="1">
      <c r="O8688" s="387"/>
      <c r="P8688" s="387"/>
      <c r="Q8688" s="387"/>
    </row>
    <row r="8689" spans="15:17" ht="20.100000000000001" customHeight="1">
      <c r="O8689" s="387"/>
      <c r="P8689" s="387"/>
      <c r="Q8689" s="387"/>
    </row>
    <row r="8690" spans="15:17" ht="20.100000000000001" customHeight="1">
      <c r="O8690" s="387"/>
      <c r="P8690" s="387"/>
      <c r="Q8690" s="387"/>
    </row>
    <row r="8691" spans="15:17" ht="20.100000000000001" customHeight="1">
      <c r="O8691" s="387"/>
      <c r="P8691" s="387"/>
      <c r="Q8691" s="387"/>
    </row>
    <row r="8692" spans="15:17" ht="20.100000000000001" customHeight="1">
      <c r="O8692" s="387"/>
      <c r="P8692" s="387"/>
      <c r="Q8692" s="387"/>
    </row>
    <row r="8693" spans="15:17" ht="20.100000000000001" customHeight="1">
      <c r="O8693" s="387"/>
      <c r="P8693" s="387"/>
      <c r="Q8693" s="387"/>
    </row>
    <row r="8694" spans="15:17" ht="20.100000000000001" customHeight="1">
      <c r="O8694" s="387"/>
      <c r="P8694" s="387"/>
      <c r="Q8694" s="387"/>
    </row>
    <row r="8695" spans="15:17" ht="20.100000000000001" customHeight="1">
      <c r="O8695" s="387"/>
      <c r="P8695" s="387"/>
      <c r="Q8695" s="387"/>
    </row>
    <row r="8696" spans="15:17" ht="20.100000000000001" customHeight="1">
      <c r="O8696" s="387"/>
      <c r="P8696" s="387"/>
      <c r="Q8696" s="387"/>
    </row>
    <row r="8697" spans="15:17" ht="20.100000000000001" customHeight="1">
      <c r="O8697" s="387"/>
      <c r="P8697" s="387"/>
      <c r="Q8697" s="387"/>
    </row>
    <row r="8698" spans="15:17" ht="20.100000000000001" customHeight="1">
      <c r="O8698" s="387"/>
      <c r="P8698" s="387"/>
      <c r="Q8698" s="387"/>
    </row>
    <row r="8699" spans="15:17" ht="20.100000000000001" customHeight="1">
      <c r="O8699" s="387"/>
      <c r="P8699" s="387"/>
      <c r="Q8699" s="387"/>
    </row>
    <row r="8700" spans="15:17" ht="20.100000000000001" customHeight="1">
      <c r="O8700" s="387"/>
      <c r="P8700" s="387"/>
      <c r="Q8700" s="387"/>
    </row>
    <row r="8701" spans="15:17" ht="20.100000000000001" customHeight="1">
      <c r="O8701" s="387"/>
      <c r="P8701" s="387"/>
      <c r="Q8701" s="387"/>
    </row>
    <row r="8702" spans="15:17" ht="20.100000000000001" customHeight="1">
      <c r="O8702" s="387"/>
      <c r="P8702" s="387"/>
      <c r="Q8702" s="387"/>
    </row>
    <row r="8703" spans="15:17" ht="20.100000000000001" customHeight="1">
      <c r="O8703" s="387"/>
      <c r="P8703" s="387"/>
      <c r="Q8703" s="387"/>
    </row>
    <row r="8704" spans="15:17" ht="20.100000000000001" customHeight="1">
      <c r="O8704" s="387"/>
      <c r="P8704" s="387"/>
      <c r="Q8704" s="387"/>
    </row>
    <row r="8705" spans="15:17" ht="20.100000000000001" customHeight="1">
      <c r="O8705" s="387"/>
      <c r="P8705" s="387"/>
      <c r="Q8705" s="387"/>
    </row>
    <row r="8706" spans="15:17" ht="20.100000000000001" customHeight="1">
      <c r="O8706" s="387"/>
      <c r="P8706" s="387"/>
      <c r="Q8706" s="387"/>
    </row>
    <row r="8707" spans="15:17" ht="20.100000000000001" customHeight="1">
      <c r="O8707" s="387"/>
      <c r="P8707" s="387"/>
      <c r="Q8707" s="387"/>
    </row>
    <row r="8708" spans="15:17" ht="20.100000000000001" customHeight="1">
      <c r="O8708" s="387"/>
      <c r="P8708" s="387"/>
      <c r="Q8708" s="387"/>
    </row>
    <row r="8709" spans="15:17" ht="20.100000000000001" customHeight="1">
      <c r="O8709" s="387"/>
      <c r="P8709" s="387"/>
      <c r="Q8709" s="387"/>
    </row>
    <row r="8710" spans="15:17" ht="20.100000000000001" customHeight="1">
      <c r="O8710" s="387"/>
      <c r="P8710" s="387"/>
      <c r="Q8710" s="387"/>
    </row>
    <row r="8711" spans="15:17" ht="20.100000000000001" customHeight="1">
      <c r="O8711" s="387"/>
      <c r="P8711" s="387"/>
      <c r="Q8711" s="387"/>
    </row>
    <row r="8712" spans="15:17" ht="20.100000000000001" customHeight="1">
      <c r="O8712" s="387"/>
      <c r="P8712" s="387"/>
      <c r="Q8712" s="387"/>
    </row>
    <row r="8713" spans="15:17" ht="20.100000000000001" customHeight="1">
      <c r="O8713" s="387"/>
      <c r="P8713" s="387"/>
      <c r="Q8713" s="387"/>
    </row>
    <row r="8714" spans="15:17" ht="20.100000000000001" customHeight="1">
      <c r="O8714" s="387"/>
      <c r="P8714" s="387"/>
      <c r="Q8714" s="387"/>
    </row>
    <row r="8715" spans="15:17" ht="20.100000000000001" customHeight="1">
      <c r="O8715" s="387"/>
      <c r="P8715" s="387"/>
      <c r="Q8715" s="387"/>
    </row>
    <row r="8716" spans="15:17" ht="20.100000000000001" customHeight="1">
      <c r="O8716" s="387"/>
      <c r="P8716" s="387"/>
      <c r="Q8716" s="387"/>
    </row>
    <row r="8717" spans="15:17" ht="20.100000000000001" customHeight="1">
      <c r="O8717" s="387"/>
      <c r="P8717" s="387"/>
      <c r="Q8717" s="387"/>
    </row>
    <row r="8718" spans="15:17" ht="20.100000000000001" customHeight="1">
      <c r="O8718" s="387"/>
      <c r="P8718" s="387"/>
      <c r="Q8718" s="387"/>
    </row>
    <row r="8719" spans="15:17" ht="20.100000000000001" customHeight="1">
      <c r="O8719" s="387"/>
      <c r="P8719" s="387"/>
      <c r="Q8719" s="387"/>
    </row>
    <row r="8720" spans="15:17" ht="20.100000000000001" customHeight="1">
      <c r="O8720" s="387"/>
      <c r="P8720" s="387"/>
      <c r="Q8720" s="387"/>
    </row>
    <row r="8721" spans="15:17" ht="20.100000000000001" customHeight="1">
      <c r="O8721" s="387"/>
      <c r="P8721" s="387"/>
      <c r="Q8721" s="387"/>
    </row>
    <row r="8722" spans="15:17" ht="20.100000000000001" customHeight="1">
      <c r="O8722" s="387"/>
      <c r="P8722" s="387"/>
      <c r="Q8722" s="387"/>
    </row>
    <row r="8723" spans="15:17" ht="20.100000000000001" customHeight="1">
      <c r="O8723" s="387"/>
      <c r="P8723" s="387"/>
      <c r="Q8723" s="387"/>
    </row>
    <row r="8724" spans="15:17" ht="20.100000000000001" customHeight="1">
      <c r="O8724" s="387"/>
      <c r="P8724" s="387"/>
      <c r="Q8724" s="387"/>
    </row>
    <row r="8725" spans="15:17" ht="20.100000000000001" customHeight="1">
      <c r="O8725" s="387"/>
      <c r="P8725" s="387"/>
      <c r="Q8725" s="387"/>
    </row>
    <row r="8726" spans="15:17" ht="20.100000000000001" customHeight="1">
      <c r="O8726" s="387"/>
      <c r="P8726" s="387"/>
      <c r="Q8726" s="387"/>
    </row>
    <row r="8727" spans="15:17" ht="20.100000000000001" customHeight="1">
      <c r="O8727" s="387"/>
      <c r="P8727" s="387"/>
      <c r="Q8727" s="387"/>
    </row>
    <row r="8728" spans="15:17" ht="20.100000000000001" customHeight="1">
      <c r="O8728" s="387"/>
      <c r="P8728" s="387"/>
      <c r="Q8728" s="387"/>
    </row>
    <row r="8729" spans="15:17" ht="20.100000000000001" customHeight="1">
      <c r="O8729" s="387"/>
      <c r="P8729" s="387"/>
      <c r="Q8729" s="387"/>
    </row>
    <row r="8730" spans="15:17" ht="20.100000000000001" customHeight="1">
      <c r="O8730" s="387"/>
      <c r="P8730" s="387"/>
      <c r="Q8730" s="387"/>
    </row>
    <row r="8731" spans="15:17" ht="20.100000000000001" customHeight="1">
      <c r="O8731" s="387"/>
      <c r="P8731" s="387"/>
      <c r="Q8731" s="387"/>
    </row>
    <row r="8732" spans="15:17" ht="20.100000000000001" customHeight="1">
      <c r="O8732" s="387"/>
      <c r="P8732" s="387"/>
      <c r="Q8732" s="387"/>
    </row>
    <row r="8733" spans="15:17" ht="20.100000000000001" customHeight="1">
      <c r="O8733" s="387"/>
      <c r="P8733" s="387"/>
      <c r="Q8733" s="387"/>
    </row>
    <row r="8734" spans="15:17" ht="20.100000000000001" customHeight="1">
      <c r="O8734" s="387"/>
      <c r="P8734" s="387"/>
      <c r="Q8734" s="387"/>
    </row>
    <row r="8735" spans="15:17" ht="20.100000000000001" customHeight="1">
      <c r="O8735" s="387"/>
      <c r="P8735" s="387"/>
      <c r="Q8735" s="387"/>
    </row>
    <row r="8736" spans="15:17" ht="20.100000000000001" customHeight="1">
      <c r="O8736" s="387"/>
      <c r="P8736" s="387"/>
      <c r="Q8736" s="387"/>
    </row>
    <row r="8737" spans="15:17" ht="20.100000000000001" customHeight="1">
      <c r="O8737" s="387"/>
      <c r="P8737" s="387"/>
      <c r="Q8737" s="387"/>
    </row>
    <row r="8738" spans="15:17" ht="20.100000000000001" customHeight="1">
      <c r="O8738" s="387"/>
      <c r="P8738" s="387"/>
      <c r="Q8738" s="387"/>
    </row>
    <row r="8739" spans="15:17" ht="20.100000000000001" customHeight="1">
      <c r="O8739" s="387"/>
      <c r="P8739" s="387"/>
      <c r="Q8739" s="387"/>
    </row>
    <row r="8740" spans="15:17" ht="20.100000000000001" customHeight="1">
      <c r="O8740" s="387"/>
      <c r="P8740" s="387"/>
      <c r="Q8740" s="387"/>
    </row>
    <row r="8741" spans="15:17" ht="20.100000000000001" customHeight="1">
      <c r="O8741" s="387"/>
      <c r="P8741" s="387"/>
      <c r="Q8741" s="387"/>
    </row>
    <row r="8742" spans="15:17" ht="20.100000000000001" customHeight="1">
      <c r="O8742" s="387"/>
      <c r="P8742" s="387"/>
      <c r="Q8742" s="387"/>
    </row>
    <row r="8743" spans="15:17" ht="20.100000000000001" customHeight="1">
      <c r="O8743" s="387"/>
      <c r="P8743" s="387"/>
      <c r="Q8743" s="387"/>
    </row>
    <row r="8744" spans="15:17" ht="20.100000000000001" customHeight="1">
      <c r="O8744" s="387"/>
      <c r="P8744" s="387"/>
      <c r="Q8744" s="387"/>
    </row>
    <row r="8745" spans="15:17" ht="20.100000000000001" customHeight="1">
      <c r="O8745" s="387"/>
      <c r="P8745" s="387"/>
      <c r="Q8745" s="387"/>
    </row>
    <row r="8746" spans="15:17" ht="20.100000000000001" customHeight="1">
      <c r="O8746" s="387"/>
      <c r="P8746" s="387"/>
      <c r="Q8746" s="387"/>
    </row>
    <row r="8747" spans="15:17" ht="20.100000000000001" customHeight="1">
      <c r="O8747" s="387"/>
      <c r="P8747" s="387"/>
      <c r="Q8747" s="387"/>
    </row>
    <row r="8748" spans="15:17" ht="20.100000000000001" customHeight="1">
      <c r="O8748" s="387"/>
      <c r="P8748" s="387"/>
      <c r="Q8748" s="387"/>
    </row>
    <row r="8749" spans="15:17" ht="20.100000000000001" customHeight="1">
      <c r="O8749" s="387"/>
      <c r="P8749" s="387"/>
      <c r="Q8749" s="387"/>
    </row>
    <row r="8750" spans="15:17" ht="20.100000000000001" customHeight="1">
      <c r="O8750" s="387"/>
      <c r="P8750" s="387"/>
      <c r="Q8750" s="387"/>
    </row>
    <row r="8751" spans="15:17" ht="20.100000000000001" customHeight="1">
      <c r="O8751" s="387"/>
      <c r="P8751" s="387"/>
      <c r="Q8751" s="387"/>
    </row>
    <row r="8752" spans="15:17" ht="20.100000000000001" customHeight="1">
      <c r="O8752" s="387"/>
      <c r="P8752" s="387"/>
      <c r="Q8752" s="387"/>
    </row>
    <row r="8753" spans="15:17" ht="20.100000000000001" customHeight="1">
      <c r="O8753" s="387"/>
      <c r="P8753" s="387"/>
      <c r="Q8753" s="387"/>
    </row>
    <row r="8754" spans="15:17" ht="20.100000000000001" customHeight="1">
      <c r="O8754" s="387"/>
      <c r="P8754" s="387"/>
      <c r="Q8754" s="387"/>
    </row>
    <row r="8755" spans="15:17" ht="20.100000000000001" customHeight="1">
      <c r="O8755" s="387"/>
      <c r="P8755" s="387"/>
      <c r="Q8755" s="387"/>
    </row>
    <row r="8756" spans="15:17" ht="20.100000000000001" customHeight="1">
      <c r="O8756" s="387"/>
      <c r="P8756" s="387"/>
      <c r="Q8756" s="387"/>
    </row>
    <row r="8757" spans="15:17" ht="20.100000000000001" customHeight="1">
      <c r="O8757" s="387"/>
      <c r="P8757" s="387"/>
      <c r="Q8757" s="387"/>
    </row>
    <row r="8758" spans="15:17" ht="20.100000000000001" customHeight="1">
      <c r="O8758" s="387"/>
      <c r="P8758" s="387"/>
      <c r="Q8758" s="387"/>
    </row>
    <row r="8759" spans="15:17" ht="20.100000000000001" customHeight="1">
      <c r="O8759" s="387"/>
      <c r="P8759" s="387"/>
      <c r="Q8759" s="387"/>
    </row>
    <row r="8760" spans="15:17" ht="20.100000000000001" customHeight="1">
      <c r="O8760" s="387"/>
      <c r="P8760" s="387"/>
      <c r="Q8760" s="387"/>
    </row>
    <row r="8761" spans="15:17" ht="20.100000000000001" customHeight="1">
      <c r="O8761" s="387"/>
      <c r="P8761" s="387"/>
      <c r="Q8761" s="387"/>
    </row>
    <row r="8762" spans="15:17" ht="20.100000000000001" customHeight="1">
      <c r="O8762" s="387"/>
      <c r="P8762" s="387"/>
      <c r="Q8762" s="387"/>
    </row>
    <row r="8763" spans="15:17" ht="20.100000000000001" customHeight="1">
      <c r="O8763" s="387"/>
      <c r="P8763" s="387"/>
      <c r="Q8763" s="387"/>
    </row>
    <row r="8764" spans="15:17" ht="20.100000000000001" customHeight="1">
      <c r="O8764" s="387"/>
      <c r="P8764" s="387"/>
      <c r="Q8764" s="387"/>
    </row>
    <row r="8765" spans="15:17" ht="20.100000000000001" customHeight="1">
      <c r="O8765" s="387"/>
      <c r="P8765" s="387"/>
      <c r="Q8765" s="387"/>
    </row>
    <row r="8766" spans="15:17" ht="20.100000000000001" customHeight="1">
      <c r="O8766" s="387"/>
      <c r="P8766" s="387"/>
      <c r="Q8766" s="387"/>
    </row>
    <row r="8767" spans="15:17" ht="20.100000000000001" customHeight="1">
      <c r="O8767" s="387"/>
      <c r="P8767" s="387"/>
      <c r="Q8767" s="387"/>
    </row>
    <row r="8768" spans="15:17" ht="20.100000000000001" customHeight="1">
      <c r="O8768" s="387"/>
      <c r="P8768" s="387"/>
      <c r="Q8768" s="387"/>
    </row>
    <row r="8769" spans="15:17" ht="20.100000000000001" customHeight="1">
      <c r="O8769" s="387"/>
      <c r="P8769" s="387"/>
      <c r="Q8769" s="387"/>
    </row>
    <row r="8770" spans="15:17" ht="20.100000000000001" customHeight="1">
      <c r="O8770" s="387"/>
      <c r="P8770" s="387"/>
      <c r="Q8770" s="387"/>
    </row>
    <row r="8771" spans="15:17" ht="20.100000000000001" customHeight="1">
      <c r="O8771" s="387"/>
      <c r="P8771" s="387"/>
      <c r="Q8771" s="387"/>
    </row>
    <row r="8772" spans="15:17" ht="20.100000000000001" customHeight="1">
      <c r="O8772" s="387"/>
      <c r="P8772" s="387"/>
      <c r="Q8772" s="387"/>
    </row>
    <row r="8773" spans="15:17" ht="20.100000000000001" customHeight="1">
      <c r="O8773" s="387"/>
      <c r="P8773" s="387"/>
      <c r="Q8773" s="387"/>
    </row>
    <row r="8774" spans="15:17" ht="20.100000000000001" customHeight="1">
      <c r="O8774" s="387"/>
      <c r="P8774" s="387"/>
      <c r="Q8774" s="387"/>
    </row>
    <row r="8775" spans="15:17" ht="20.100000000000001" customHeight="1">
      <c r="O8775" s="387"/>
      <c r="P8775" s="387"/>
      <c r="Q8775" s="387"/>
    </row>
    <row r="8776" spans="15:17" ht="20.100000000000001" customHeight="1">
      <c r="O8776" s="387"/>
      <c r="P8776" s="387"/>
      <c r="Q8776" s="387"/>
    </row>
    <row r="8777" spans="15:17" ht="20.100000000000001" customHeight="1">
      <c r="O8777" s="387"/>
      <c r="P8777" s="387"/>
      <c r="Q8777" s="387"/>
    </row>
    <row r="8778" spans="15:17" ht="20.100000000000001" customHeight="1">
      <c r="O8778" s="387"/>
      <c r="P8778" s="387"/>
      <c r="Q8778" s="387"/>
    </row>
    <row r="8779" spans="15:17" ht="20.100000000000001" customHeight="1">
      <c r="O8779" s="387"/>
      <c r="P8779" s="387"/>
      <c r="Q8779" s="387"/>
    </row>
    <row r="8780" spans="15:17" ht="20.100000000000001" customHeight="1">
      <c r="O8780" s="387"/>
      <c r="P8780" s="387"/>
      <c r="Q8780" s="387"/>
    </row>
    <row r="8781" spans="15:17" ht="20.100000000000001" customHeight="1">
      <c r="O8781" s="387"/>
      <c r="P8781" s="387"/>
      <c r="Q8781" s="387"/>
    </row>
    <row r="8782" spans="15:17" ht="20.100000000000001" customHeight="1">
      <c r="O8782" s="387"/>
      <c r="P8782" s="387"/>
      <c r="Q8782" s="387"/>
    </row>
    <row r="8783" spans="15:17" ht="20.100000000000001" customHeight="1">
      <c r="O8783" s="387"/>
      <c r="P8783" s="387"/>
      <c r="Q8783" s="387"/>
    </row>
    <row r="8784" spans="15:17" ht="20.100000000000001" customHeight="1">
      <c r="O8784" s="387"/>
      <c r="P8784" s="387"/>
      <c r="Q8784" s="387"/>
    </row>
    <row r="8785" spans="15:17" ht="20.100000000000001" customHeight="1">
      <c r="O8785" s="387"/>
      <c r="P8785" s="387"/>
      <c r="Q8785" s="387"/>
    </row>
    <row r="8786" spans="15:17" ht="20.100000000000001" customHeight="1">
      <c r="O8786" s="387"/>
      <c r="P8786" s="387"/>
      <c r="Q8786" s="387"/>
    </row>
    <row r="8787" spans="15:17" ht="20.100000000000001" customHeight="1">
      <c r="O8787" s="387"/>
      <c r="P8787" s="387"/>
      <c r="Q8787" s="387"/>
    </row>
    <row r="8788" spans="15:17" ht="20.100000000000001" customHeight="1">
      <c r="O8788" s="387"/>
      <c r="P8788" s="387"/>
      <c r="Q8788" s="387"/>
    </row>
    <row r="8789" spans="15:17" ht="20.100000000000001" customHeight="1">
      <c r="O8789" s="387"/>
      <c r="P8789" s="387"/>
      <c r="Q8789" s="387"/>
    </row>
    <row r="8790" spans="15:17" ht="20.100000000000001" customHeight="1">
      <c r="O8790" s="387"/>
      <c r="P8790" s="387"/>
      <c r="Q8790" s="387"/>
    </row>
    <row r="8791" spans="15:17" ht="20.100000000000001" customHeight="1">
      <c r="O8791" s="387"/>
      <c r="P8791" s="387"/>
      <c r="Q8791" s="387"/>
    </row>
    <row r="8792" spans="15:17" ht="20.100000000000001" customHeight="1">
      <c r="O8792" s="387"/>
      <c r="P8792" s="387"/>
      <c r="Q8792" s="387"/>
    </row>
    <row r="8793" spans="15:17" ht="20.100000000000001" customHeight="1">
      <c r="O8793" s="387"/>
      <c r="P8793" s="387"/>
      <c r="Q8793" s="387"/>
    </row>
    <row r="8794" spans="15:17" ht="20.100000000000001" customHeight="1">
      <c r="O8794" s="387"/>
      <c r="P8794" s="387"/>
      <c r="Q8794" s="387"/>
    </row>
    <row r="8795" spans="15:17" ht="20.100000000000001" customHeight="1">
      <c r="O8795" s="387"/>
      <c r="P8795" s="387"/>
      <c r="Q8795" s="387"/>
    </row>
    <row r="8796" spans="15:17" ht="20.100000000000001" customHeight="1">
      <c r="O8796" s="387"/>
      <c r="P8796" s="387"/>
      <c r="Q8796" s="387"/>
    </row>
    <row r="8797" spans="15:17" ht="20.100000000000001" customHeight="1">
      <c r="O8797" s="387"/>
      <c r="P8797" s="387"/>
      <c r="Q8797" s="387"/>
    </row>
    <row r="8798" spans="15:17" ht="20.100000000000001" customHeight="1">
      <c r="O8798" s="387"/>
      <c r="P8798" s="387"/>
      <c r="Q8798" s="387"/>
    </row>
    <row r="8799" spans="15:17" ht="20.100000000000001" customHeight="1">
      <c r="O8799" s="387"/>
      <c r="P8799" s="387"/>
      <c r="Q8799" s="387"/>
    </row>
    <row r="8800" spans="15:17" ht="20.100000000000001" customHeight="1">
      <c r="O8800" s="387"/>
      <c r="P8800" s="387"/>
      <c r="Q8800" s="387"/>
    </row>
    <row r="8801" spans="15:17" ht="20.100000000000001" customHeight="1">
      <c r="O8801" s="387"/>
      <c r="P8801" s="387"/>
      <c r="Q8801" s="387"/>
    </row>
    <row r="8802" spans="15:17" ht="20.100000000000001" customHeight="1">
      <c r="O8802" s="387"/>
      <c r="P8802" s="387"/>
      <c r="Q8802" s="387"/>
    </row>
    <row r="8803" spans="15:17" ht="20.100000000000001" customHeight="1">
      <c r="O8803" s="387"/>
      <c r="P8803" s="387"/>
      <c r="Q8803" s="387"/>
    </row>
    <row r="8804" spans="15:17" ht="20.100000000000001" customHeight="1">
      <c r="O8804" s="387"/>
      <c r="P8804" s="387"/>
      <c r="Q8804" s="387"/>
    </row>
    <row r="8805" spans="15:17" ht="20.100000000000001" customHeight="1">
      <c r="O8805" s="387"/>
      <c r="P8805" s="387"/>
      <c r="Q8805" s="387"/>
    </row>
    <row r="8806" spans="15:17" ht="20.100000000000001" customHeight="1">
      <c r="O8806" s="387"/>
      <c r="P8806" s="387"/>
      <c r="Q8806" s="387"/>
    </row>
    <row r="8807" spans="15:17" ht="20.100000000000001" customHeight="1">
      <c r="O8807" s="387"/>
      <c r="P8807" s="387"/>
      <c r="Q8807" s="387"/>
    </row>
    <row r="8808" spans="15:17" ht="20.100000000000001" customHeight="1">
      <c r="O8808" s="387"/>
      <c r="P8808" s="387"/>
      <c r="Q8808" s="387"/>
    </row>
    <row r="8809" spans="15:17" ht="20.100000000000001" customHeight="1">
      <c r="O8809" s="387"/>
      <c r="P8809" s="387"/>
      <c r="Q8809" s="387"/>
    </row>
    <row r="8810" spans="15:17" ht="20.100000000000001" customHeight="1">
      <c r="O8810" s="387"/>
      <c r="P8810" s="387"/>
      <c r="Q8810" s="387"/>
    </row>
    <row r="8811" spans="15:17" ht="20.100000000000001" customHeight="1">
      <c r="O8811" s="387"/>
      <c r="P8811" s="387"/>
      <c r="Q8811" s="387"/>
    </row>
    <row r="8812" spans="15:17" ht="20.100000000000001" customHeight="1">
      <c r="O8812" s="387"/>
      <c r="P8812" s="387"/>
      <c r="Q8812" s="387"/>
    </row>
    <row r="8813" spans="15:17" ht="20.100000000000001" customHeight="1">
      <c r="O8813" s="387"/>
      <c r="P8813" s="387"/>
      <c r="Q8813" s="387"/>
    </row>
    <row r="8814" spans="15:17" ht="20.100000000000001" customHeight="1">
      <c r="O8814" s="387"/>
      <c r="P8814" s="387"/>
      <c r="Q8814" s="387"/>
    </row>
    <row r="8815" spans="15:17" ht="20.100000000000001" customHeight="1">
      <c r="O8815" s="387"/>
      <c r="P8815" s="387"/>
      <c r="Q8815" s="387"/>
    </row>
    <row r="8816" spans="15:17" ht="20.100000000000001" customHeight="1">
      <c r="O8816" s="387"/>
      <c r="P8816" s="387"/>
      <c r="Q8816" s="387"/>
    </row>
    <row r="8817" spans="15:17" ht="20.100000000000001" customHeight="1">
      <c r="O8817" s="387"/>
      <c r="P8817" s="387"/>
      <c r="Q8817" s="387"/>
    </row>
    <row r="8818" spans="15:17" ht="20.100000000000001" customHeight="1">
      <c r="O8818" s="387"/>
      <c r="P8818" s="387"/>
      <c r="Q8818" s="387"/>
    </row>
    <row r="8819" spans="15:17" ht="20.100000000000001" customHeight="1">
      <c r="O8819" s="387"/>
      <c r="P8819" s="387"/>
      <c r="Q8819" s="387"/>
    </row>
    <row r="8820" spans="15:17" ht="20.100000000000001" customHeight="1">
      <c r="O8820" s="387"/>
      <c r="P8820" s="387"/>
      <c r="Q8820" s="387"/>
    </row>
    <row r="8821" spans="15:17" ht="20.100000000000001" customHeight="1">
      <c r="O8821" s="387"/>
      <c r="P8821" s="387"/>
      <c r="Q8821" s="387"/>
    </row>
    <row r="8822" spans="15:17" ht="20.100000000000001" customHeight="1">
      <c r="O8822" s="387"/>
      <c r="P8822" s="387"/>
      <c r="Q8822" s="387"/>
    </row>
    <row r="8823" spans="15:17" ht="20.100000000000001" customHeight="1">
      <c r="O8823" s="387"/>
      <c r="P8823" s="387"/>
      <c r="Q8823" s="387"/>
    </row>
    <row r="8824" spans="15:17" ht="20.100000000000001" customHeight="1">
      <c r="O8824" s="387"/>
      <c r="P8824" s="387"/>
      <c r="Q8824" s="387"/>
    </row>
    <row r="8825" spans="15:17" ht="20.100000000000001" customHeight="1">
      <c r="O8825" s="387"/>
      <c r="P8825" s="387"/>
      <c r="Q8825" s="387"/>
    </row>
    <row r="8826" spans="15:17" ht="20.100000000000001" customHeight="1">
      <c r="O8826" s="387"/>
      <c r="P8826" s="387"/>
      <c r="Q8826" s="387"/>
    </row>
    <row r="8827" spans="15:17" ht="20.100000000000001" customHeight="1">
      <c r="O8827" s="387"/>
      <c r="P8827" s="387"/>
      <c r="Q8827" s="387"/>
    </row>
    <row r="8828" spans="15:17" ht="20.100000000000001" customHeight="1">
      <c r="O8828" s="387"/>
      <c r="P8828" s="387"/>
      <c r="Q8828" s="387"/>
    </row>
    <row r="8829" spans="15:17" ht="20.100000000000001" customHeight="1">
      <c r="O8829" s="387"/>
      <c r="P8829" s="387"/>
      <c r="Q8829" s="387"/>
    </row>
    <row r="8830" spans="15:17" ht="20.100000000000001" customHeight="1">
      <c r="O8830" s="387"/>
      <c r="P8830" s="387"/>
      <c r="Q8830" s="387"/>
    </row>
    <row r="8831" spans="15:17" ht="20.100000000000001" customHeight="1">
      <c r="O8831" s="387"/>
      <c r="P8831" s="387"/>
      <c r="Q8831" s="387"/>
    </row>
    <row r="8832" spans="15:17" ht="20.100000000000001" customHeight="1">
      <c r="O8832" s="387"/>
      <c r="P8832" s="387"/>
      <c r="Q8832" s="387"/>
    </row>
    <row r="8833" spans="15:17" ht="20.100000000000001" customHeight="1">
      <c r="O8833" s="387"/>
      <c r="P8833" s="387"/>
      <c r="Q8833" s="387"/>
    </row>
    <row r="8834" spans="15:17" ht="20.100000000000001" customHeight="1">
      <c r="O8834" s="387"/>
      <c r="P8834" s="387"/>
      <c r="Q8834" s="387"/>
    </row>
    <row r="8835" spans="15:17" ht="20.100000000000001" customHeight="1">
      <c r="O8835" s="387"/>
      <c r="P8835" s="387"/>
      <c r="Q8835" s="387"/>
    </row>
    <row r="8836" spans="15:17" ht="20.100000000000001" customHeight="1">
      <c r="O8836" s="387"/>
      <c r="P8836" s="387"/>
      <c r="Q8836" s="387"/>
    </row>
    <row r="8837" spans="15:17" ht="20.100000000000001" customHeight="1">
      <c r="O8837" s="387"/>
      <c r="P8837" s="387"/>
      <c r="Q8837" s="387"/>
    </row>
    <row r="8838" spans="15:17" ht="20.100000000000001" customHeight="1">
      <c r="O8838" s="387"/>
      <c r="P8838" s="387"/>
      <c r="Q8838" s="387"/>
    </row>
    <row r="8839" spans="15:17" ht="20.100000000000001" customHeight="1">
      <c r="O8839" s="387"/>
      <c r="P8839" s="387"/>
      <c r="Q8839" s="387"/>
    </row>
    <row r="8840" spans="15:17" ht="20.100000000000001" customHeight="1">
      <c r="O8840" s="387"/>
      <c r="P8840" s="387"/>
      <c r="Q8840" s="387"/>
    </row>
    <row r="8841" spans="15:17" ht="20.100000000000001" customHeight="1">
      <c r="O8841" s="387"/>
      <c r="P8841" s="387"/>
      <c r="Q8841" s="387"/>
    </row>
    <row r="8842" spans="15:17" ht="20.100000000000001" customHeight="1">
      <c r="O8842" s="387"/>
      <c r="P8842" s="387"/>
      <c r="Q8842" s="387"/>
    </row>
    <row r="8843" spans="15:17" ht="20.100000000000001" customHeight="1">
      <c r="O8843" s="387"/>
      <c r="P8843" s="387"/>
      <c r="Q8843" s="387"/>
    </row>
    <row r="8844" spans="15:17" ht="20.100000000000001" customHeight="1">
      <c r="O8844" s="387"/>
      <c r="P8844" s="387"/>
      <c r="Q8844" s="387"/>
    </row>
    <row r="8845" spans="15:17" ht="20.100000000000001" customHeight="1">
      <c r="O8845" s="387"/>
      <c r="P8845" s="387"/>
      <c r="Q8845" s="387"/>
    </row>
    <row r="8846" spans="15:17" ht="20.100000000000001" customHeight="1">
      <c r="O8846" s="387"/>
      <c r="P8846" s="387"/>
      <c r="Q8846" s="387"/>
    </row>
    <row r="8847" spans="15:17" ht="20.100000000000001" customHeight="1">
      <c r="O8847" s="387"/>
      <c r="P8847" s="387"/>
      <c r="Q8847" s="387"/>
    </row>
    <row r="8848" spans="15:17" ht="20.100000000000001" customHeight="1">
      <c r="O8848" s="387"/>
      <c r="P8848" s="387"/>
      <c r="Q8848" s="387"/>
    </row>
    <row r="8849" spans="15:17" ht="20.100000000000001" customHeight="1">
      <c r="O8849" s="387"/>
      <c r="P8849" s="387"/>
      <c r="Q8849" s="387"/>
    </row>
    <row r="8850" spans="15:17" ht="20.100000000000001" customHeight="1">
      <c r="O8850" s="387"/>
      <c r="P8850" s="387"/>
      <c r="Q8850" s="387"/>
    </row>
    <row r="8851" spans="15:17" ht="20.100000000000001" customHeight="1">
      <c r="O8851" s="387"/>
      <c r="P8851" s="387"/>
      <c r="Q8851" s="387"/>
    </row>
    <row r="8852" spans="15:17" ht="20.100000000000001" customHeight="1">
      <c r="O8852" s="387"/>
      <c r="P8852" s="387"/>
      <c r="Q8852" s="387"/>
    </row>
    <row r="8853" spans="15:17" ht="20.100000000000001" customHeight="1">
      <c r="O8853" s="387"/>
      <c r="P8853" s="387"/>
      <c r="Q8853" s="387"/>
    </row>
    <row r="8854" spans="15:17" ht="20.100000000000001" customHeight="1">
      <c r="O8854" s="387"/>
      <c r="P8854" s="387"/>
      <c r="Q8854" s="387"/>
    </row>
    <row r="8855" spans="15:17" ht="20.100000000000001" customHeight="1">
      <c r="O8855" s="387"/>
      <c r="P8855" s="387"/>
      <c r="Q8855" s="387"/>
    </row>
    <row r="8856" spans="15:17" ht="20.100000000000001" customHeight="1">
      <c r="O8856" s="387"/>
      <c r="P8856" s="387"/>
      <c r="Q8856" s="387"/>
    </row>
    <row r="8857" spans="15:17" ht="20.100000000000001" customHeight="1">
      <c r="O8857" s="387"/>
      <c r="P8857" s="387"/>
      <c r="Q8857" s="387"/>
    </row>
    <row r="8858" spans="15:17" ht="20.100000000000001" customHeight="1">
      <c r="O8858" s="387"/>
      <c r="P8858" s="387"/>
      <c r="Q8858" s="387"/>
    </row>
    <row r="8859" spans="15:17" ht="20.100000000000001" customHeight="1">
      <c r="O8859" s="387"/>
      <c r="P8859" s="387"/>
      <c r="Q8859" s="387"/>
    </row>
    <row r="8860" spans="15:17" ht="20.100000000000001" customHeight="1">
      <c r="O8860" s="387"/>
      <c r="P8860" s="387"/>
      <c r="Q8860" s="387"/>
    </row>
    <row r="8861" spans="15:17" ht="20.100000000000001" customHeight="1">
      <c r="O8861" s="387"/>
      <c r="P8861" s="387"/>
      <c r="Q8861" s="387"/>
    </row>
    <row r="8862" spans="15:17" ht="20.100000000000001" customHeight="1">
      <c r="O8862" s="387"/>
      <c r="P8862" s="387"/>
      <c r="Q8862" s="387"/>
    </row>
    <row r="8863" spans="15:17" ht="20.100000000000001" customHeight="1">
      <c r="O8863" s="387"/>
      <c r="P8863" s="387"/>
      <c r="Q8863" s="387"/>
    </row>
    <row r="8864" spans="15:17" ht="20.100000000000001" customHeight="1">
      <c r="O8864" s="387"/>
      <c r="P8864" s="387"/>
      <c r="Q8864" s="387"/>
    </row>
    <row r="8865" spans="15:17" ht="20.100000000000001" customHeight="1">
      <c r="O8865" s="387"/>
      <c r="P8865" s="387"/>
      <c r="Q8865" s="387"/>
    </row>
    <row r="8866" spans="15:17" ht="20.100000000000001" customHeight="1">
      <c r="O8866" s="387"/>
      <c r="P8866" s="387"/>
      <c r="Q8866" s="387"/>
    </row>
    <row r="8867" spans="15:17" ht="20.100000000000001" customHeight="1">
      <c r="O8867" s="387"/>
      <c r="P8867" s="387"/>
      <c r="Q8867" s="387"/>
    </row>
    <row r="8868" spans="15:17" ht="20.100000000000001" customHeight="1">
      <c r="O8868" s="387"/>
      <c r="P8868" s="387"/>
      <c r="Q8868" s="387"/>
    </row>
    <row r="8869" spans="15:17" ht="20.100000000000001" customHeight="1">
      <c r="O8869" s="387"/>
      <c r="P8869" s="387"/>
      <c r="Q8869" s="387"/>
    </row>
    <row r="8870" spans="15:17" ht="20.100000000000001" customHeight="1">
      <c r="O8870" s="387"/>
      <c r="P8870" s="387"/>
      <c r="Q8870" s="387"/>
    </row>
    <row r="8871" spans="15:17" ht="20.100000000000001" customHeight="1">
      <c r="O8871" s="387"/>
      <c r="P8871" s="387"/>
      <c r="Q8871" s="387"/>
    </row>
    <row r="8872" spans="15:17" ht="20.100000000000001" customHeight="1">
      <c r="O8872" s="387"/>
      <c r="P8872" s="387"/>
      <c r="Q8872" s="387"/>
    </row>
    <row r="8873" spans="15:17" ht="20.100000000000001" customHeight="1">
      <c r="O8873" s="387"/>
      <c r="P8873" s="387"/>
      <c r="Q8873" s="387"/>
    </row>
    <row r="8874" spans="15:17" ht="20.100000000000001" customHeight="1">
      <c r="O8874" s="387"/>
      <c r="P8874" s="387"/>
      <c r="Q8874" s="387"/>
    </row>
    <row r="8875" spans="15:17" ht="20.100000000000001" customHeight="1">
      <c r="O8875" s="387"/>
      <c r="P8875" s="387"/>
      <c r="Q8875" s="387"/>
    </row>
    <row r="8876" spans="15:17" ht="20.100000000000001" customHeight="1">
      <c r="O8876" s="387"/>
      <c r="P8876" s="387"/>
      <c r="Q8876" s="387"/>
    </row>
    <row r="8877" spans="15:17" ht="20.100000000000001" customHeight="1">
      <c r="O8877" s="387"/>
      <c r="P8877" s="387"/>
      <c r="Q8877" s="387"/>
    </row>
    <row r="8878" spans="15:17" ht="20.100000000000001" customHeight="1">
      <c r="O8878" s="387"/>
      <c r="P8878" s="387"/>
      <c r="Q8878" s="387"/>
    </row>
    <row r="8879" spans="15:17" ht="20.100000000000001" customHeight="1">
      <c r="O8879" s="387"/>
      <c r="P8879" s="387"/>
      <c r="Q8879" s="387"/>
    </row>
    <row r="8880" spans="15:17" ht="20.100000000000001" customHeight="1">
      <c r="O8880" s="387"/>
      <c r="P8880" s="387"/>
      <c r="Q8880" s="387"/>
    </row>
    <row r="8881" spans="15:17" ht="20.100000000000001" customHeight="1">
      <c r="O8881" s="387"/>
      <c r="P8881" s="387"/>
      <c r="Q8881" s="387"/>
    </row>
    <row r="8882" spans="15:17" ht="20.100000000000001" customHeight="1">
      <c r="O8882" s="387"/>
      <c r="P8882" s="387"/>
      <c r="Q8882" s="387"/>
    </row>
    <row r="8883" spans="15:17" ht="20.100000000000001" customHeight="1">
      <c r="O8883" s="387"/>
      <c r="P8883" s="387"/>
      <c r="Q8883" s="387"/>
    </row>
    <row r="8884" spans="15:17" ht="20.100000000000001" customHeight="1">
      <c r="O8884" s="387"/>
      <c r="P8884" s="387"/>
      <c r="Q8884" s="387"/>
    </row>
    <row r="8885" spans="15:17" ht="20.100000000000001" customHeight="1">
      <c r="O8885" s="387"/>
      <c r="P8885" s="387"/>
      <c r="Q8885" s="387"/>
    </row>
    <row r="8886" spans="15:17" ht="20.100000000000001" customHeight="1">
      <c r="O8886" s="387"/>
      <c r="P8886" s="387"/>
      <c r="Q8886" s="387"/>
    </row>
    <row r="8887" spans="15:17" ht="20.100000000000001" customHeight="1">
      <c r="O8887" s="387"/>
      <c r="P8887" s="387"/>
      <c r="Q8887" s="387"/>
    </row>
    <row r="8888" spans="15:17" ht="20.100000000000001" customHeight="1">
      <c r="O8888" s="387"/>
      <c r="P8888" s="387"/>
      <c r="Q8888" s="387"/>
    </row>
    <row r="8889" spans="15:17" ht="20.100000000000001" customHeight="1">
      <c r="O8889" s="387"/>
      <c r="P8889" s="387"/>
      <c r="Q8889" s="387"/>
    </row>
    <row r="8890" spans="15:17" ht="20.100000000000001" customHeight="1">
      <c r="O8890" s="387"/>
      <c r="P8890" s="387"/>
      <c r="Q8890" s="387"/>
    </row>
    <row r="8891" spans="15:17" ht="20.100000000000001" customHeight="1">
      <c r="O8891" s="387"/>
      <c r="P8891" s="387"/>
      <c r="Q8891" s="387"/>
    </row>
    <row r="8892" spans="15:17" ht="20.100000000000001" customHeight="1">
      <c r="O8892" s="387"/>
      <c r="P8892" s="387"/>
      <c r="Q8892" s="387"/>
    </row>
    <row r="8893" spans="15:17" ht="20.100000000000001" customHeight="1">
      <c r="O8893" s="387"/>
      <c r="P8893" s="387"/>
      <c r="Q8893" s="387"/>
    </row>
    <row r="8894" spans="15:17" ht="20.100000000000001" customHeight="1">
      <c r="O8894" s="387"/>
      <c r="P8894" s="387"/>
      <c r="Q8894" s="387"/>
    </row>
    <row r="8895" spans="15:17" ht="20.100000000000001" customHeight="1">
      <c r="O8895" s="387"/>
      <c r="P8895" s="387"/>
      <c r="Q8895" s="387"/>
    </row>
    <row r="8896" spans="15:17" ht="20.100000000000001" customHeight="1">
      <c r="O8896" s="387"/>
      <c r="P8896" s="387"/>
      <c r="Q8896" s="387"/>
    </row>
    <row r="8897" spans="15:17" ht="20.100000000000001" customHeight="1">
      <c r="O8897" s="387"/>
      <c r="P8897" s="387"/>
      <c r="Q8897" s="387"/>
    </row>
    <row r="8898" spans="15:17" ht="20.100000000000001" customHeight="1">
      <c r="O8898" s="387"/>
      <c r="P8898" s="387"/>
      <c r="Q8898" s="387"/>
    </row>
    <row r="8899" spans="15:17" ht="20.100000000000001" customHeight="1">
      <c r="O8899" s="387"/>
      <c r="P8899" s="387"/>
      <c r="Q8899" s="387"/>
    </row>
    <row r="8900" spans="15:17" ht="20.100000000000001" customHeight="1">
      <c r="O8900" s="387"/>
      <c r="P8900" s="387"/>
      <c r="Q8900" s="387"/>
    </row>
    <row r="8901" spans="15:17" ht="20.100000000000001" customHeight="1">
      <c r="O8901" s="387"/>
      <c r="P8901" s="387"/>
      <c r="Q8901" s="387"/>
    </row>
    <row r="8902" spans="15:17" ht="20.100000000000001" customHeight="1">
      <c r="O8902" s="387"/>
      <c r="P8902" s="387"/>
      <c r="Q8902" s="387"/>
    </row>
    <row r="8903" spans="15:17" ht="20.100000000000001" customHeight="1">
      <c r="O8903" s="387"/>
      <c r="P8903" s="387"/>
      <c r="Q8903" s="387"/>
    </row>
    <row r="8904" spans="15:17" ht="20.100000000000001" customHeight="1">
      <c r="O8904" s="387"/>
      <c r="P8904" s="387"/>
      <c r="Q8904" s="387"/>
    </row>
    <row r="8905" spans="15:17" ht="20.100000000000001" customHeight="1">
      <c r="O8905" s="387"/>
      <c r="P8905" s="387"/>
      <c r="Q8905" s="387"/>
    </row>
    <row r="8906" spans="15:17" ht="20.100000000000001" customHeight="1">
      <c r="O8906" s="387"/>
      <c r="P8906" s="387"/>
      <c r="Q8906" s="387"/>
    </row>
    <row r="8907" spans="15:17" ht="20.100000000000001" customHeight="1">
      <c r="O8907" s="387"/>
      <c r="P8907" s="387"/>
      <c r="Q8907" s="387"/>
    </row>
    <row r="8908" spans="15:17" ht="20.100000000000001" customHeight="1">
      <c r="O8908" s="387"/>
      <c r="P8908" s="387"/>
      <c r="Q8908" s="387"/>
    </row>
    <row r="8909" spans="15:17" ht="20.100000000000001" customHeight="1">
      <c r="O8909" s="387"/>
      <c r="P8909" s="387"/>
      <c r="Q8909" s="387"/>
    </row>
    <row r="8910" spans="15:17" ht="20.100000000000001" customHeight="1">
      <c r="O8910" s="387"/>
      <c r="P8910" s="387"/>
      <c r="Q8910" s="387"/>
    </row>
    <row r="8911" spans="15:17" ht="20.100000000000001" customHeight="1">
      <c r="O8911" s="387"/>
      <c r="P8911" s="387"/>
      <c r="Q8911" s="387"/>
    </row>
    <row r="8912" spans="15:17" ht="20.100000000000001" customHeight="1">
      <c r="O8912" s="387"/>
      <c r="P8912" s="387"/>
      <c r="Q8912" s="387"/>
    </row>
    <row r="8913" spans="15:17" ht="20.100000000000001" customHeight="1">
      <c r="O8913" s="387"/>
      <c r="P8913" s="387"/>
      <c r="Q8913" s="387"/>
    </row>
    <row r="8914" spans="15:17" ht="20.100000000000001" customHeight="1">
      <c r="O8914" s="387"/>
      <c r="P8914" s="387"/>
      <c r="Q8914" s="387"/>
    </row>
    <row r="8915" spans="15:17" ht="20.100000000000001" customHeight="1">
      <c r="O8915" s="387"/>
      <c r="P8915" s="387"/>
      <c r="Q8915" s="387"/>
    </row>
    <row r="8916" spans="15:17" ht="20.100000000000001" customHeight="1">
      <c r="O8916" s="387"/>
      <c r="P8916" s="387"/>
      <c r="Q8916" s="387"/>
    </row>
    <row r="8917" spans="15:17" ht="20.100000000000001" customHeight="1">
      <c r="O8917" s="387"/>
      <c r="P8917" s="387"/>
      <c r="Q8917" s="387"/>
    </row>
    <row r="8918" spans="15:17" ht="20.100000000000001" customHeight="1">
      <c r="O8918" s="387"/>
      <c r="P8918" s="387"/>
      <c r="Q8918" s="387"/>
    </row>
    <row r="8919" spans="15:17" ht="20.100000000000001" customHeight="1">
      <c r="O8919" s="387"/>
      <c r="P8919" s="387"/>
      <c r="Q8919" s="387"/>
    </row>
    <row r="8920" spans="15:17" ht="20.100000000000001" customHeight="1">
      <c r="O8920" s="387"/>
      <c r="P8920" s="387"/>
      <c r="Q8920" s="387"/>
    </row>
    <row r="8921" spans="15:17" ht="20.100000000000001" customHeight="1">
      <c r="O8921" s="387"/>
      <c r="P8921" s="387"/>
      <c r="Q8921" s="387"/>
    </row>
    <row r="8922" spans="15:17" ht="20.100000000000001" customHeight="1">
      <c r="O8922" s="387"/>
      <c r="P8922" s="387"/>
      <c r="Q8922" s="387"/>
    </row>
    <row r="8923" spans="15:17" ht="20.100000000000001" customHeight="1">
      <c r="O8923" s="387"/>
      <c r="P8923" s="387"/>
      <c r="Q8923" s="387"/>
    </row>
    <row r="8924" spans="15:17" ht="20.100000000000001" customHeight="1">
      <c r="O8924" s="387"/>
      <c r="P8924" s="387"/>
      <c r="Q8924" s="387"/>
    </row>
    <row r="8925" spans="15:17" ht="20.100000000000001" customHeight="1">
      <c r="O8925" s="387"/>
      <c r="P8925" s="387"/>
      <c r="Q8925" s="387"/>
    </row>
    <row r="8926" spans="15:17" ht="20.100000000000001" customHeight="1">
      <c r="O8926" s="387"/>
      <c r="P8926" s="387"/>
      <c r="Q8926" s="387"/>
    </row>
    <row r="8927" spans="15:17" ht="20.100000000000001" customHeight="1">
      <c r="O8927" s="387"/>
      <c r="P8927" s="387"/>
      <c r="Q8927" s="387"/>
    </row>
    <row r="8928" spans="15:17" ht="20.100000000000001" customHeight="1">
      <c r="O8928" s="387"/>
      <c r="P8928" s="387"/>
      <c r="Q8928" s="387"/>
    </row>
    <row r="8929" spans="15:17" ht="20.100000000000001" customHeight="1">
      <c r="O8929" s="387"/>
      <c r="P8929" s="387"/>
      <c r="Q8929" s="387"/>
    </row>
    <row r="8930" spans="15:17" ht="20.100000000000001" customHeight="1">
      <c r="O8930" s="387"/>
      <c r="P8930" s="387"/>
      <c r="Q8930" s="387"/>
    </row>
    <row r="8931" spans="15:17" ht="20.100000000000001" customHeight="1">
      <c r="O8931" s="387"/>
      <c r="P8931" s="387"/>
      <c r="Q8931" s="387"/>
    </row>
    <row r="8932" spans="15:17" ht="20.100000000000001" customHeight="1">
      <c r="O8932" s="387"/>
      <c r="P8932" s="387"/>
      <c r="Q8932" s="387"/>
    </row>
    <row r="8933" spans="15:17" ht="20.100000000000001" customHeight="1">
      <c r="O8933" s="387"/>
      <c r="P8933" s="387"/>
      <c r="Q8933" s="387"/>
    </row>
    <row r="8934" spans="15:17" ht="20.100000000000001" customHeight="1">
      <c r="O8934" s="387"/>
      <c r="P8934" s="387"/>
      <c r="Q8934" s="387"/>
    </row>
    <row r="8935" spans="15:17" ht="20.100000000000001" customHeight="1">
      <c r="O8935" s="387"/>
      <c r="P8935" s="387"/>
      <c r="Q8935" s="387"/>
    </row>
    <row r="8936" spans="15:17" ht="20.100000000000001" customHeight="1">
      <c r="O8936" s="387"/>
      <c r="P8936" s="387"/>
      <c r="Q8936" s="387"/>
    </row>
    <row r="8937" spans="15:17" ht="20.100000000000001" customHeight="1">
      <c r="O8937" s="387"/>
      <c r="P8937" s="387"/>
      <c r="Q8937" s="387"/>
    </row>
    <row r="8938" spans="15:17" ht="20.100000000000001" customHeight="1">
      <c r="O8938" s="387"/>
      <c r="P8938" s="387"/>
      <c r="Q8938" s="387"/>
    </row>
    <row r="8939" spans="15:17" ht="20.100000000000001" customHeight="1">
      <c r="O8939" s="387"/>
      <c r="P8939" s="387"/>
      <c r="Q8939" s="387"/>
    </row>
    <row r="8940" spans="15:17" ht="20.100000000000001" customHeight="1">
      <c r="O8940" s="387"/>
      <c r="P8940" s="387"/>
      <c r="Q8940" s="387"/>
    </row>
    <row r="8941" spans="15:17" ht="20.100000000000001" customHeight="1">
      <c r="O8941" s="387"/>
      <c r="P8941" s="387"/>
      <c r="Q8941" s="387"/>
    </row>
    <row r="8942" spans="15:17" ht="20.100000000000001" customHeight="1">
      <c r="O8942" s="387"/>
      <c r="P8942" s="387"/>
      <c r="Q8942" s="387"/>
    </row>
    <row r="8943" spans="15:17" ht="20.100000000000001" customHeight="1">
      <c r="O8943" s="387"/>
      <c r="P8943" s="387"/>
      <c r="Q8943" s="387"/>
    </row>
    <row r="8944" spans="15:17" ht="20.100000000000001" customHeight="1">
      <c r="O8944" s="387"/>
      <c r="P8944" s="387"/>
      <c r="Q8944" s="387"/>
    </row>
    <row r="8945" spans="15:17" ht="20.100000000000001" customHeight="1">
      <c r="O8945" s="387"/>
      <c r="P8945" s="387"/>
      <c r="Q8945" s="387"/>
    </row>
    <row r="8946" spans="15:17" ht="20.100000000000001" customHeight="1">
      <c r="O8946" s="387"/>
      <c r="P8946" s="387"/>
      <c r="Q8946" s="387"/>
    </row>
    <row r="8947" spans="15:17" ht="20.100000000000001" customHeight="1">
      <c r="O8947" s="387"/>
      <c r="P8947" s="387"/>
      <c r="Q8947" s="387"/>
    </row>
    <row r="8948" spans="15:17" ht="20.100000000000001" customHeight="1">
      <c r="O8948" s="387"/>
      <c r="P8948" s="387"/>
      <c r="Q8948" s="387"/>
    </row>
    <row r="8949" spans="15:17" ht="20.100000000000001" customHeight="1">
      <c r="O8949" s="387"/>
      <c r="P8949" s="387"/>
      <c r="Q8949" s="387"/>
    </row>
    <row r="8950" spans="15:17" ht="20.100000000000001" customHeight="1">
      <c r="O8950" s="387"/>
      <c r="P8950" s="387"/>
      <c r="Q8950" s="387"/>
    </row>
    <row r="8951" spans="15:17" ht="20.100000000000001" customHeight="1">
      <c r="O8951" s="387"/>
      <c r="P8951" s="387"/>
      <c r="Q8951" s="387"/>
    </row>
    <row r="8952" spans="15:17" ht="20.100000000000001" customHeight="1">
      <c r="O8952" s="387"/>
      <c r="P8952" s="387"/>
      <c r="Q8952" s="387"/>
    </row>
    <row r="8953" spans="15:17" ht="20.100000000000001" customHeight="1">
      <c r="O8953" s="387"/>
      <c r="P8953" s="387"/>
      <c r="Q8953" s="387"/>
    </row>
    <row r="8954" spans="15:17" ht="20.100000000000001" customHeight="1">
      <c r="O8954" s="387"/>
      <c r="P8954" s="387"/>
      <c r="Q8954" s="387"/>
    </row>
    <row r="8955" spans="15:17" ht="20.100000000000001" customHeight="1">
      <c r="O8955" s="387"/>
      <c r="P8955" s="387"/>
      <c r="Q8955" s="387"/>
    </row>
    <row r="8956" spans="15:17" ht="20.100000000000001" customHeight="1">
      <c r="O8956" s="387"/>
      <c r="P8956" s="387"/>
      <c r="Q8956" s="387"/>
    </row>
    <row r="8957" spans="15:17" ht="20.100000000000001" customHeight="1">
      <c r="O8957" s="387"/>
      <c r="P8957" s="387"/>
      <c r="Q8957" s="387"/>
    </row>
    <row r="8958" spans="15:17" ht="20.100000000000001" customHeight="1">
      <c r="O8958" s="387"/>
      <c r="P8958" s="387"/>
      <c r="Q8958" s="387"/>
    </row>
    <row r="8959" spans="15:17" ht="20.100000000000001" customHeight="1">
      <c r="O8959" s="387"/>
      <c r="P8959" s="387"/>
      <c r="Q8959" s="387"/>
    </row>
    <row r="8960" spans="15:17" ht="20.100000000000001" customHeight="1">
      <c r="O8960" s="387"/>
      <c r="P8960" s="387"/>
      <c r="Q8960" s="387"/>
    </row>
    <row r="8961" spans="15:17" ht="20.100000000000001" customHeight="1">
      <c r="O8961" s="387"/>
      <c r="P8961" s="387"/>
      <c r="Q8961" s="387"/>
    </row>
    <row r="8962" spans="15:17" ht="20.100000000000001" customHeight="1">
      <c r="O8962" s="387"/>
      <c r="P8962" s="387"/>
      <c r="Q8962" s="387"/>
    </row>
    <row r="8963" spans="15:17" ht="20.100000000000001" customHeight="1">
      <c r="O8963" s="387"/>
      <c r="P8963" s="387"/>
      <c r="Q8963" s="387"/>
    </row>
    <row r="8964" spans="15:17" ht="20.100000000000001" customHeight="1">
      <c r="O8964" s="387"/>
      <c r="P8964" s="387"/>
      <c r="Q8964" s="387"/>
    </row>
    <row r="8965" spans="15:17" ht="20.100000000000001" customHeight="1">
      <c r="O8965" s="387"/>
      <c r="P8965" s="387"/>
      <c r="Q8965" s="387"/>
    </row>
    <row r="8966" spans="15:17" ht="20.100000000000001" customHeight="1">
      <c r="O8966" s="387"/>
      <c r="P8966" s="387"/>
      <c r="Q8966" s="387"/>
    </row>
    <row r="8967" spans="15:17" ht="20.100000000000001" customHeight="1">
      <c r="O8967" s="387"/>
      <c r="P8967" s="387"/>
      <c r="Q8967" s="387"/>
    </row>
    <row r="8968" spans="15:17" ht="20.100000000000001" customHeight="1">
      <c r="O8968" s="387"/>
      <c r="P8968" s="387"/>
      <c r="Q8968" s="387"/>
    </row>
    <row r="8969" spans="15:17" ht="20.100000000000001" customHeight="1">
      <c r="O8969" s="387"/>
      <c r="P8969" s="387"/>
      <c r="Q8969" s="387"/>
    </row>
    <row r="8970" spans="15:17" ht="20.100000000000001" customHeight="1">
      <c r="O8970" s="387"/>
      <c r="P8970" s="387"/>
      <c r="Q8970" s="387"/>
    </row>
    <row r="8971" spans="15:17" ht="20.100000000000001" customHeight="1">
      <c r="O8971" s="387"/>
      <c r="P8971" s="387"/>
      <c r="Q8971" s="387"/>
    </row>
    <row r="8972" spans="15:17" ht="20.100000000000001" customHeight="1">
      <c r="O8972" s="387"/>
      <c r="P8972" s="387"/>
      <c r="Q8972" s="387"/>
    </row>
    <row r="8973" spans="15:17" ht="20.100000000000001" customHeight="1">
      <c r="O8973" s="387"/>
      <c r="P8973" s="387"/>
      <c r="Q8973" s="387"/>
    </row>
    <row r="8974" spans="15:17" ht="20.100000000000001" customHeight="1">
      <c r="O8974" s="387"/>
      <c r="P8974" s="387"/>
      <c r="Q8974" s="387"/>
    </row>
    <row r="8975" spans="15:17" ht="20.100000000000001" customHeight="1">
      <c r="O8975" s="387"/>
      <c r="P8975" s="387"/>
      <c r="Q8975" s="387"/>
    </row>
    <row r="8976" spans="15:17" ht="20.100000000000001" customHeight="1">
      <c r="O8976" s="387"/>
      <c r="P8976" s="387"/>
      <c r="Q8976" s="387"/>
    </row>
    <row r="8977" spans="15:17" ht="20.100000000000001" customHeight="1">
      <c r="O8977" s="387"/>
      <c r="P8977" s="387"/>
      <c r="Q8977" s="387"/>
    </row>
    <row r="8978" spans="15:17" ht="20.100000000000001" customHeight="1">
      <c r="O8978" s="387"/>
      <c r="P8978" s="387"/>
      <c r="Q8978" s="387"/>
    </row>
    <row r="8979" spans="15:17" ht="20.100000000000001" customHeight="1">
      <c r="O8979" s="387"/>
      <c r="P8979" s="387"/>
      <c r="Q8979" s="387"/>
    </row>
    <row r="8980" spans="15:17" ht="20.100000000000001" customHeight="1">
      <c r="O8980" s="387"/>
      <c r="P8980" s="387"/>
      <c r="Q8980" s="387"/>
    </row>
    <row r="8981" spans="15:17" ht="20.100000000000001" customHeight="1">
      <c r="O8981" s="387"/>
      <c r="P8981" s="387"/>
      <c r="Q8981" s="387"/>
    </row>
    <row r="8982" spans="15:17" ht="20.100000000000001" customHeight="1">
      <c r="O8982" s="387"/>
      <c r="P8982" s="387"/>
      <c r="Q8982" s="387"/>
    </row>
    <row r="8983" spans="15:17" ht="20.100000000000001" customHeight="1">
      <c r="O8983" s="387"/>
      <c r="P8983" s="387"/>
      <c r="Q8983" s="387"/>
    </row>
    <row r="8984" spans="15:17" ht="20.100000000000001" customHeight="1">
      <c r="O8984" s="387"/>
      <c r="P8984" s="387"/>
      <c r="Q8984" s="387"/>
    </row>
    <row r="8985" spans="15:17" ht="20.100000000000001" customHeight="1">
      <c r="O8985" s="387"/>
      <c r="P8985" s="387"/>
      <c r="Q8985" s="387"/>
    </row>
    <row r="8986" spans="15:17" ht="20.100000000000001" customHeight="1">
      <c r="O8986" s="387"/>
      <c r="P8986" s="387"/>
      <c r="Q8986" s="387"/>
    </row>
    <row r="8987" spans="15:17" ht="20.100000000000001" customHeight="1">
      <c r="O8987" s="387"/>
      <c r="P8987" s="387"/>
      <c r="Q8987" s="387"/>
    </row>
    <row r="8988" spans="15:17" ht="20.100000000000001" customHeight="1">
      <c r="O8988" s="387"/>
      <c r="P8988" s="387"/>
      <c r="Q8988" s="387"/>
    </row>
    <row r="8989" spans="15:17" ht="20.100000000000001" customHeight="1">
      <c r="O8989" s="387"/>
      <c r="P8989" s="387"/>
      <c r="Q8989" s="387"/>
    </row>
    <row r="8990" spans="15:17" ht="20.100000000000001" customHeight="1">
      <c r="O8990" s="387"/>
      <c r="P8990" s="387"/>
      <c r="Q8990" s="387"/>
    </row>
    <row r="8991" spans="15:17" ht="20.100000000000001" customHeight="1">
      <c r="O8991" s="387"/>
      <c r="P8991" s="387"/>
      <c r="Q8991" s="387"/>
    </row>
    <row r="8992" spans="15:17" ht="20.100000000000001" customHeight="1">
      <c r="O8992" s="387"/>
      <c r="P8992" s="387"/>
      <c r="Q8992" s="387"/>
    </row>
    <row r="8993" spans="15:17" ht="20.100000000000001" customHeight="1">
      <c r="O8993" s="387"/>
      <c r="P8993" s="387"/>
      <c r="Q8993" s="387"/>
    </row>
    <row r="8994" spans="15:17" ht="20.100000000000001" customHeight="1">
      <c r="O8994" s="387"/>
      <c r="P8994" s="387"/>
      <c r="Q8994" s="387"/>
    </row>
    <row r="8995" spans="15:17" ht="20.100000000000001" customHeight="1">
      <c r="O8995" s="387"/>
      <c r="P8995" s="387"/>
      <c r="Q8995" s="387"/>
    </row>
    <row r="8996" spans="15:17" ht="20.100000000000001" customHeight="1">
      <c r="O8996" s="387"/>
      <c r="P8996" s="387"/>
      <c r="Q8996" s="387"/>
    </row>
    <row r="8997" spans="15:17" ht="20.100000000000001" customHeight="1">
      <c r="O8997" s="387"/>
      <c r="P8997" s="387"/>
      <c r="Q8997" s="387"/>
    </row>
    <row r="8998" spans="15:17" ht="20.100000000000001" customHeight="1">
      <c r="O8998" s="387"/>
      <c r="P8998" s="387"/>
      <c r="Q8998" s="387"/>
    </row>
    <row r="8999" spans="15:17" ht="20.100000000000001" customHeight="1">
      <c r="O8999" s="387"/>
      <c r="P8999" s="387"/>
      <c r="Q8999" s="387"/>
    </row>
    <row r="9000" spans="15:17" ht="20.100000000000001" customHeight="1">
      <c r="O9000" s="387"/>
      <c r="P9000" s="387"/>
      <c r="Q9000" s="387"/>
    </row>
    <row r="9001" spans="15:17" ht="20.100000000000001" customHeight="1">
      <c r="O9001" s="387"/>
      <c r="P9001" s="387"/>
      <c r="Q9001" s="387"/>
    </row>
    <row r="9002" spans="15:17" ht="20.100000000000001" customHeight="1">
      <c r="O9002" s="387"/>
      <c r="P9002" s="387"/>
      <c r="Q9002" s="387"/>
    </row>
    <row r="9003" spans="15:17" ht="20.100000000000001" customHeight="1">
      <c r="O9003" s="387"/>
      <c r="P9003" s="387"/>
      <c r="Q9003" s="387"/>
    </row>
    <row r="9004" spans="15:17" ht="20.100000000000001" customHeight="1">
      <c r="O9004" s="387"/>
      <c r="P9004" s="387"/>
      <c r="Q9004" s="387"/>
    </row>
    <row r="9005" spans="15:17" ht="20.100000000000001" customHeight="1">
      <c r="O9005" s="387"/>
      <c r="P9005" s="387"/>
      <c r="Q9005" s="387"/>
    </row>
    <row r="9006" spans="15:17" ht="20.100000000000001" customHeight="1">
      <c r="O9006" s="387"/>
      <c r="P9006" s="387"/>
      <c r="Q9006" s="387"/>
    </row>
    <row r="9007" spans="15:17" ht="20.100000000000001" customHeight="1">
      <c r="O9007" s="387"/>
      <c r="P9007" s="387"/>
      <c r="Q9007" s="387"/>
    </row>
    <row r="9008" spans="15:17" ht="20.100000000000001" customHeight="1">
      <c r="O9008" s="387"/>
      <c r="P9008" s="387"/>
      <c r="Q9008" s="387"/>
    </row>
    <row r="9009" spans="15:17" ht="20.100000000000001" customHeight="1">
      <c r="O9009" s="387"/>
      <c r="P9009" s="387"/>
      <c r="Q9009" s="387"/>
    </row>
    <row r="9010" spans="15:17" ht="20.100000000000001" customHeight="1">
      <c r="O9010" s="387"/>
      <c r="P9010" s="387"/>
      <c r="Q9010" s="387"/>
    </row>
    <row r="9011" spans="15:17" ht="20.100000000000001" customHeight="1">
      <c r="O9011" s="387"/>
      <c r="P9011" s="387"/>
      <c r="Q9011" s="387"/>
    </row>
    <row r="9012" spans="15:17" ht="20.100000000000001" customHeight="1">
      <c r="O9012" s="387"/>
      <c r="P9012" s="387"/>
      <c r="Q9012" s="387"/>
    </row>
    <row r="9013" spans="15:17" ht="20.100000000000001" customHeight="1">
      <c r="O9013" s="387"/>
      <c r="P9013" s="387"/>
      <c r="Q9013" s="387"/>
    </row>
    <row r="9014" spans="15:17" ht="20.100000000000001" customHeight="1">
      <c r="O9014" s="387"/>
      <c r="P9014" s="387"/>
      <c r="Q9014" s="387"/>
    </row>
    <row r="9015" spans="15:17" ht="20.100000000000001" customHeight="1">
      <c r="O9015" s="387"/>
      <c r="P9015" s="387"/>
      <c r="Q9015" s="387"/>
    </row>
    <row r="9016" spans="15:17" ht="20.100000000000001" customHeight="1">
      <c r="O9016" s="387"/>
      <c r="P9016" s="387"/>
      <c r="Q9016" s="387"/>
    </row>
    <row r="9017" spans="15:17" ht="20.100000000000001" customHeight="1">
      <c r="O9017" s="387"/>
      <c r="P9017" s="387"/>
      <c r="Q9017" s="387"/>
    </row>
    <row r="9018" spans="15:17" ht="20.100000000000001" customHeight="1">
      <c r="O9018" s="387"/>
      <c r="P9018" s="387"/>
      <c r="Q9018" s="387"/>
    </row>
    <row r="9019" spans="15:17" ht="20.100000000000001" customHeight="1">
      <c r="O9019" s="387"/>
      <c r="P9019" s="387"/>
      <c r="Q9019" s="387"/>
    </row>
    <row r="9020" spans="15:17" ht="20.100000000000001" customHeight="1">
      <c r="O9020" s="387"/>
      <c r="P9020" s="387"/>
      <c r="Q9020" s="387"/>
    </row>
    <row r="9021" spans="15:17" ht="20.100000000000001" customHeight="1">
      <c r="O9021" s="387"/>
      <c r="P9021" s="387"/>
      <c r="Q9021" s="387"/>
    </row>
    <row r="9022" spans="15:17" ht="20.100000000000001" customHeight="1">
      <c r="O9022" s="387"/>
      <c r="P9022" s="387"/>
      <c r="Q9022" s="387"/>
    </row>
    <row r="9023" spans="15:17" ht="20.100000000000001" customHeight="1">
      <c r="O9023" s="387"/>
      <c r="P9023" s="387"/>
      <c r="Q9023" s="387"/>
    </row>
    <row r="9024" spans="15:17" ht="20.100000000000001" customHeight="1">
      <c r="O9024" s="387"/>
      <c r="P9024" s="387"/>
      <c r="Q9024" s="387"/>
    </row>
    <row r="9025" spans="15:17" ht="20.100000000000001" customHeight="1">
      <c r="O9025" s="387"/>
      <c r="P9025" s="387"/>
      <c r="Q9025" s="387"/>
    </row>
    <row r="9026" spans="15:17" ht="20.100000000000001" customHeight="1">
      <c r="O9026" s="387"/>
      <c r="P9026" s="387"/>
      <c r="Q9026" s="387"/>
    </row>
    <row r="9027" spans="15:17" ht="20.100000000000001" customHeight="1">
      <c r="O9027" s="387"/>
      <c r="P9027" s="387"/>
      <c r="Q9027" s="387"/>
    </row>
    <row r="9028" spans="15:17" ht="20.100000000000001" customHeight="1">
      <c r="O9028" s="387"/>
      <c r="P9028" s="387"/>
      <c r="Q9028" s="387"/>
    </row>
    <row r="9029" spans="15:17" ht="20.100000000000001" customHeight="1">
      <c r="O9029" s="387"/>
      <c r="P9029" s="387"/>
      <c r="Q9029" s="387"/>
    </row>
    <row r="9030" spans="15:17" ht="20.100000000000001" customHeight="1">
      <c r="O9030" s="387"/>
      <c r="P9030" s="387"/>
      <c r="Q9030" s="387"/>
    </row>
    <row r="9031" spans="15:17" ht="20.100000000000001" customHeight="1">
      <c r="O9031" s="387"/>
      <c r="P9031" s="387"/>
      <c r="Q9031" s="387"/>
    </row>
    <row r="9032" spans="15:17" ht="20.100000000000001" customHeight="1">
      <c r="O9032" s="387"/>
      <c r="P9032" s="387"/>
      <c r="Q9032" s="387"/>
    </row>
    <row r="9033" spans="15:17" ht="20.100000000000001" customHeight="1">
      <c r="O9033" s="387"/>
      <c r="P9033" s="387"/>
      <c r="Q9033" s="387"/>
    </row>
    <row r="9034" spans="15:17" ht="20.100000000000001" customHeight="1">
      <c r="O9034" s="387"/>
      <c r="P9034" s="387"/>
      <c r="Q9034" s="387"/>
    </row>
    <row r="9035" spans="15:17" ht="20.100000000000001" customHeight="1">
      <c r="O9035" s="387"/>
      <c r="P9035" s="387"/>
      <c r="Q9035" s="387"/>
    </row>
    <row r="9036" spans="15:17" ht="20.100000000000001" customHeight="1">
      <c r="O9036" s="387"/>
      <c r="P9036" s="387"/>
      <c r="Q9036" s="387"/>
    </row>
    <row r="9037" spans="15:17" ht="20.100000000000001" customHeight="1">
      <c r="O9037" s="387"/>
      <c r="P9037" s="387"/>
      <c r="Q9037" s="387"/>
    </row>
    <row r="9038" spans="15:17" ht="20.100000000000001" customHeight="1">
      <c r="O9038" s="387"/>
      <c r="P9038" s="387"/>
      <c r="Q9038" s="387"/>
    </row>
    <row r="9039" spans="15:17" ht="20.100000000000001" customHeight="1">
      <c r="O9039" s="387"/>
      <c r="P9039" s="387"/>
      <c r="Q9039" s="387"/>
    </row>
    <row r="9040" spans="15:17" ht="20.100000000000001" customHeight="1">
      <c r="O9040" s="387"/>
      <c r="P9040" s="387"/>
      <c r="Q9040" s="387"/>
    </row>
    <row r="9041" spans="15:17" ht="20.100000000000001" customHeight="1">
      <c r="O9041" s="387"/>
      <c r="P9041" s="387"/>
      <c r="Q9041" s="387"/>
    </row>
    <row r="9042" spans="15:17" ht="20.100000000000001" customHeight="1">
      <c r="O9042" s="387"/>
      <c r="P9042" s="387"/>
      <c r="Q9042" s="387"/>
    </row>
    <row r="9043" spans="15:17" ht="20.100000000000001" customHeight="1">
      <c r="O9043" s="387"/>
      <c r="P9043" s="387"/>
      <c r="Q9043" s="387"/>
    </row>
    <row r="9044" spans="15:17" ht="20.100000000000001" customHeight="1">
      <c r="O9044" s="387"/>
      <c r="P9044" s="387"/>
      <c r="Q9044" s="387"/>
    </row>
    <row r="9045" spans="15:17" ht="20.100000000000001" customHeight="1">
      <c r="O9045" s="387"/>
      <c r="P9045" s="387"/>
      <c r="Q9045" s="387"/>
    </row>
    <row r="9046" spans="15:17" ht="20.100000000000001" customHeight="1">
      <c r="O9046" s="387"/>
      <c r="P9046" s="387"/>
      <c r="Q9046" s="387"/>
    </row>
    <row r="9047" spans="15:17" ht="20.100000000000001" customHeight="1">
      <c r="O9047" s="387"/>
      <c r="P9047" s="387"/>
      <c r="Q9047" s="387"/>
    </row>
    <row r="9048" spans="15:17" ht="20.100000000000001" customHeight="1">
      <c r="O9048" s="387"/>
      <c r="P9048" s="387"/>
      <c r="Q9048" s="387"/>
    </row>
    <row r="9049" spans="15:17" ht="20.100000000000001" customHeight="1">
      <c r="O9049" s="387"/>
      <c r="P9049" s="387"/>
      <c r="Q9049" s="387"/>
    </row>
    <row r="9050" spans="15:17" ht="20.100000000000001" customHeight="1">
      <c r="O9050" s="387"/>
      <c r="P9050" s="387"/>
      <c r="Q9050" s="387"/>
    </row>
    <row r="9051" spans="15:17" ht="20.100000000000001" customHeight="1">
      <c r="O9051" s="387"/>
      <c r="P9051" s="387"/>
      <c r="Q9051" s="387"/>
    </row>
    <row r="9052" spans="15:17" ht="20.100000000000001" customHeight="1">
      <c r="O9052" s="387"/>
      <c r="P9052" s="387"/>
      <c r="Q9052" s="387"/>
    </row>
    <row r="9053" spans="15:17" ht="20.100000000000001" customHeight="1">
      <c r="O9053" s="387"/>
      <c r="P9053" s="387"/>
      <c r="Q9053" s="387"/>
    </row>
    <row r="9054" spans="15:17" ht="20.100000000000001" customHeight="1">
      <c r="O9054" s="387"/>
      <c r="P9054" s="387"/>
      <c r="Q9054" s="387"/>
    </row>
    <row r="9055" spans="15:17" ht="20.100000000000001" customHeight="1">
      <c r="O9055" s="387"/>
      <c r="P9055" s="387"/>
      <c r="Q9055" s="387"/>
    </row>
    <row r="9056" spans="15:17" ht="20.100000000000001" customHeight="1">
      <c r="O9056" s="387"/>
      <c r="P9056" s="387"/>
      <c r="Q9056" s="387"/>
    </row>
    <row r="9057" spans="15:17" ht="20.100000000000001" customHeight="1">
      <c r="O9057" s="387"/>
      <c r="P9057" s="387"/>
      <c r="Q9057" s="387"/>
    </row>
    <row r="9058" spans="15:17" ht="20.100000000000001" customHeight="1">
      <c r="O9058" s="387"/>
      <c r="P9058" s="387"/>
      <c r="Q9058" s="387"/>
    </row>
    <row r="9059" spans="15:17" ht="20.100000000000001" customHeight="1">
      <c r="O9059" s="387"/>
      <c r="P9059" s="387"/>
      <c r="Q9059" s="387"/>
    </row>
    <row r="9060" spans="15:17" ht="20.100000000000001" customHeight="1">
      <c r="O9060" s="387"/>
      <c r="P9060" s="387"/>
      <c r="Q9060" s="387"/>
    </row>
    <row r="9061" spans="15:17" ht="20.100000000000001" customHeight="1">
      <c r="O9061" s="387"/>
      <c r="P9061" s="387"/>
      <c r="Q9061" s="387"/>
    </row>
    <row r="9062" spans="15:17" ht="20.100000000000001" customHeight="1">
      <c r="O9062" s="387"/>
      <c r="P9062" s="387"/>
      <c r="Q9062" s="387"/>
    </row>
    <row r="9063" spans="15:17" ht="20.100000000000001" customHeight="1">
      <c r="O9063" s="387"/>
      <c r="P9063" s="387"/>
      <c r="Q9063" s="387"/>
    </row>
    <row r="9064" spans="15:17" ht="20.100000000000001" customHeight="1">
      <c r="O9064" s="387"/>
      <c r="P9064" s="387"/>
      <c r="Q9064" s="387"/>
    </row>
    <row r="9065" spans="15:17" ht="20.100000000000001" customHeight="1">
      <c r="O9065" s="387"/>
      <c r="P9065" s="387"/>
      <c r="Q9065" s="387"/>
    </row>
    <row r="9066" spans="15:17" ht="20.100000000000001" customHeight="1">
      <c r="O9066" s="387"/>
      <c r="P9066" s="387"/>
      <c r="Q9066" s="387"/>
    </row>
    <row r="9067" spans="15:17" ht="20.100000000000001" customHeight="1">
      <c r="O9067" s="387"/>
      <c r="P9067" s="387"/>
      <c r="Q9067" s="387"/>
    </row>
    <row r="9068" spans="15:17" ht="20.100000000000001" customHeight="1">
      <c r="O9068" s="387"/>
      <c r="P9068" s="387"/>
      <c r="Q9068" s="387"/>
    </row>
    <row r="9069" spans="15:17" ht="20.100000000000001" customHeight="1">
      <c r="O9069" s="387"/>
      <c r="P9069" s="387"/>
      <c r="Q9069" s="387"/>
    </row>
    <row r="9070" spans="15:17" ht="20.100000000000001" customHeight="1">
      <c r="O9070" s="387"/>
      <c r="P9070" s="387"/>
      <c r="Q9070" s="387"/>
    </row>
    <row r="9071" spans="15:17" ht="20.100000000000001" customHeight="1">
      <c r="O9071" s="387"/>
      <c r="P9071" s="387"/>
      <c r="Q9071" s="387"/>
    </row>
    <row r="9072" spans="15:17" ht="20.100000000000001" customHeight="1">
      <c r="O9072" s="387"/>
      <c r="P9072" s="387"/>
      <c r="Q9072" s="387"/>
    </row>
    <row r="9073" spans="15:17" ht="20.100000000000001" customHeight="1">
      <c r="O9073" s="387"/>
      <c r="P9073" s="387"/>
      <c r="Q9073" s="387"/>
    </row>
    <row r="9074" spans="15:17" ht="20.100000000000001" customHeight="1">
      <c r="O9074" s="387"/>
      <c r="P9074" s="387"/>
      <c r="Q9074" s="387"/>
    </row>
    <row r="9075" spans="15:17" ht="20.100000000000001" customHeight="1">
      <c r="O9075" s="387"/>
      <c r="P9075" s="387"/>
      <c r="Q9075" s="387"/>
    </row>
    <row r="9076" spans="15:17" ht="20.100000000000001" customHeight="1">
      <c r="O9076" s="387"/>
      <c r="P9076" s="387"/>
      <c r="Q9076" s="387"/>
    </row>
    <row r="9077" spans="15:17" ht="20.100000000000001" customHeight="1">
      <c r="O9077" s="387"/>
      <c r="P9077" s="387"/>
      <c r="Q9077" s="387"/>
    </row>
    <row r="9078" spans="15:17" ht="20.100000000000001" customHeight="1">
      <c r="O9078" s="387"/>
      <c r="P9078" s="387"/>
      <c r="Q9078" s="387"/>
    </row>
    <row r="9079" spans="15:17" ht="20.100000000000001" customHeight="1">
      <c r="O9079" s="387"/>
      <c r="P9079" s="387"/>
      <c r="Q9079" s="387"/>
    </row>
    <row r="9080" spans="15:17" ht="20.100000000000001" customHeight="1">
      <c r="O9080" s="387"/>
      <c r="P9080" s="387"/>
      <c r="Q9080" s="387"/>
    </row>
    <row r="9081" spans="15:17" ht="20.100000000000001" customHeight="1">
      <c r="O9081" s="387"/>
      <c r="P9081" s="387"/>
      <c r="Q9081" s="387"/>
    </row>
    <row r="9082" spans="15:17" ht="20.100000000000001" customHeight="1">
      <c r="O9082" s="387"/>
      <c r="P9082" s="387"/>
      <c r="Q9082" s="387"/>
    </row>
    <row r="9083" spans="15:17" ht="20.100000000000001" customHeight="1">
      <c r="O9083" s="387"/>
      <c r="P9083" s="387"/>
      <c r="Q9083" s="387"/>
    </row>
    <row r="9084" spans="15:17" ht="20.100000000000001" customHeight="1">
      <c r="O9084" s="387"/>
      <c r="P9084" s="387"/>
      <c r="Q9084" s="387"/>
    </row>
    <row r="9085" spans="15:17" ht="20.100000000000001" customHeight="1">
      <c r="O9085" s="387"/>
      <c r="P9085" s="387"/>
      <c r="Q9085" s="387"/>
    </row>
    <row r="9086" spans="15:17" ht="20.100000000000001" customHeight="1">
      <c r="O9086" s="387"/>
      <c r="P9086" s="387"/>
      <c r="Q9086" s="387"/>
    </row>
    <row r="9087" spans="15:17" ht="20.100000000000001" customHeight="1">
      <c r="O9087" s="387"/>
      <c r="P9087" s="387"/>
      <c r="Q9087" s="387"/>
    </row>
    <row r="9088" spans="15:17" ht="20.100000000000001" customHeight="1">
      <c r="O9088" s="387"/>
      <c r="P9088" s="387"/>
      <c r="Q9088" s="387"/>
    </row>
    <row r="9089" spans="15:17" ht="20.100000000000001" customHeight="1">
      <c r="O9089" s="387"/>
      <c r="P9089" s="387"/>
      <c r="Q9089" s="387"/>
    </row>
    <row r="9090" spans="15:17" ht="20.100000000000001" customHeight="1">
      <c r="O9090" s="387"/>
      <c r="P9090" s="387"/>
      <c r="Q9090" s="387"/>
    </row>
    <row r="9091" spans="15:17" ht="20.100000000000001" customHeight="1">
      <c r="O9091" s="387"/>
      <c r="P9091" s="387"/>
      <c r="Q9091" s="387"/>
    </row>
    <row r="9092" spans="15:17" ht="20.100000000000001" customHeight="1">
      <c r="O9092" s="387"/>
      <c r="P9092" s="387"/>
      <c r="Q9092" s="387"/>
    </row>
    <row r="9093" spans="15:17" ht="20.100000000000001" customHeight="1">
      <c r="O9093" s="387"/>
      <c r="P9093" s="387"/>
      <c r="Q9093" s="387"/>
    </row>
    <row r="9094" spans="15:17" ht="20.100000000000001" customHeight="1">
      <c r="O9094" s="387"/>
      <c r="P9094" s="387"/>
      <c r="Q9094" s="387"/>
    </row>
    <row r="9095" spans="15:17" ht="20.100000000000001" customHeight="1">
      <c r="O9095" s="387"/>
      <c r="P9095" s="387"/>
      <c r="Q9095" s="387"/>
    </row>
    <row r="9096" spans="15:17" ht="20.100000000000001" customHeight="1">
      <c r="O9096" s="387"/>
      <c r="P9096" s="387"/>
      <c r="Q9096" s="387"/>
    </row>
    <row r="9097" spans="15:17" ht="20.100000000000001" customHeight="1">
      <c r="O9097" s="387"/>
      <c r="P9097" s="387"/>
      <c r="Q9097" s="387"/>
    </row>
    <row r="9098" spans="15:17" ht="20.100000000000001" customHeight="1">
      <c r="O9098" s="387"/>
      <c r="P9098" s="387"/>
      <c r="Q9098" s="387"/>
    </row>
    <row r="9099" spans="15:17" ht="20.100000000000001" customHeight="1">
      <c r="O9099" s="387"/>
      <c r="P9099" s="387"/>
      <c r="Q9099" s="387"/>
    </row>
    <row r="9100" spans="15:17" ht="20.100000000000001" customHeight="1">
      <c r="O9100" s="387"/>
      <c r="P9100" s="387"/>
      <c r="Q9100" s="387"/>
    </row>
    <row r="9101" spans="15:17" ht="20.100000000000001" customHeight="1">
      <c r="O9101" s="387"/>
      <c r="P9101" s="387"/>
      <c r="Q9101" s="387"/>
    </row>
    <row r="9102" spans="15:17" ht="20.100000000000001" customHeight="1">
      <c r="O9102" s="387"/>
      <c r="P9102" s="387"/>
      <c r="Q9102" s="387"/>
    </row>
    <row r="9103" spans="15:17" ht="20.100000000000001" customHeight="1">
      <c r="O9103" s="387"/>
      <c r="P9103" s="387"/>
      <c r="Q9103" s="387"/>
    </row>
    <row r="9104" spans="15:17" ht="20.100000000000001" customHeight="1">
      <c r="O9104" s="387"/>
      <c r="P9104" s="387"/>
      <c r="Q9104" s="387"/>
    </row>
    <row r="9105" spans="15:17" ht="20.100000000000001" customHeight="1">
      <c r="O9105" s="387"/>
      <c r="P9105" s="387"/>
      <c r="Q9105" s="387"/>
    </row>
    <row r="9106" spans="15:17" ht="20.100000000000001" customHeight="1">
      <c r="O9106" s="387"/>
      <c r="P9106" s="387"/>
      <c r="Q9106" s="387"/>
    </row>
    <row r="9107" spans="15:17" ht="20.100000000000001" customHeight="1">
      <c r="O9107" s="387"/>
      <c r="P9107" s="387"/>
      <c r="Q9107" s="387"/>
    </row>
    <row r="9108" spans="15:17" ht="20.100000000000001" customHeight="1">
      <c r="O9108" s="387"/>
      <c r="P9108" s="387"/>
      <c r="Q9108" s="387"/>
    </row>
    <row r="9109" spans="15:17" ht="20.100000000000001" customHeight="1">
      <c r="O9109" s="387"/>
      <c r="P9109" s="387"/>
      <c r="Q9109" s="387"/>
    </row>
    <row r="9110" spans="15:17" ht="20.100000000000001" customHeight="1">
      <c r="O9110" s="387"/>
      <c r="P9110" s="387"/>
      <c r="Q9110" s="387"/>
    </row>
    <row r="9111" spans="15:17" ht="20.100000000000001" customHeight="1">
      <c r="O9111" s="387"/>
      <c r="P9111" s="387"/>
      <c r="Q9111" s="387"/>
    </row>
    <row r="9112" spans="15:17" ht="20.100000000000001" customHeight="1">
      <c r="O9112" s="387"/>
      <c r="P9112" s="387"/>
      <c r="Q9112" s="387"/>
    </row>
    <row r="9113" spans="15:17" ht="20.100000000000001" customHeight="1">
      <c r="O9113" s="387"/>
      <c r="P9113" s="387"/>
      <c r="Q9113" s="387"/>
    </row>
    <row r="9114" spans="15:17" ht="20.100000000000001" customHeight="1">
      <c r="O9114" s="387"/>
      <c r="P9114" s="387"/>
      <c r="Q9114" s="387"/>
    </row>
    <row r="9115" spans="15:17" ht="20.100000000000001" customHeight="1">
      <c r="O9115" s="387"/>
      <c r="P9115" s="387"/>
      <c r="Q9115" s="387"/>
    </row>
    <row r="9116" spans="15:17" ht="20.100000000000001" customHeight="1">
      <c r="O9116" s="387"/>
      <c r="P9116" s="387"/>
      <c r="Q9116" s="387"/>
    </row>
    <row r="9117" spans="15:17" ht="20.100000000000001" customHeight="1">
      <c r="O9117" s="387"/>
      <c r="P9117" s="387"/>
      <c r="Q9117" s="387"/>
    </row>
    <row r="9118" spans="15:17" ht="20.100000000000001" customHeight="1">
      <c r="O9118" s="387"/>
      <c r="P9118" s="387"/>
      <c r="Q9118" s="387"/>
    </row>
    <row r="9119" spans="15:17" ht="20.100000000000001" customHeight="1">
      <c r="O9119" s="387"/>
      <c r="P9119" s="387"/>
      <c r="Q9119" s="387"/>
    </row>
    <row r="9120" spans="15:17" ht="20.100000000000001" customHeight="1">
      <c r="O9120" s="387"/>
      <c r="P9120" s="387"/>
      <c r="Q9120" s="387"/>
    </row>
    <row r="9121" spans="15:17" ht="20.100000000000001" customHeight="1">
      <c r="O9121" s="387"/>
      <c r="P9121" s="387"/>
      <c r="Q9121" s="387"/>
    </row>
    <row r="9122" spans="15:17" ht="20.100000000000001" customHeight="1">
      <c r="O9122" s="387"/>
      <c r="P9122" s="387"/>
      <c r="Q9122" s="387"/>
    </row>
    <row r="9123" spans="15:17" ht="20.100000000000001" customHeight="1">
      <c r="O9123" s="387"/>
      <c r="P9123" s="387"/>
      <c r="Q9123" s="387"/>
    </row>
    <row r="9124" spans="15:17" ht="20.100000000000001" customHeight="1">
      <c r="O9124" s="387"/>
      <c r="P9124" s="387"/>
      <c r="Q9124" s="387"/>
    </row>
    <row r="9125" spans="15:17" ht="20.100000000000001" customHeight="1">
      <c r="O9125" s="387"/>
      <c r="P9125" s="387"/>
      <c r="Q9125" s="387"/>
    </row>
    <row r="9126" spans="15:17" ht="20.100000000000001" customHeight="1">
      <c r="O9126" s="387"/>
      <c r="P9126" s="387"/>
      <c r="Q9126" s="387"/>
    </row>
    <row r="9127" spans="15:17" ht="20.100000000000001" customHeight="1">
      <c r="O9127" s="387"/>
      <c r="P9127" s="387"/>
      <c r="Q9127" s="387"/>
    </row>
    <row r="9128" spans="15:17" ht="20.100000000000001" customHeight="1">
      <c r="O9128" s="387"/>
      <c r="P9128" s="387"/>
      <c r="Q9128" s="387"/>
    </row>
    <row r="9129" spans="15:17" ht="20.100000000000001" customHeight="1">
      <c r="O9129" s="387"/>
      <c r="P9129" s="387"/>
      <c r="Q9129" s="387"/>
    </row>
    <row r="9130" spans="15:17" ht="20.100000000000001" customHeight="1">
      <c r="O9130" s="387"/>
      <c r="P9130" s="387"/>
      <c r="Q9130" s="387"/>
    </row>
    <row r="9131" spans="15:17" ht="20.100000000000001" customHeight="1">
      <c r="O9131" s="387"/>
      <c r="P9131" s="387"/>
      <c r="Q9131" s="387"/>
    </row>
    <row r="9132" spans="15:17" ht="20.100000000000001" customHeight="1">
      <c r="O9132" s="387"/>
      <c r="P9132" s="387"/>
      <c r="Q9132" s="387"/>
    </row>
    <row r="9133" spans="15:17" ht="20.100000000000001" customHeight="1">
      <c r="O9133" s="387"/>
      <c r="P9133" s="387"/>
      <c r="Q9133" s="387"/>
    </row>
    <row r="9134" spans="15:17" ht="20.100000000000001" customHeight="1">
      <c r="O9134" s="387"/>
      <c r="P9134" s="387"/>
      <c r="Q9134" s="387"/>
    </row>
    <row r="9135" spans="15:17" ht="20.100000000000001" customHeight="1">
      <c r="O9135" s="387"/>
      <c r="P9135" s="387"/>
      <c r="Q9135" s="387"/>
    </row>
    <row r="9136" spans="15:17" ht="20.100000000000001" customHeight="1">
      <c r="O9136" s="387"/>
      <c r="P9136" s="387"/>
      <c r="Q9136" s="387"/>
    </row>
    <row r="9137" spans="15:17" ht="20.100000000000001" customHeight="1">
      <c r="O9137" s="387"/>
      <c r="P9137" s="387"/>
      <c r="Q9137" s="387"/>
    </row>
    <row r="9138" spans="15:17" ht="20.100000000000001" customHeight="1">
      <c r="O9138" s="387"/>
      <c r="P9138" s="387"/>
      <c r="Q9138" s="387"/>
    </row>
    <row r="9139" spans="15:17" ht="20.100000000000001" customHeight="1">
      <c r="O9139" s="387"/>
      <c r="P9139" s="387"/>
      <c r="Q9139" s="387"/>
    </row>
    <row r="9140" spans="15:17" ht="20.100000000000001" customHeight="1">
      <c r="O9140" s="387"/>
      <c r="P9140" s="387"/>
      <c r="Q9140" s="387"/>
    </row>
    <row r="9141" spans="15:17" ht="20.100000000000001" customHeight="1">
      <c r="O9141" s="387"/>
      <c r="P9141" s="387"/>
      <c r="Q9141" s="387"/>
    </row>
    <row r="9142" spans="15:17" ht="20.100000000000001" customHeight="1">
      <c r="O9142" s="387"/>
      <c r="P9142" s="387"/>
      <c r="Q9142" s="387"/>
    </row>
    <row r="9143" spans="15:17" ht="20.100000000000001" customHeight="1">
      <c r="O9143" s="387"/>
      <c r="P9143" s="387"/>
      <c r="Q9143" s="387"/>
    </row>
    <row r="9144" spans="15:17" ht="20.100000000000001" customHeight="1">
      <c r="O9144" s="387"/>
      <c r="P9144" s="387"/>
      <c r="Q9144" s="387"/>
    </row>
    <row r="9145" spans="15:17" ht="20.100000000000001" customHeight="1">
      <c r="O9145" s="387"/>
      <c r="P9145" s="387"/>
      <c r="Q9145" s="387"/>
    </row>
    <row r="9146" spans="15:17" ht="20.100000000000001" customHeight="1">
      <c r="O9146" s="387"/>
      <c r="P9146" s="387"/>
      <c r="Q9146" s="387"/>
    </row>
    <row r="9147" spans="15:17" ht="20.100000000000001" customHeight="1">
      <c r="O9147" s="387"/>
      <c r="P9147" s="387"/>
      <c r="Q9147" s="387"/>
    </row>
    <row r="9148" spans="15:17" ht="20.100000000000001" customHeight="1">
      <c r="O9148" s="387"/>
      <c r="P9148" s="387"/>
      <c r="Q9148" s="387"/>
    </row>
    <row r="9149" spans="15:17" ht="20.100000000000001" customHeight="1">
      <c r="O9149" s="387"/>
      <c r="P9149" s="387"/>
      <c r="Q9149" s="387"/>
    </row>
    <row r="9150" spans="15:17" ht="20.100000000000001" customHeight="1">
      <c r="O9150" s="387"/>
      <c r="P9150" s="387"/>
      <c r="Q9150" s="387"/>
    </row>
    <row r="9151" spans="15:17" ht="20.100000000000001" customHeight="1">
      <c r="O9151" s="387"/>
      <c r="P9151" s="387"/>
      <c r="Q9151" s="387"/>
    </row>
    <row r="9152" spans="15:17" ht="20.100000000000001" customHeight="1">
      <c r="O9152" s="387"/>
      <c r="P9152" s="387"/>
      <c r="Q9152" s="387"/>
    </row>
    <row r="9153" spans="15:17" ht="20.100000000000001" customHeight="1">
      <c r="O9153" s="387"/>
      <c r="P9153" s="387"/>
      <c r="Q9153" s="387"/>
    </row>
    <row r="9154" spans="15:17" ht="20.100000000000001" customHeight="1">
      <c r="O9154" s="387"/>
      <c r="P9154" s="387"/>
      <c r="Q9154" s="387"/>
    </row>
    <row r="9155" spans="15:17" ht="20.100000000000001" customHeight="1">
      <c r="O9155" s="387"/>
      <c r="P9155" s="387"/>
      <c r="Q9155" s="387"/>
    </row>
    <row r="9156" spans="15:17" ht="20.100000000000001" customHeight="1">
      <c r="O9156" s="387"/>
      <c r="P9156" s="387"/>
      <c r="Q9156" s="387"/>
    </row>
    <row r="9157" spans="15:17" ht="20.100000000000001" customHeight="1">
      <c r="O9157" s="387"/>
      <c r="P9157" s="387"/>
      <c r="Q9157" s="387"/>
    </row>
    <row r="9158" spans="15:17" ht="20.100000000000001" customHeight="1">
      <c r="O9158" s="387"/>
      <c r="P9158" s="387"/>
      <c r="Q9158" s="387"/>
    </row>
    <row r="9159" spans="15:17" ht="20.100000000000001" customHeight="1">
      <c r="O9159" s="387"/>
      <c r="P9159" s="387"/>
      <c r="Q9159" s="387"/>
    </row>
    <row r="9160" spans="15:17" ht="20.100000000000001" customHeight="1">
      <c r="O9160" s="387"/>
      <c r="P9160" s="387"/>
      <c r="Q9160" s="387"/>
    </row>
    <row r="9161" spans="15:17" ht="20.100000000000001" customHeight="1">
      <c r="O9161" s="387"/>
      <c r="P9161" s="387"/>
      <c r="Q9161" s="387"/>
    </row>
    <row r="9162" spans="15:17" ht="20.100000000000001" customHeight="1">
      <c r="O9162" s="387"/>
      <c r="P9162" s="387"/>
      <c r="Q9162" s="387"/>
    </row>
    <row r="9163" spans="15:17" ht="20.100000000000001" customHeight="1">
      <c r="O9163" s="387"/>
      <c r="P9163" s="387"/>
      <c r="Q9163" s="387"/>
    </row>
    <row r="9164" spans="15:17" ht="20.100000000000001" customHeight="1">
      <c r="O9164" s="387"/>
      <c r="P9164" s="387"/>
      <c r="Q9164" s="387"/>
    </row>
    <row r="9165" spans="15:17" ht="20.100000000000001" customHeight="1">
      <c r="O9165" s="387"/>
      <c r="P9165" s="387"/>
      <c r="Q9165" s="387"/>
    </row>
    <row r="9166" spans="15:17" ht="20.100000000000001" customHeight="1">
      <c r="O9166" s="387"/>
      <c r="P9166" s="387"/>
      <c r="Q9166" s="387"/>
    </row>
    <row r="9167" spans="15:17" ht="20.100000000000001" customHeight="1">
      <c r="O9167" s="387"/>
      <c r="P9167" s="387"/>
      <c r="Q9167" s="387"/>
    </row>
    <row r="9168" spans="15:17" ht="20.100000000000001" customHeight="1">
      <c r="O9168" s="387"/>
      <c r="P9168" s="387"/>
      <c r="Q9168" s="387"/>
    </row>
    <row r="9169" spans="15:17" ht="20.100000000000001" customHeight="1">
      <c r="O9169" s="387"/>
      <c r="P9169" s="387"/>
      <c r="Q9169" s="387"/>
    </row>
    <row r="9170" spans="15:17" ht="20.100000000000001" customHeight="1">
      <c r="O9170" s="387"/>
      <c r="P9170" s="387"/>
      <c r="Q9170" s="387"/>
    </row>
    <row r="9171" spans="15:17" ht="20.100000000000001" customHeight="1">
      <c r="O9171" s="387"/>
      <c r="P9171" s="387"/>
      <c r="Q9171" s="387"/>
    </row>
    <row r="9172" spans="15:17" ht="20.100000000000001" customHeight="1">
      <c r="O9172" s="387"/>
      <c r="P9172" s="387"/>
      <c r="Q9172" s="387"/>
    </row>
    <row r="9173" spans="15:17" ht="20.100000000000001" customHeight="1">
      <c r="O9173" s="387"/>
      <c r="P9173" s="387"/>
      <c r="Q9173" s="387"/>
    </row>
    <row r="9174" spans="15:17" ht="20.100000000000001" customHeight="1">
      <c r="O9174" s="387"/>
      <c r="P9174" s="387"/>
      <c r="Q9174" s="387"/>
    </row>
    <row r="9175" spans="15:17" ht="20.100000000000001" customHeight="1">
      <c r="O9175" s="387"/>
      <c r="P9175" s="387"/>
      <c r="Q9175" s="387"/>
    </row>
    <row r="9176" spans="15:17" ht="20.100000000000001" customHeight="1">
      <c r="O9176" s="387"/>
      <c r="P9176" s="387"/>
      <c r="Q9176" s="387"/>
    </row>
    <row r="9177" spans="15:17" ht="20.100000000000001" customHeight="1">
      <c r="O9177" s="387"/>
      <c r="P9177" s="387"/>
      <c r="Q9177" s="387"/>
    </row>
    <row r="9178" spans="15:17" ht="20.100000000000001" customHeight="1">
      <c r="O9178" s="387"/>
      <c r="P9178" s="387"/>
      <c r="Q9178" s="387"/>
    </row>
    <row r="9179" spans="15:17" ht="20.100000000000001" customHeight="1">
      <c r="O9179" s="387"/>
      <c r="P9179" s="387"/>
      <c r="Q9179" s="387"/>
    </row>
    <row r="9180" spans="15:17" ht="20.100000000000001" customHeight="1">
      <c r="O9180" s="387"/>
      <c r="P9180" s="387"/>
      <c r="Q9180" s="387"/>
    </row>
    <row r="9181" spans="15:17" ht="20.100000000000001" customHeight="1">
      <c r="O9181" s="387"/>
      <c r="P9181" s="387"/>
      <c r="Q9181" s="387"/>
    </row>
    <row r="9182" spans="15:17" ht="20.100000000000001" customHeight="1">
      <c r="O9182" s="387"/>
      <c r="P9182" s="387"/>
      <c r="Q9182" s="387"/>
    </row>
    <row r="9183" spans="15:17" ht="20.100000000000001" customHeight="1">
      <c r="O9183" s="387"/>
      <c r="P9183" s="387"/>
      <c r="Q9183" s="387"/>
    </row>
    <row r="9184" spans="15:17" ht="20.100000000000001" customHeight="1">
      <c r="O9184" s="387"/>
      <c r="P9184" s="387"/>
      <c r="Q9184" s="387"/>
    </row>
    <row r="9185" spans="15:17" ht="20.100000000000001" customHeight="1">
      <c r="O9185" s="387"/>
      <c r="P9185" s="387"/>
      <c r="Q9185" s="387"/>
    </row>
    <row r="9186" spans="15:17" ht="20.100000000000001" customHeight="1">
      <c r="O9186" s="387"/>
      <c r="P9186" s="387"/>
      <c r="Q9186" s="387"/>
    </row>
    <row r="9187" spans="15:17" ht="20.100000000000001" customHeight="1">
      <c r="O9187" s="387"/>
      <c r="P9187" s="387"/>
      <c r="Q9187" s="387"/>
    </row>
    <row r="9188" spans="15:17" ht="20.100000000000001" customHeight="1">
      <c r="O9188" s="387"/>
      <c r="P9188" s="387"/>
      <c r="Q9188" s="387"/>
    </row>
    <row r="9189" spans="15:17" ht="20.100000000000001" customHeight="1">
      <c r="O9189" s="387"/>
      <c r="P9189" s="387"/>
      <c r="Q9189" s="387"/>
    </row>
    <row r="9190" spans="15:17" ht="20.100000000000001" customHeight="1">
      <c r="O9190" s="387"/>
      <c r="P9190" s="387"/>
      <c r="Q9190" s="387"/>
    </row>
    <row r="9191" spans="15:17" ht="20.100000000000001" customHeight="1">
      <c r="O9191" s="387"/>
      <c r="P9191" s="387"/>
      <c r="Q9191" s="387"/>
    </row>
    <row r="9192" spans="15:17" ht="20.100000000000001" customHeight="1">
      <c r="O9192" s="387"/>
      <c r="P9192" s="387"/>
      <c r="Q9192" s="387"/>
    </row>
    <row r="9193" spans="15:17" ht="20.100000000000001" customHeight="1">
      <c r="O9193" s="387"/>
      <c r="P9193" s="387"/>
      <c r="Q9193" s="387"/>
    </row>
    <row r="9194" spans="15:17" ht="20.100000000000001" customHeight="1">
      <c r="O9194" s="387"/>
      <c r="P9194" s="387"/>
      <c r="Q9194" s="387"/>
    </row>
    <row r="9195" spans="15:17" ht="20.100000000000001" customHeight="1">
      <c r="O9195" s="387"/>
      <c r="P9195" s="387"/>
      <c r="Q9195" s="387"/>
    </row>
    <row r="9196" spans="15:17" ht="20.100000000000001" customHeight="1">
      <c r="O9196" s="387"/>
      <c r="P9196" s="387"/>
      <c r="Q9196" s="387"/>
    </row>
    <row r="9197" spans="15:17" ht="20.100000000000001" customHeight="1">
      <c r="O9197" s="387"/>
      <c r="P9197" s="387"/>
      <c r="Q9197" s="387"/>
    </row>
    <row r="9198" spans="15:17" ht="20.100000000000001" customHeight="1">
      <c r="O9198" s="387"/>
      <c r="P9198" s="387"/>
      <c r="Q9198" s="387"/>
    </row>
    <row r="9199" spans="15:17" ht="20.100000000000001" customHeight="1">
      <c r="O9199" s="387"/>
      <c r="P9199" s="387"/>
      <c r="Q9199" s="387"/>
    </row>
    <row r="9200" spans="15:17" ht="20.100000000000001" customHeight="1">
      <c r="O9200" s="387"/>
      <c r="P9200" s="387"/>
      <c r="Q9200" s="387"/>
    </row>
    <row r="9201" spans="15:17" ht="20.100000000000001" customHeight="1">
      <c r="O9201" s="387"/>
      <c r="P9201" s="387"/>
      <c r="Q9201" s="387"/>
    </row>
    <row r="9202" spans="15:17" ht="20.100000000000001" customHeight="1">
      <c r="O9202" s="387"/>
      <c r="P9202" s="387"/>
      <c r="Q9202" s="387"/>
    </row>
    <row r="9203" spans="15:17" ht="20.100000000000001" customHeight="1">
      <c r="O9203" s="387"/>
      <c r="P9203" s="387"/>
      <c r="Q9203" s="387"/>
    </row>
    <row r="9204" spans="15:17" ht="20.100000000000001" customHeight="1">
      <c r="O9204" s="387"/>
      <c r="P9204" s="387"/>
      <c r="Q9204" s="387"/>
    </row>
    <row r="9205" spans="15:17" ht="20.100000000000001" customHeight="1">
      <c r="O9205" s="387"/>
      <c r="P9205" s="387"/>
      <c r="Q9205" s="387"/>
    </row>
    <row r="9206" spans="15:17" ht="20.100000000000001" customHeight="1">
      <c r="O9206" s="387"/>
      <c r="P9206" s="387"/>
      <c r="Q9206" s="387"/>
    </row>
    <row r="9207" spans="15:17" ht="20.100000000000001" customHeight="1">
      <c r="O9207" s="387"/>
      <c r="P9207" s="387"/>
      <c r="Q9207" s="387"/>
    </row>
    <row r="9208" spans="15:17" ht="20.100000000000001" customHeight="1">
      <c r="O9208" s="387"/>
      <c r="P9208" s="387"/>
      <c r="Q9208" s="387"/>
    </row>
    <row r="9209" spans="15:17" ht="20.100000000000001" customHeight="1">
      <c r="O9209" s="387"/>
      <c r="P9209" s="387"/>
      <c r="Q9209" s="387"/>
    </row>
    <row r="9210" spans="15:17" ht="20.100000000000001" customHeight="1">
      <c r="O9210" s="387"/>
      <c r="P9210" s="387"/>
      <c r="Q9210" s="387"/>
    </row>
    <row r="9211" spans="15:17" ht="20.100000000000001" customHeight="1">
      <c r="O9211" s="387"/>
      <c r="P9211" s="387"/>
      <c r="Q9211" s="387"/>
    </row>
    <row r="9212" spans="15:17" ht="20.100000000000001" customHeight="1">
      <c r="O9212" s="387"/>
      <c r="P9212" s="387"/>
      <c r="Q9212" s="387"/>
    </row>
    <row r="9213" spans="15:17" ht="20.100000000000001" customHeight="1">
      <c r="O9213" s="387"/>
      <c r="P9213" s="387"/>
      <c r="Q9213" s="387"/>
    </row>
    <row r="9214" spans="15:17" ht="20.100000000000001" customHeight="1">
      <c r="O9214" s="387"/>
      <c r="P9214" s="387"/>
      <c r="Q9214" s="387"/>
    </row>
    <row r="9215" spans="15:17" ht="20.100000000000001" customHeight="1">
      <c r="O9215" s="387"/>
      <c r="P9215" s="387"/>
      <c r="Q9215" s="387"/>
    </row>
    <row r="9216" spans="15:17" ht="20.100000000000001" customHeight="1">
      <c r="O9216" s="387"/>
      <c r="P9216" s="387"/>
      <c r="Q9216" s="387"/>
    </row>
    <row r="9217" spans="15:17" ht="20.100000000000001" customHeight="1">
      <c r="O9217" s="387"/>
      <c r="P9217" s="387"/>
      <c r="Q9217" s="387"/>
    </row>
    <row r="9218" spans="15:17" ht="20.100000000000001" customHeight="1">
      <c r="O9218" s="387"/>
      <c r="P9218" s="387"/>
      <c r="Q9218" s="387"/>
    </row>
    <row r="9219" spans="15:17" ht="20.100000000000001" customHeight="1">
      <c r="O9219" s="387"/>
      <c r="P9219" s="387"/>
      <c r="Q9219" s="387"/>
    </row>
    <row r="9220" spans="15:17" ht="20.100000000000001" customHeight="1">
      <c r="O9220" s="387"/>
      <c r="P9220" s="387"/>
      <c r="Q9220" s="387"/>
    </row>
    <row r="9221" spans="15:17" ht="20.100000000000001" customHeight="1">
      <c r="O9221" s="387"/>
      <c r="P9221" s="387"/>
      <c r="Q9221" s="387"/>
    </row>
    <row r="9222" spans="15:17" ht="20.100000000000001" customHeight="1">
      <c r="O9222" s="387"/>
      <c r="P9222" s="387"/>
      <c r="Q9222" s="387"/>
    </row>
    <row r="9223" spans="15:17" ht="20.100000000000001" customHeight="1">
      <c r="O9223" s="387"/>
      <c r="P9223" s="387"/>
      <c r="Q9223" s="387"/>
    </row>
    <row r="9224" spans="15:17" ht="20.100000000000001" customHeight="1">
      <c r="O9224" s="387"/>
      <c r="P9224" s="387"/>
      <c r="Q9224" s="387"/>
    </row>
    <row r="9225" spans="15:17" ht="20.100000000000001" customHeight="1">
      <c r="O9225" s="387"/>
      <c r="P9225" s="387"/>
      <c r="Q9225" s="387"/>
    </row>
    <row r="9226" spans="15:17" ht="20.100000000000001" customHeight="1">
      <c r="O9226" s="387"/>
      <c r="P9226" s="387"/>
      <c r="Q9226" s="387"/>
    </row>
    <row r="9227" spans="15:17" ht="20.100000000000001" customHeight="1">
      <c r="O9227" s="387"/>
      <c r="P9227" s="387"/>
      <c r="Q9227" s="387"/>
    </row>
    <row r="9228" spans="15:17" ht="20.100000000000001" customHeight="1">
      <c r="O9228" s="387"/>
      <c r="P9228" s="387"/>
      <c r="Q9228" s="387"/>
    </row>
    <row r="9229" spans="15:17" ht="20.100000000000001" customHeight="1">
      <c r="O9229" s="387"/>
      <c r="P9229" s="387"/>
      <c r="Q9229" s="387"/>
    </row>
    <row r="9230" spans="15:17" ht="20.100000000000001" customHeight="1">
      <c r="O9230" s="387"/>
      <c r="P9230" s="387"/>
      <c r="Q9230" s="387"/>
    </row>
    <row r="9231" spans="15:17" ht="20.100000000000001" customHeight="1">
      <c r="O9231" s="387"/>
      <c r="P9231" s="387"/>
      <c r="Q9231" s="387"/>
    </row>
    <row r="9232" spans="15:17" ht="20.100000000000001" customHeight="1">
      <c r="O9232" s="387"/>
      <c r="P9232" s="387"/>
      <c r="Q9232" s="387"/>
    </row>
    <row r="9233" spans="15:17" ht="20.100000000000001" customHeight="1">
      <c r="O9233" s="387"/>
      <c r="P9233" s="387"/>
      <c r="Q9233" s="387"/>
    </row>
    <row r="9234" spans="15:17" ht="20.100000000000001" customHeight="1">
      <c r="O9234" s="387"/>
      <c r="P9234" s="387"/>
      <c r="Q9234" s="387"/>
    </row>
    <row r="9235" spans="15:17" ht="20.100000000000001" customHeight="1">
      <c r="O9235" s="387"/>
      <c r="P9235" s="387"/>
      <c r="Q9235" s="387"/>
    </row>
    <row r="9236" spans="15:17" ht="20.100000000000001" customHeight="1">
      <c r="O9236" s="387"/>
      <c r="P9236" s="387"/>
      <c r="Q9236" s="387"/>
    </row>
    <row r="9237" spans="15:17" ht="20.100000000000001" customHeight="1">
      <c r="O9237" s="387"/>
      <c r="P9237" s="387"/>
      <c r="Q9237" s="387"/>
    </row>
    <row r="9238" spans="15:17" ht="20.100000000000001" customHeight="1">
      <c r="O9238" s="387"/>
      <c r="P9238" s="387"/>
      <c r="Q9238" s="387"/>
    </row>
    <row r="9239" spans="15:17" ht="20.100000000000001" customHeight="1">
      <c r="O9239" s="387"/>
      <c r="P9239" s="387"/>
      <c r="Q9239" s="387"/>
    </row>
    <row r="9240" spans="15:17" ht="20.100000000000001" customHeight="1">
      <c r="O9240" s="387"/>
      <c r="P9240" s="387"/>
      <c r="Q9240" s="387"/>
    </row>
    <row r="9241" spans="15:17" ht="20.100000000000001" customHeight="1">
      <c r="O9241" s="387"/>
      <c r="P9241" s="387"/>
      <c r="Q9241" s="387"/>
    </row>
    <row r="9242" spans="15:17" ht="20.100000000000001" customHeight="1">
      <c r="O9242" s="387"/>
      <c r="P9242" s="387"/>
      <c r="Q9242" s="387"/>
    </row>
    <row r="9243" spans="15:17" ht="20.100000000000001" customHeight="1">
      <c r="O9243" s="387"/>
      <c r="P9243" s="387"/>
      <c r="Q9243" s="387"/>
    </row>
    <row r="9244" spans="15:17" ht="20.100000000000001" customHeight="1">
      <c r="O9244" s="387"/>
      <c r="P9244" s="387"/>
      <c r="Q9244" s="387"/>
    </row>
    <row r="9245" spans="15:17" ht="20.100000000000001" customHeight="1">
      <c r="O9245" s="387"/>
      <c r="P9245" s="387"/>
      <c r="Q9245" s="387"/>
    </row>
    <row r="9246" spans="15:17" ht="20.100000000000001" customHeight="1">
      <c r="O9246" s="387"/>
      <c r="P9246" s="387"/>
      <c r="Q9246" s="387"/>
    </row>
    <row r="9247" spans="15:17" ht="20.100000000000001" customHeight="1">
      <c r="O9247" s="387"/>
      <c r="P9247" s="387"/>
      <c r="Q9247" s="387"/>
    </row>
    <row r="9248" spans="15:17" ht="20.100000000000001" customHeight="1">
      <c r="O9248" s="387"/>
      <c r="P9248" s="387"/>
      <c r="Q9248" s="387"/>
    </row>
    <row r="9249" spans="15:17" ht="20.100000000000001" customHeight="1">
      <c r="O9249" s="387"/>
      <c r="P9249" s="387"/>
      <c r="Q9249" s="387"/>
    </row>
    <row r="9250" spans="15:17" ht="20.100000000000001" customHeight="1">
      <c r="O9250" s="387"/>
      <c r="P9250" s="387"/>
      <c r="Q9250" s="387"/>
    </row>
    <row r="9251" spans="15:17" ht="20.100000000000001" customHeight="1">
      <c r="O9251" s="387"/>
      <c r="P9251" s="387"/>
      <c r="Q9251" s="387"/>
    </row>
    <row r="9252" spans="15:17" ht="20.100000000000001" customHeight="1">
      <c r="O9252" s="387"/>
      <c r="P9252" s="387"/>
      <c r="Q9252" s="387"/>
    </row>
    <row r="9253" spans="15:17" ht="20.100000000000001" customHeight="1">
      <c r="O9253" s="387"/>
      <c r="P9253" s="387"/>
      <c r="Q9253" s="387"/>
    </row>
    <row r="9254" spans="15:17" ht="20.100000000000001" customHeight="1">
      <c r="O9254" s="387"/>
      <c r="P9254" s="387"/>
      <c r="Q9254" s="387"/>
    </row>
    <row r="9255" spans="15:17" ht="20.100000000000001" customHeight="1">
      <c r="O9255" s="387"/>
      <c r="P9255" s="387"/>
      <c r="Q9255" s="387"/>
    </row>
    <row r="9256" spans="15:17" ht="20.100000000000001" customHeight="1">
      <c r="O9256" s="387"/>
      <c r="P9256" s="387"/>
      <c r="Q9256" s="387"/>
    </row>
    <row r="9257" spans="15:17" ht="20.100000000000001" customHeight="1">
      <c r="O9257" s="387"/>
      <c r="P9257" s="387"/>
      <c r="Q9257" s="387"/>
    </row>
    <row r="9258" spans="15:17" ht="20.100000000000001" customHeight="1">
      <c r="O9258" s="387"/>
      <c r="P9258" s="387"/>
      <c r="Q9258" s="387"/>
    </row>
    <row r="9259" spans="15:17" ht="20.100000000000001" customHeight="1">
      <c r="O9259" s="387"/>
      <c r="P9259" s="387"/>
      <c r="Q9259" s="387"/>
    </row>
    <row r="9260" spans="15:17" ht="20.100000000000001" customHeight="1">
      <c r="O9260" s="387"/>
      <c r="P9260" s="387"/>
      <c r="Q9260" s="387"/>
    </row>
    <row r="9261" spans="15:17" ht="20.100000000000001" customHeight="1">
      <c r="O9261" s="387"/>
      <c r="P9261" s="387"/>
      <c r="Q9261" s="387"/>
    </row>
    <row r="9262" spans="15:17" ht="20.100000000000001" customHeight="1">
      <c r="O9262" s="387"/>
      <c r="P9262" s="387"/>
      <c r="Q9262" s="387"/>
    </row>
    <row r="9263" spans="15:17" ht="20.100000000000001" customHeight="1">
      <c r="O9263" s="387"/>
      <c r="P9263" s="387"/>
      <c r="Q9263" s="387"/>
    </row>
    <row r="9264" spans="15:17" ht="20.100000000000001" customHeight="1">
      <c r="O9264" s="387"/>
      <c r="P9264" s="387"/>
      <c r="Q9264" s="387"/>
    </row>
    <row r="9265" spans="15:17" ht="20.100000000000001" customHeight="1">
      <c r="O9265" s="387"/>
      <c r="P9265" s="387"/>
      <c r="Q9265" s="387"/>
    </row>
    <row r="9266" spans="15:17" ht="20.100000000000001" customHeight="1">
      <c r="O9266" s="387"/>
      <c r="P9266" s="387"/>
      <c r="Q9266" s="387"/>
    </row>
    <row r="9267" spans="15:17" ht="20.100000000000001" customHeight="1">
      <c r="O9267" s="387"/>
      <c r="P9267" s="387"/>
      <c r="Q9267" s="387"/>
    </row>
    <row r="9268" spans="15:17" ht="20.100000000000001" customHeight="1">
      <c r="O9268" s="387"/>
      <c r="P9268" s="387"/>
      <c r="Q9268" s="387"/>
    </row>
    <row r="9269" spans="15:17" ht="20.100000000000001" customHeight="1">
      <c r="O9269" s="387"/>
      <c r="P9269" s="387"/>
      <c r="Q9269" s="387"/>
    </row>
    <row r="9270" spans="15:17" ht="20.100000000000001" customHeight="1">
      <c r="O9270" s="387"/>
      <c r="P9270" s="387"/>
      <c r="Q9270" s="387"/>
    </row>
    <row r="9271" spans="15:17" ht="20.100000000000001" customHeight="1">
      <c r="O9271" s="387"/>
      <c r="P9271" s="387"/>
      <c r="Q9271" s="387"/>
    </row>
    <row r="9272" spans="15:17" ht="20.100000000000001" customHeight="1">
      <c r="O9272" s="387"/>
      <c r="P9272" s="387"/>
      <c r="Q9272" s="387"/>
    </row>
    <row r="9273" spans="15:17" ht="20.100000000000001" customHeight="1">
      <c r="O9273" s="387"/>
      <c r="P9273" s="387"/>
      <c r="Q9273" s="387"/>
    </row>
    <row r="9274" spans="15:17" ht="20.100000000000001" customHeight="1">
      <c r="O9274" s="387"/>
      <c r="P9274" s="387"/>
      <c r="Q9274" s="387"/>
    </row>
    <row r="9275" spans="15:17" ht="20.100000000000001" customHeight="1">
      <c r="O9275" s="387"/>
      <c r="P9275" s="387"/>
      <c r="Q9275" s="387"/>
    </row>
    <row r="9276" spans="15:17" ht="20.100000000000001" customHeight="1">
      <c r="O9276" s="387"/>
      <c r="P9276" s="387"/>
      <c r="Q9276" s="387"/>
    </row>
    <row r="9277" spans="15:17" ht="20.100000000000001" customHeight="1">
      <c r="O9277" s="387"/>
      <c r="P9277" s="387"/>
      <c r="Q9277" s="387"/>
    </row>
    <row r="9278" spans="15:17" ht="20.100000000000001" customHeight="1">
      <c r="O9278" s="387"/>
      <c r="P9278" s="387"/>
      <c r="Q9278" s="387"/>
    </row>
    <row r="9279" spans="15:17" ht="20.100000000000001" customHeight="1">
      <c r="O9279" s="387"/>
      <c r="P9279" s="387"/>
      <c r="Q9279" s="387"/>
    </row>
    <row r="9280" spans="15:17" ht="20.100000000000001" customHeight="1">
      <c r="O9280" s="387"/>
      <c r="P9280" s="387"/>
      <c r="Q9280" s="387"/>
    </row>
    <row r="9281" spans="15:17" ht="20.100000000000001" customHeight="1">
      <c r="O9281" s="387"/>
      <c r="P9281" s="387"/>
      <c r="Q9281" s="387"/>
    </row>
    <row r="9282" spans="15:17" ht="20.100000000000001" customHeight="1">
      <c r="O9282" s="387"/>
      <c r="P9282" s="387"/>
      <c r="Q9282" s="387"/>
    </row>
    <row r="9283" spans="15:17" ht="20.100000000000001" customHeight="1">
      <c r="O9283" s="387"/>
      <c r="P9283" s="387"/>
      <c r="Q9283" s="387"/>
    </row>
    <row r="9284" spans="15:17" ht="20.100000000000001" customHeight="1">
      <c r="O9284" s="387"/>
      <c r="P9284" s="387"/>
      <c r="Q9284" s="387"/>
    </row>
    <row r="9285" spans="15:17" ht="20.100000000000001" customHeight="1">
      <c r="O9285" s="387"/>
      <c r="P9285" s="387"/>
      <c r="Q9285" s="387"/>
    </row>
    <row r="9286" spans="15:17" ht="20.100000000000001" customHeight="1">
      <c r="O9286" s="387"/>
      <c r="P9286" s="387"/>
      <c r="Q9286" s="387"/>
    </row>
    <row r="9287" spans="15:17" ht="20.100000000000001" customHeight="1">
      <c r="O9287" s="387"/>
      <c r="P9287" s="387"/>
      <c r="Q9287" s="387"/>
    </row>
    <row r="9288" spans="15:17" ht="20.100000000000001" customHeight="1">
      <c r="O9288" s="387"/>
      <c r="P9288" s="387"/>
      <c r="Q9288" s="387"/>
    </row>
    <row r="9289" spans="15:17" ht="20.100000000000001" customHeight="1">
      <c r="O9289" s="387"/>
      <c r="P9289" s="387"/>
      <c r="Q9289" s="387"/>
    </row>
    <row r="9290" spans="15:17" ht="20.100000000000001" customHeight="1">
      <c r="O9290" s="387"/>
      <c r="P9290" s="387"/>
      <c r="Q9290" s="387"/>
    </row>
    <row r="9291" spans="15:17" ht="20.100000000000001" customHeight="1">
      <c r="O9291" s="387"/>
      <c r="P9291" s="387"/>
      <c r="Q9291" s="387"/>
    </row>
    <row r="9292" spans="15:17" ht="20.100000000000001" customHeight="1">
      <c r="O9292" s="387"/>
      <c r="P9292" s="387"/>
      <c r="Q9292" s="387"/>
    </row>
    <row r="9293" spans="15:17" ht="20.100000000000001" customHeight="1">
      <c r="O9293" s="387"/>
      <c r="P9293" s="387"/>
      <c r="Q9293" s="387"/>
    </row>
    <row r="9294" spans="15:17" ht="20.100000000000001" customHeight="1">
      <c r="O9294" s="387"/>
      <c r="P9294" s="387"/>
      <c r="Q9294" s="387"/>
    </row>
    <row r="9295" spans="15:17" ht="20.100000000000001" customHeight="1">
      <c r="O9295" s="387"/>
      <c r="P9295" s="387"/>
      <c r="Q9295" s="387"/>
    </row>
    <row r="9296" spans="15:17" ht="20.100000000000001" customHeight="1">
      <c r="O9296" s="387"/>
      <c r="P9296" s="387"/>
      <c r="Q9296" s="387"/>
    </row>
    <row r="9297" spans="15:17" ht="20.100000000000001" customHeight="1">
      <c r="O9297" s="387"/>
      <c r="P9297" s="387"/>
      <c r="Q9297" s="387"/>
    </row>
    <row r="9298" spans="15:17" ht="20.100000000000001" customHeight="1">
      <c r="O9298" s="387"/>
      <c r="P9298" s="387"/>
      <c r="Q9298" s="387"/>
    </row>
    <row r="9299" spans="15:17" ht="20.100000000000001" customHeight="1">
      <c r="O9299" s="387"/>
      <c r="P9299" s="387"/>
      <c r="Q9299" s="387"/>
    </row>
    <row r="9300" spans="15:17" ht="20.100000000000001" customHeight="1">
      <c r="O9300" s="387"/>
      <c r="P9300" s="387"/>
      <c r="Q9300" s="387"/>
    </row>
    <row r="9301" spans="15:17" ht="20.100000000000001" customHeight="1">
      <c r="O9301" s="387"/>
      <c r="P9301" s="387"/>
      <c r="Q9301" s="387"/>
    </row>
    <row r="9302" spans="15:17" ht="20.100000000000001" customHeight="1">
      <c r="O9302" s="387"/>
      <c r="P9302" s="387"/>
      <c r="Q9302" s="387"/>
    </row>
    <row r="9303" spans="15:17" ht="20.100000000000001" customHeight="1">
      <c r="O9303" s="387"/>
      <c r="P9303" s="387"/>
      <c r="Q9303" s="387"/>
    </row>
    <row r="9304" spans="15:17" ht="20.100000000000001" customHeight="1">
      <c r="O9304" s="387"/>
      <c r="P9304" s="387"/>
      <c r="Q9304" s="387"/>
    </row>
    <row r="9305" spans="15:17" ht="20.100000000000001" customHeight="1">
      <c r="O9305" s="387"/>
      <c r="P9305" s="387"/>
      <c r="Q9305" s="387"/>
    </row>
    <row r="9306" spans="15:17" ht="20.100000000000001" customHeight="1">
      <c r="O9306" s="387"/>
      <c r="P9306" s="387"/>
      <c r="Q9306" s="387"/>
    </row>
    <row r="9307" spans="15:17" ht="20.100000000000001" customHeight="1">
      <c r="O9307" s="387"/>
      <c r="P9307" s="387"/>
      <c r="Q9307" s="387"/>
    </row>
    <row r="9308" spans="15:17" ht="20.100000000000001" customHeight="1">
      <c r="O9308" s="387"/>
      <c r="P9308" s="387"/>
      <c r="Q9308" s="387"/>
    </row>
    <row r="9309" spans="15:17" ht="20.100000000000001" customHeight="1">
      <c r="O9309" s="387"/>
      <c r="P9309" s="387"/>
      <c r="Q9309" s="387"/>
    </row>
    <row r="9310" spans="15:17" ht="20.100000000000001" customHeight="1">
      <c r="O9310" s="387"/>
      <c r="P9310" s="387"/>
      <c r="Q9310" s="387"/>
    </row>
    <row r="9311" spans="15:17" ht="20.100000000000001" customHeight="1">
      <c r="O9311" s="387"/>
      <c r="P9311" s="387"/>
      <c r="Q9311" s="387"/>
    </row>
    <row r="9312" spans="15:17" ht="20.100000000000001" customHeight="1">
      <c r="O9312" s="387"/>
      <c r="P9312" s="387"/>
      <c r="Q9312" s="387"/>
    </row>
    <row r="9313" spans="15:17" ht="20.100000000000001" customHeight="1">
      <c r="O9313" s="387"/>
      <c r="P9313" s="387"/>
      <c r="Q9313" s="387"/>
    </row>
    <row r="9314" spans="15:17" ht="20.100000000000001" customHeight="1">
      <c r="O9314" s="387"/>
      <c r="P9314" s="387"/>
      <c r="Q9314" s="387"/>
    </row>
    <row r="9315" spans="15:17" ht="20.100000000000001" customHeight="1">
      <c r="O9315" s="387"/>
      <c r="P9315" s="387"/>
      <c r="Q9315" s="387"/>
    </row>
    <row r="9316" spans="15:17" ht="20.100000000000001" customHeight="1">
      <c r="O9316" s="387"/>
      <c r="P9316" s="387"/>
      <c r="Q9316" s="387"/>
    </row>
    <row r="9317" spans="15:17" ht="20.100000000000001" customHeight="1">
      <c r="O9317" s="387"/>
      <c r="P9317" s="387"/>
      <c r="Q9317" s="387"/>
    </row>
    <row r="9318" spans="15:17" ht="20.100000000000001" customHeight="1">
      <c r="O9318" s="387"/>
      <c r="P9318" s="387"/>
      <c r="Q9318" s="387"/>
    </row>
    <row r="9319" spans="15:17" ht="20.100000000000001" customHeight="1">
      <c r="O9319" s="387"/>
      <c r="P9319" s="387"/>
      <c r="Q9319" s="387"/>
    </row>
    <row r="9320" spans="15:17" ht="20.100000000000001" customHeight="1">
      <c r="O9320" s="387"/>
      <c r="P9320" s="387"/>
      <c r="Q9320" s="387"/>
    </row>
    <row r="9321" spans="15:17" ht="20.100000000000001" customHeight="1">
      <c r="O9321" s="387"/>
      <c r="P9321" s="387"/>
      <c r="Q9321" s="387"/>
    </row>
    <row r="9322" spans="15:17" ht="20.100000000000001" customHeight="1">
      <c r="O9322" s="387"/>
      <c r="P9322" s="387"/>
      <c r="Q9322" s="387"/>
    </row>
    <row r="9323" spans="15:17" ht="20.100000000000001" customHeight="1">
      <c r="O9323" s="387"/>
      <c r="P9323" s="387"/>
      <c r="Q9323" s="387"/>
    </row>
    <row r="9324" spans="15:17" ht="20.100000000000001" customHeight="1">
      <c r="O9324" s="387"/>
      <c r="P9324" s="387"/>
      <c r="Q9324" s="387"/>
    </row>
    <row r="9325" spans="15:17" ht="20.100000000000001" customHeight="1">
      <c r="O9325" s="387"/>
      <c r="P9325" s="387"/>
      <c r="Q9325" s="387"/>
    </row>
    <row r="9326" spans="15:17" ht="20.100000000000001" customHeight="1">
      <c r="O9326" s="387"/>
      <c r="P9326" s="387"/>
      <c r="Q9326" s="387"/>
    </row>
    <row r="9327" spans="15:17" ht="20.100000000000001" customHeight="1">
      <c r="O9327" s="387"/>
      <c r="P9327" s="387"/>
      <c r="Q9327" s="387"/>
    </row>
    <row r="9328" spans="15:17" ht="20.100000000000001" customHeight="1">
      <c r="O9328" s="387"/>
      <c r="P9328" s="387"/>
      <c r="Q9328" s="387"/>
    </row>
    <row r="9329" spans="15:17" ht="20.100000000000001" customHeight="1">
      <c r="O9329" s="387"/>
      <c r="P9329" s="387"/>
      <c r="Q9329" s="387"/>
    </row>
    <row r="9330" spans="15:17" ht="20.100000000000001" customHeight="1">
      <c r="O9330" s="387"/>
      <c r="P9330" s="387"/>
      <c r="Q9330" s="387"/>
    </row>
    <row r="9331" spans="15:17" ht="20.100000000000001" customHeight="1">
      <c r="O9331" s="387"/>
      <c r="P9331" s="387"/>
      <c r="Q9331" s="387"/>
    </row>
    <row r="9332" spans="15:17" ht="20.100000000000001" customHeight="1">
      <c r="O9332" s="387"/>
      <c r="P9332" s="387"/>
      <c r="Q9332" s="387"/>
    </row>
    <row r="9333" spans="15:17" ht="20.100000000000001" customHeight="1">
      <c r="O9333" s="387"/>
      <c r="P9333" s="387"/>
      <c r="Q9333" s="387"/>
    </row>
    <row r="9334" spans="15:17" ht="20.100000000000001" customHeight="1">
      <c r="O9334" s="387"/>
      <c r="P9334" s="387"/>
      <c r="Q9334" s="387"/>
    </row>
    <row r="9335" spans="15:17" ht="20.100000000000001" customHeight="1">
      <c r="O9335" s="387"/>
      <c r="P9335" s="387"/>
      <c r="Q9335" s="387"/>
    </row>
    <row r="9336" spans="15:17" ht="20.100000000000001" customHeight="1">
      <c r="O9336" s="387"/>
      <c r="P9336" s="387"/>
      <c r="Q9336" s="387"/>
    </row>
    <row r="9337" spans="15:17" ht="20.100000000000001" customHeight="1">
      <c r="O9337" s="387"/>
      <c r="P9337" s="387"/>
      <c r="Q9337" s="387"/>
    </row>
    <row r="9338" spans="15:17" ht="20.100000000000001" customHeight="1">
      <c r="O9338" s="387"/>
      <c r="P9338" s="387"/>
      <c r="Q9338" s="387"/>
    </row>
    <row r="9339" spans="15:17" ht="20.100000000000001" customHeight="1">
      <c r="O9339" s="387"/>
      <c r="P9339" s="387"/>
      <c r="Q9339" s="387"/>
    </row>
    <row r="9340" spans="15:17" ht="20.100000000000001" customHeight="1">
      <c r="O9340" s="387"/>
      <c r="P9340" s="387"/>
      <c r="Q9340" s="387"/>
    </row>
    <row r="9341" spans="15:17" ht="20.100000000000001" customHeight="1">
      <c r="O9341" s="387"/>
      <c r="P9341" s="387"/>
      <c r="Q9341" s="387"/>
    </row>
    <row r="9342" spans="15:17" ht="20.100000000000001" customHeight="1">
      <c r="O9342" s="387"/>
      <c r="P9342" s="387"/>
      <c r="Q9342" s="387"/>
    </row>
    <row r="9343" spans="15:17" ht="20.100000000000001" customHeight="1">
      <c r="O9343" s="387"/>
      <c r="P9343" s="387"/>
      <c r="Q9343" s="387"/>
    </row>
    <row r="9344" spans="15:17" ht="20.100000000000001" customHeight="1">
      <c r="O9344" s="387"/>
      <c r="P9344" s="387"/>
      <c r="Q9344" s="387"/>
    </row>
    <row r="9345" spans="15:17" ht="20.100000000000001" customHeight="1">
      <c r="O9345" s="387"/>
      <c r="P9345" s="387"/>
      <c r="Q9345" s="387"/>
    </row>
    <row r="9346" spans="15:17" ht="20.100000000000001" customHeight="1">
      <c r="O9346" s="387"/>
      <c r="P9346" s="387"/>
      <c r="Q9346" s="387"/>
    </row>
    <row r="9347" spans="15:17" ht="20.100000000000001" customHeight="1">
      <c r="O9347" s="387"/>
      <c r="P9347" s="387"/>
      <c r="Q9347" s="387"/>
    </row>
    <row r="9348" spans="15:17" ht="20.100000000000001" customHeight="1">
      <c r="O9348" s="387"/>
      <c r="P9348" s="387"/>
      <c r="Q9348" s="387"/>
    </row>
    <row r="9349" spans="15:17" ht="20.100000000000001" customHeight="1">
      <c r="O9349" s="387"/>
      <c r="P9349" s="387"/>
      <c r="Q9349" s="387"/>
    </row>
    <row r="9350" spans="15:17" ht="20.100000000000001" customHeight="1">
      <c r="O9350" s="387"/>
      <c r="P9350" s="387"/>
      <c r="Q9350" s="387"/>
    </row>
    <row r="9351" spans="15:17" ht="20.100000000000001" customHeight="1">
      <c r="O9351" s="387"/>
      <c r="P9351" s="387"/>
      <c r="Q9351" s="387"/>
    </row>
    <row r="9352" spans="15:17" ht="20.100000000000001" customHeight="1">
      <c r="O9352" s="387"/>
      <c r="P9352" s="387"/>
      <c r="Q9352" s="387"/>
    </row>
    <row r="9353" spans="15:17" ht="20.100000000000001" customHeight="1">
      <c r="O9353" s="387"/>
      <c r="P9353" s="387"/>
      <c r="Q9353" s="387"/>
    </row>
    <row r="9354" spans="15:17" ht="20.100000000000001" customHeight="1">
      <c r="O9354" s="387"/>
      <c r="P9354" s="387"/>
      <c r="Q9354" s="387"/>
    </row>
    <row r="9355" spans="15:17" ht="20.100000000000001" customHeight="1">
      <c r="O9355" s="387"/>
      <c r="P9355" s="387"/>
      <c r="Q9355" s="387"/>
    </row>
    <row r="9356" spans="15:17" ht="20.100000000000001" customHeight="1">
      <c r="O9356" s="387"/>
      <c r="P9356" s="387"/>
      <c r="Q9356" s="387"/>
    </row>
    <row r="9357" spans="15:17" ht="20.100000000000001" customHeight="1">
      <c r="O9357" s="387"/>
      <c r="P9357" s="387"/>
      <c r="Q9357" s="387"/>
    </row>
    <row r="9358" spans="15:17" ht="20.100000000000001" customHeight="1">
      <c r="O9358" s="387"/>
      <c r="P9358" s="387"/>
      <c r="Q9358" s="387"/>
    </row>
    <row r="9359" spans="15:17" ht="20.100000000000001" customHeight="1">
      <c r="O9359" s="387"/>
      <c r="P9359" s="387"/>
      <c r="Q9359" s="387"/>
    </row>
    <row r="9360" spans="15:17" ht="20.100000000000001" customHeight="1">
      <c r="O9360" s="387"/>
      <c r="P9360" s="387"/>
      <c r="Q9360" s="387"/>
    </row>
    <row r="9361" spans="15:17" ht="20.100000000000001" customHeight="1">
      <c r="O9361" s="387"/>
      <c r="P9361" s="387"/>
      <c r="Q9361" s="387"/>
    </row>
    <row r="9362" spans="15:17" ht="20.100000000000001" customHeight="1">
      <c r="O9362" s="387"/>
      <c r="P9362" s="387"/>
      <c r="Q9362" s="387"/>
    </row>
    <row r="9363" spans="15:17" ht="20.100000000000001" customHeight="1">
      <c r="O9363" s="387"/>
      <c r="P9363" s="387"/>
      <c r="Q9363" s="387"/>
    </row>
    <row r="9364" spans="15:17" ht="20.100000000000001" customHeight="1">
      <c r="O9364" s="387"/>
      <c r="P9364" s="387"/>
      <c r="Q9364" s="387"/>
    </row>
    <row r="9365" spans="15:17" ht="20.100000000000001" customHeight="1">
      <c r="O9365" s="387"/>
      <c r="P9365" s="387"/>
      <c r="Q9365" s="387"/>
    </row>
    <row r="9366" spans="15:17" ht="20.100000000000001" customHeight="1">
      <c r="O9366" s="387"/>
      <c r="P9366" s="387"/>
      <c r="Q9366" s="387"/>
    </row>
    <row r="9367" spans="15:17" ht="20.100000000000001" customHeight="1">
      <c r="O9367" s="387"/>
      <c r="P9367" s="387"/>
      <c r="Q9367" s="387"/>
    </row>
    <row r="9368" spans="15:17" ht="20.100000000000001" customHeight="1">
      <c r="O9368" s="387"/>
      <c r="P9368" s="387"/>
      <c r="Q9368" s="387"/>
    </row>
    <row r="9369" spans="15:17" ht="20.100000000000001" customHeight="1">
      <c r="O9369" s="387"/>
      <c r="P9369" s="387"/>
      <c r="Q9369" s="387"/>
    </row>
    <row r="9370" spans="15:17" ht="20.100000000000001" customHeight="1">
      <c r="O9370" s="387"/>
      <c r="P9370" s="387"/>
      <c r="Q9370" s="387"/>
    </row>
    <row r="9371" spans="15:17" ht="20.100000000000001" customHeight="1">
      <c r="O9371" s="387"/>
      <c r="P9371" s="387"/>
      <c r="Q9371" s="387"/>
    </row>
    <row r="9372" spans="15:17" ht="20.100000000000001" customHeight="1">
      <c r="O9372" s="387"/>
      <c r="P9372" s="387"/>
      <c r="Q9372" s="387"/>
    </row>
    <row r="9373" spans="15:17" ht="20.100000000000001" customHeight="1">
      <c r="O9373" s="387"/>
      <c r="P9373" s="387"/>
      <c r="Q9373" s="387"/>
    </row>
    <row r="9374" spans="15:17" ht="20.100000000000001" customHeight="1">
      <c r="O9374" s="387"/>
      <c r="P9374" s="387"/>
      <c r="Q9374" s="387"/>
    </row>
    <row r="9375" spans="15:17" ht="20.100000000000001" customHeight="1">
      <c r="O9375" s="387"/>
      <c r="P9375" s="387"/>
      <c r="Q9375" s="387"/>
    </row>
    <row r="9376" spans="15:17" ht="20.100000000000001" customHeight="1">
      <c r="O9376" s="387"/>
      <c r="P9376" s="387"/>
      <c r="Q9376" s="387"/>
    </row>
    <row r="9377" spans="15:17" ht="20.100000000000001" customHeight="1">
      <c r="O9377" s="387"/>
      <c r="P9377" s="387"/>
      <c r="Q9377" s="387"/>
    </row>
    <row r="9378" spans="15:17" ht="20.100000000000001" customHeight="1">
      <c r="O9378" s="387"/>
      <c r="P9378" s="387"/>
      <c r="Q9378" s="387"/>
    </row>
    <row r="9379" spans="15:17" ht="20.100000000000001" customHeight="1">
      <c r="O9379" s="387"/>
      <c r="P9379" s="387"/>
      <c r="Q9379" s="387"/>
    </row>
    <row r="9380" spans="15:17" ht="20.100000000000001" customHeight="1">
      <c r="O9380" s="387"/>
      <c r="P9380" s="387"/>
      <c r="Q9380" s="387"/>
    </row>
    <row r="9381" spans="15:17" ht="20.100000000000001" customHeight="1">
      <c r="O9381" s="387"/>
      <c r="P9381" s="387"/>
      <c r="Q9381" s="387"/>
    </row>
    <row r="9382" spans="15:17" ht="20.100000000000001" customHeight="1">
      <c r="O9382" s="387"/>
      <c r="P9382" s="387"/>
      <c r="Q9382" s="387"/>
    </row>
    <row r="9383" spans="15:17" ht="20.100000000000001" customHeight="1">
      <c r="O9383" s="387"/>
      <c r="P9383" s="387"/>
      <c r="Q9383" s="387"/>
    </row>
    <row r="9384" spans="15:17" ht="20.100000000000001" customHeight="1">
      <c r="O9384" s="387"/>
      <c r="P9384" s="387"/>
      <c r="Q9384" s="387"/>
    </row>
    <row r="9385" spans="15:17" ht="20.100000000000001" customHeight="1">
      <c r="O9385" s="387"/>
      <c r="P9385" s="387"/>
      <c r="Q9385" s="387"/>
    </row>
    <row r="9386" spans="15:17" ht="20.100000000000001" customHeight="1">
      <c r="O9386" s="387"/>
      <c r="P9386" s="387"/>
      <c r="Q9386" s="387"/>
    </row>
    <row r="9387" spans="15:17" ht="20.100000000000001" customHeight="1">
      <c r="O9387" s="387"/>
      <c r="P9387" s="387"/>
      <c r="Q9387" s="387"/>
    </row>
    <row r="9388" spans="15:17" ht="20.100000000000001" customHeight="1">
      <c r="O9388" s="387"/>
      <c r="P9388" s="387"/>
      <c r="Q9388" s="387"/>
    </row>
    <row r="9389" spans="15:17" ht="20.100000000000001" customHeight="1">
      <c r="O9389" s="387"/>
      <c r="P9389" s="387"/>
      <c r="Q9389" s="387"/>
    </row>
    <row r="9390" spans="15:17" ht="20.100000000000001" customHeight="1">
      <c r="O9390" s="387"/>
      <c r="P9390" s="387"/>
      <c r="Q9390" s="387"/>
    </row>
    <row r="9391" spans="15:17" ht="20.100000000000001" customHeight="1">
      <c r="O9391" s="387"/>
      <c r="P9391" s="387"/>
      <c r="Q9391" s="387"/>
    </row>
    <row r="9392" spans="15:17" ht="20.100000000000001" customHeight="1">
      <c r="O9392" s="387"/>
      <c r="P9392" s="387"/>
      <c r="Q9392" s="387"/>
    </row>
    <row r="9393" spans="15:17" ht="20.100000000000001" customHeight="1">
      <c r="O9393" s="387"/>
      <c r="P9393" s="387"/>
      <c r="Q9393" s="387"/>
    </row>
    <row r="9394" spans="15:17" ht="20.100000000000001" customHeight="1">
      <c r="O9394" s="387"/>
      <c r="P9394" s="387"/>
      <c r="Q9394" s="387"/>
    </row>
    <row r="9395" spans="15:17" ht="20.100000000000001" customHeight="1">
      <c r="O9395" s="387"/>
      <c r="P9395" s="387"/>
      <c r="Q9395" s="387"/>
    </row>
    <row r="9396" spans="15:17" ht="20.100000000000001" customHeight="1">
      <c r="O9396" s="387"/>
      <c r="P9396" s="387"/>
      <c r="Q9396" s="387"/>
    </row>
    <row r="9397" spans="15:17" ht="20.100000000000001" customHeight="1">
      <c r="O9397" s="387"/>
      <c r="P9397" s="387"/>
      <c r="Q9397" s="387"/>
    </row>
    <row r="9398" spans="15:17" ht="20.100000000000001" customHeight="1">
      <c r="O9398" s="387"/>
      <c r="P9398" s="387"/>
      <c r="Q9398" s="387"/>
    </row>
    <row r="9399" spans="15:17" ht="20.100000000000001" customHeight="1">
      <c r="O9399" s="387"/>
      <c r="P9399" s="387"/>
      <c r="Q9399" s="387"/>
    </row>
    <row r="9400" spans="15:17" ht="20.100000000000001" customHeight="1">
      <c r="O9400" s="387"/>
      <c r="P9400" s="387"/>
      <c r="Q9400" s="387"/>
    </row>
    <row r="9401" spans="15:17" ht="20.100000000000001" customHeight="1">
      <c r="O9401" s="387"/>
      <c r="P9401" s="387"/>
      <c r="Q9401" s="387"/>
    </row>
    <row r="9402" spans="15:17" ht="20.100000000000001" customHeight="1">
      <c r="O9402" s="387"/>
      <c r="P9402" s="387"/>
      <c r="Q9402" s="387"/>
    </row>
    <row r="9403" spans="15:17" ht="20.100000000000001" customHeight="1">
      <c r="O9403" s="387"/>
      <c r="P9403" s="387"/>
      <c r="Q9403" s="387"/>
    </row>
    <row r="9404" spans="15:17" ht="20.100000000000001" customHeight="1">
      <c r="O9404" s="387"/>
      <c r="P9404" s="387"/>
      <c r="Q9404" s="387"/>
    </row>
    <row r="9405" spans="15:17" ht="20.100000000000001" customHeight="1">
      <c r="O9405" s="387"/>
      <c r="P9405" s="387"/>
      <c r="Q9405" s="387"/>
    </row>
    <row r="9406" spans="15:17" ht="20.100000000000001" customHeight="1">
      <c r="O9406" s="387"/>
      <c r="P9406" s="387"/>
      <c r="Q9406" s="387"/>
    </row>
    <row r="9407" spans="15:17" ht="20.100000000000001" customHeight="1">
      <c r="O9407" s="387"/>
      <c r="P9407" s="387"/>
      <c r="Q9407" s="387"/>
    </row>
    <row r="9408" spans="15:17" ht="20.100000000000001" customHeight="1">
      <c r="O9408" s="387"/>
      <c r="P9408" s="387"/>
      <c r="Q9408" s="387"/>
    </row>
    <row r="9409" spans="15:17" ht="20.100000000000001" customHeight="1">
      <c r="O9409" s="387"/>
      <c r="P9409" s="387"/>
      <c r="Q9409" s="387"/>
    </row>
    <row r="9410" spans="15:17" ht="20.100000000000001" customHeight="1">
      <c r="O9410" s="387"/>
      <c r="P9410" s="387"/>
      <c r="Q9410" s="387"/>
    </row>
    <row r="9411" spans="15:17" ht="20.100000000000001" customHeight="1">
      <c r="O9411" s="387"/>
      <c r="P9411" s="387"/>
      <c r="Q9411" s="387"/>
    </row>
    <row r="9412" spans="15:17" ht="20.100000000000001" customHeight="1">
      <c r="O9412" s="387"/>
      <c r="P9412" s="387"/>
      <c r="Q9412" s="387"/>
    </row>
    <row r="9413" spans="15:17" ht="20.100000000000001" customHeight="1">
      <c r="O9413" s="387"/>
      <c r="P9413" s="387"/>
      <c r="Q9413" s="387"/>
    </row>
    <row r="9414" spans="15:17" ht="20.100000000000001" customHeight="1">
      <c r="O9414" s="387"/>
      <c r="P9414" s="387"/>
      <c r="Q9414" s="387"/>
    </row>
    <row r="9415" spans="15:17" ht="20.100000000000001" customHeight="1">
      <c r="O9415" s="387"/>
      <c r="P9415" s="387"/>
      <c r="Q9415" s="387"/>
    </row>
    <row r="9416" spans="15:17" ht="20.100000000000001" customHeight="1">
      <c r="O9416" s="387"/>
      <c r="P9416" s="387"/>
      <c r="Q9416" s="387"/>
    </row>
    <row r="9417" spans="15:17" ht="20.100000000000001" customHeight="1">
      <c r="O9417" s="387"/>
      <c r="P9417" s="387"/>
      <c r="Q9417" s="387"/>
    </row>
    <row r="9418" spans="15:17" ht="20.100000000000001" customHeight="1">
      <c r="O9418" s="387"/>
      <c r="P9418" s="387"/>
      <c r="Q9418" s="387"/>
    </row>
    <row r="9419" spans="15:17" ht="20.100000000000001" customHeight="1">
      <c r="O9419" s="387"/>
      <c r="P9419" s="387"/>
      <c r="Q9419" s="387"/>
    </row>
    <row r="9420" spans="15:17" ht="20.100000000000001" customHeight="1">
      <c r="O9420" s="387"/>
      <c r="P9420" s="387"/>
      <c r="Q9420" s="387"/>
    </row>
    <row r="9421" spans="15:17" ht="20.100000000000001" customHeight="1">
      <c r="O9421" s="387"/>
      <c r="P9421" s="387"/>
      <c r="Q9421" s="387"/>
    </row>
    <row r="9422" spans="15:17" ht="20.100000000000001" customHeight="1">
      <c r="O9422" s="387"/>
      <c r="P9422" s="387"/>
      <c r="Q9422" s="387"/>
    </row>
    <row r="9423" spans="15:17" ht="20.100000000000001" customHeight="1">
      <c r="O9423" s="387"/>
      <c r="P9423" s="387"/>
      <c r="Q9423" s="387"/>
    </row>
    <row r="9424" spans="15:17" ht="20.100000000000001" customHeight="1">
      <c r="O9424" s="387"/>
      <c r="P9424" s="387"/>
      <c r="Q9424" s="387"/>
    </row>
    <row r="9425" spans="15:17" ht="20.100000000000001" customHeight="1">
      <c r="O9425" s="387"/>
      <c r="P9425" s="387"/>
      <c r="Q9425" s="387"/>
    </row>
    <row r="9426" spans="15:17" ht="20.100000000000001" customHeight="1">
      <c r="O9426" s="387"/>
      <c r="P9426" s="387"/>
      <c r="Q9426" s="387"/>
    </row>
    <row r="9427" spans="15:17" ht="20.100000000000001" customHeight="1">
      <c r="O9427" s="387"/>
      <c r="P9427" s="387"/>
      <c r="Q9427" s="387"/>
    </row>
    <row r="9428" spans="15:17" ht="20.100000000000001" customHeight="1">
      <c r="O9428" s="387"/>
      <c r="P9428" s="387"/>
      <c r="Q9428" s="387"/>
    </row>
    <row r="9429" spans="15:17" ht="20.100000000000001" customHeight="1">
      <c r="O9429" s="387"/>
      <c r="P9429" s="387"/>
      <c r="Q9429" s="387"/>
    </row>
    <row r="9430" spans="15:17" ht="20.100000000000001" customHeight="1">
      <c r="O9430" s="387"/>
      <c r="P9430" s="387"/>
      <c r="Q9430" s="387"/>
    </row>
    <row r="9431" spans="15:17" ht="20.100000000000001" customHeight="1">
      <c r="O9431" s="387"/>
      <c r="P9431" s="387"/>
      <c r="Q9431" s="387"/>
    </row>
    <row r="9432" spans="15:17" ht="20.100000000000001" customHeight="1">
      <c r="O9432" s="387"/>
      <c r="P9432" s="387"/>
      <c r="Q9432" s="387"/>
    </row>
    <row r="9433" spans="15:17" ht="20.100000000000001" customHeight="1">
      <c r="O9433" s="387"/>
      <c r="P9433" s="387"/>
      <c r="Q9433" s="387"/>
    </row>
    <row r="9434" spans="15:17" ht="20.100000000000001" customHeight="1">
      <c r="O9434" s="387"/>
      <c r="P9434" s="387"/>
      <c r="Q9434" s="387"/>
    </row>
    <row r="9435" spans="15:17" ht="20.100000000000001" customHeight="1">
      <c r="O9435" s="387"/>
      <c r="P9435" s="387"/>
      <c r="Q9435" s="387"/>
    </row>
    <row r="9436" spans="15:17" ht="20.100000000000001" customHeight="1">
      <c r="O9436" s="387"/>
      <c r="P9436" s="387"/>
      <c r="Q9436" s="387"/>
    </row>
    <row r="9437" spans="15:17" ht="20.100000000000001" customHeight="1">
      <c r="O9437" s="387"/>
      <c r="P9437" s="387"/>
      <c r="Q9437" s="387"/>
    </row>
    <row r="9438" spans="15:17" ht="20.100000000000001" customHeight="1">
      <c r="O9438" s="387"/>
      <c r="P9438" s="387"/>
      <c r="Q9438" s="387"/>
    </row>
    <row r="9439" spans="15:17" ht="20.100000000000001" customHeight="1">
      <c r="O9439" s="387"/>
      <c r="P9439" s="387"/>
      <c r="Q9439" s="387"/>
    </row>
    <row r="9440" spans="15:17" ht="20.100000000000001" customHeight="1">
      <c r="O9440" s="387"/>
      <c r="P9440" s="387"/>
      <c r="Q9440" s="387"/>
    </row>
    <row r="9441" spans="15:17" ht="20.100000000000001" customHeight="1">
      <c r="O9441" s="387"/>
      <c r="P9441" s="387"/>
      <c r="Q9441" s="387"/>
    </row>
    <row r="9442" spans="15:17" ht="20.100000000000001" customHeight="1">
      <c r="O9442" s="387"/>
      <c r="P9442" s="387"/>
      <c r="Q9442" s="387"/>
    </row>
    <row r="9443" spans="15:17" ht="20.100000000000001" customHeight="1">
      <c r="O9443" s="387"/>
      <c r="P9443" s="387"/>
      <c r="Q9443" s="387"/>
    </row>
    <row r="9444" spans="15:17" ht="20.100000000000001" customHeight="1">
      <c r="O9444" s="387"/>
      <c r="P9444" s="387"/>
      <c r="Q9444" s="387"/>
    </row>
    <row r="9445" spans="15:17" ht="20.100000000000001" customHeight="1">
      <c r="O9445" s="387"/>
      <c r="P9445" s="387"/>
      <c r="Q9445" s="387"/>
    </row>
    <row r="9446" spans="15:17" ht="20.100000000000001" customHeight="1">
      <c r="O9446" s="387"/>
      <c r="P9446" s="387"/>
      <c r="Q9446" s="387"/>
    </row>
    <row r="9447" spans="15:17" ht="20.100000000000001" customHeight="1">
      <c r="O9447" s="387"/>
      <c r="P9447" s="387"/>
      <c r="Q9447" s="387"/>
    </row>
    <row r="9448" spans="15:17" ht="20.100000000000001" customHeight="1">
      <c r="O9448" s="387"/>
      <c r="P9448" s="387"/>
      <c r="Q9448" s="387"/>
    </row>
    <row r="9449" spans="15:17" ht="20.100000000000001" customHeight="1">
      <c r="O9449" s="387"/>
      <c r="P9449" s="387"/>
      <c r="Q9449" s="387"/>
    </row>
    <row r="9450" spans="15:17" ht="20.100000000000001" customHeight="1">
      <c r="O9450" s="387"/>
      <c r="P9450" s="387"/>
      <c r="Q9450" s="387"/>
    </row>
    <row r="9451" spans="15:17" ht="20.100000000000001" customHeight="1">
      <c r="O9451" s="387"/>
      <c r="P9451" s="387"/>
      <c r="Q9451" s="387"/>
    </row>
    <row r="9452" spans="15:17" ht="20.100000000000001" customHeight="1">
      <c r="O9452" s="387"/>
      <c r="P9452" s="387"/>
      <c r="Q9452" s="387"/>
    </row>
    <row r="9453" spans="15:17" ht="20.100000000000001" customHeight="1">
      <c r="O9453" s="387"/>
      <c r="P9453" s="387"/>
      <c r="Q9453" s="387"/>
    </row>
    <row r="9454" spans="15:17" ht="20.100000000000001" customHeight="1">
      <c r="O9454" s="387"/>
      <c r="P9454" s="387"/>
      <c r="Q9454" s="387"/>
    </row>
    <row r="9455" spans="15:17" ht="20.100000000000001" customHeight="1">
      <c r="O9455" s="387"/>
      <c r="P9455" s="387"/>
      <c r="Q9455" s="387"/>
    </row>
    <row r="9456" spans="15:17" ht="20.100000000000001" customHeight="1">
      <c r="O9456" s="387"/>
      <c r="P9456" s="387"/>
      <c r="Q9456" s="387"/>
    </row>
    <row r="9457" spans="15:17" ht="20.100000000000001" customHeight="1">
      <c r="O9457" s="387"/>
      <c r="P9457" s="387"/>
      <c r="Q9457" s="387"/>
    </row>
    <row r="9458" spans="15:17" ht="20.100000000000001" customHeight="1">
      <c r="O9458" s="387"/>
      <c r="P9458" s="387"/>
      <c r="Q9458" s="387"/>
    </row>
    <row r="9459" spans="15:17" ht="20.100000000000001" customHeight="1">
      <c r="O9459" s="387"/>
      <c r="P9459" s="387"/>
      <c r="Q9459" s="387"/>
    </row>
    <row r="9460" spans="15:17" ht="20.100000000000001" customHeight="1">
      <c r="O9460" s="387"/>
      <c r="P9460" s="387"/>
      <c r="Q9460" s="387"/>
    </row>
    <row r="9461" spans="15:17" ht="20.100000000000001" customHeight="1">
      <c r="O9461" s="387"/>
      <c r="P9461" s="387"/>
      <c r="Q9461" s="387"/>
    </row>
    <row r="9462" spans="15:17" ht="20.100000000000001" customHeight="1">
      <c r="O9462" s="387"/>
      <c r="P9462" s="387"/>
      <c r="Q9462" s="387"/>
    </row>
    <row r="9463" spans="15:17" ht="20.100000000000001" customHeight="1">
      <c r="O9463" s="387"/>
      <c r="P9463" s="387"/>
      <c r="Q9463" s="387"/>
    </row>
    <row r="9464" spans="15:17" ht="20.100000000000001" customHeight="1">
      <c r="O9464" s="387"/>
      <c r="P9464" s="387"/>
      <c r="Q9464" s="387"/>
    </row>
    <row r="9465" spans="15:17" ht="20.100000000000001" customHeight="1">
      <c r="O9465" s="387"/>
      <c r="P9465" s="387"/>
      <c r="Q9465" s="387"/>
    </row>
    <row r="9466" spans="15:17" ht="20.100000000000001" customHeight="1">
      <c r="O9466" s="387"/>
      <c r="P9466" s="387"/>
      <c r="Q9466" s="387"/>
    </row>
    <row r="9467" spans="15:17" ht="20.100000000000001" customHeight="1">
      <c r="O9467" s="387"/>
      <c r="P9467" s="387"/>
      <c r="Q9467" s="387"/>
    </row>
    <row r="9468" spans="15:17" ht="20.100000000000001" customHeight="1">
      <c r="O9468" s="387"/>
      <c r="P9468" s="387"/>
      <c r="Q9468" s="387"/>
    </row>
    <row r="9469" spans="15:17" ht="20.100000000000001" customHeight="1">
      <c r="O9469" s="387"/>
      <c r="P9469" s="387"/>
      <c r="Q9469" s="387"/>
    </row>
    <row r="9470" spans="15:17" ht="20.100000000000001" customHeight="1">
      <c r="O9470" s="387"/>
      <c r="P9470" s="387"/>
      <c r="Q9470" s="387"/>
    </row>
    <row r="9471" spans="15:17" ht="20.100000000000001" customHeight="1">
      <c r="O9471" s="387"/>
      <c r="P9471" s="387"/>
      <c r="Q9471" s="387"/>
    </row>
    <row r="9472" spans="15:17" ht="20.100000000000001" customHeight="1">
      <c r="O9472" s="387"/>
      <c r="P9472" s="387"/>
      <c r="Q9472" s="387"/>
    </row>
    <row r="9473" spans="15:17" ht="20.100000000000001" customHeight="1">
      <c r="O9473" s="387"/>
      <c r="P9473" s="387"/>
      <c r="Q9473" s="387"/>
    </row>
    <row r="9474" spans="15:17" ht="20.100000000000001" customHeight="1">
      <c r="O9474" s="387"/>
      <c r="P9474" s="387"/>
      <c r="Q9474" s="387"/>
    </row>
    <row r="9475" spans="15:17" ht="20.100000000000001" customHeight="1">
      <c r="O9475" s="387"/>
      <c r="P9475" s="387"/>
      <c r="Q9475" s="387"/>
    </row>
    <row r="9476" spans="15:17" ht="20.100000000000001" customHeight="1">
      <c r="O9476" s="387"/>
      <c r="P9476" s="387"/>
      <c r="Q9476" s="387"/>
    </row>
    <row r="9477" spans="15:17" ht="20.100000000000001" customHeight="1">
      <c r="O9477" s="387"/>
      <c r="P9477" s="387"/>
      <c r="Q9477" s="387"/>
    </row>
    <row r="9478" spans="15:17" ht="20.100000000000001" customHeight="1">
      <c r="O9478" s="387"/>
      <c r="P9478" s="387"/>
      <c r="Q9478" s="387"/>
    </row>
    <row r="9479" spans="15:17" ht="20.100000000000001" customHeight="1">
      <c r="O9479" s="387"/>
      <c r="P9479" s="387"/>
      <c r="Q9479" s="387"/>
    </row>
    <row r="9480" spans="15:17" ht="20.100000000000001" customHeight="1">
      <c r="O9480" s="387"/>
      <c r="P9480" s="387"/>
      <c r="Q9480" s="387"/>
    </row>
    <row r="9481" spans="15:17" ht="20.100000000000001" customHeight="1">
      <c r="O9481" s="387"/>
      <c r="P9481" s="387"/>
      <c r="Q9481" s="387"/>
    </row>
    <row r="9482" spans="15:17" ht="20.100000000000001" customHeight="1">
      <c r="O9482" s="387"/>
      <c r="P9482" s="387"/>
      <c r="Q9482" s="387"/>
    </row>
    <row r="9483" spans="15:17" ht="20.100000000000001" customHeight="1">
      <c r="O9483" s="387"/>
      <c r="P9483" s="387"/>
      <c r="Q9483" s="387"/>
    </row>
    <row r="9484" spans="15:17" ht="20.100000000000001" customHeight="1">
      <c r="O9484" s="387"/>
      <c r="P9484" s="387"/>
      <c r="Q9484" s="387"/>
    </row>
    <row r="9485" spans="15:17" ht="20.100000000000001" customHeight="1">
      <c r="O9485" s="387"/>
      <c r="P9485" s="387"/>
      <c r="Q9485" s="387"/>
    </row>
    <row r="9486" spans="15:17" ht="20.100000000000001" customHeight="1">
      <c r="O9486" s="387"/>
      <c r="P9486" s="387"/>
      <c r="Q9486" s="387"/>
    </row>
    <row r="9487" spans="15:17" ht="20.100000000000001" customHeight="1">
      <c r="O9487" s="387"/>
      <c r="P9487" s="387"/>
      <c r="Q9487" s="387"/>
    </row>
    <row r="9488" spans="15:17" ht="20.100000000000001" customHeight="1">
      <c r="O9488" s="387"/>
      <c r="P9488" s="387"/>
      <c r="Q9488" s="387"/>
    </row>
    <row r="9489" spans="15:17" ht="20.100000000000001" customHeight="1">
      <c r="O9489" s="387"/>
      <c r="P9489" s="387"/>
      <c r="Q9489" s="387"/>
    </row>
    <row r="9490" spans="15:17" ht="20.100000000000001" customHeight="1">
      <c r="O9490" s="387"/>
      <c r="P9490" s="387"/>
      <c r="Q9490" s="387"/>
    </row>
    <row r="9491" spans="15:17" ht="20.100000000000001" customHeight="1">
      <c r="O9491" s="387"/>
      <c r="P9491" s="387"/>
      <c r="Q9491" s="387"/>
    </row>
    <row r="9492" spans="15:17" ht="20.100000000000001" customHeight="1">
      <c r="O9492" s="387"/>
      <c r="P9492" s="387"/>
      <c r="Q9492" s="387"/>
    </row>
    <row r="9493" spans="15:17" ht="20.100000000000001" customHeight="1">
      <c r="O9493" s="387"/>
      <c r="P9493" s="387"/>
      <c r="Q9493" s="387"/>
    </row>
    <row r="9494" spans="15:17" ht="20.100000000000001" customHeight="1">
      <c r="O9494" s="387"/>
      <c r="P9494" s="387"/>
      <c r="Q9494" s="387"/>
    </row>
    <row r="9495" spans="15:17" ht="20.100000000000001" customHeight="1">
      <c r="O9495" s="387"/>
      <c r="P9495" s="387"/>
      <c r="Q9495" s="387"/>
    </row>
    <row r="9496" spans="15:17" ht="20.100000000000001" customHeight="1">
      <c r="O9496" s="387"/>
      <c r="P9496" s="387"/>
      <c r="Q9496" s="387"/>
    </row>
    <row r="9497" spans="15:17" ht="20.100000000000001" customHeight="1">
      <c r="O9497" s="387"/>
      <c r="P9497" s="387"/>
      <c r="Q9497" s="387"/>
    </row>
    <row r="9498" spans="15:17" ht="20.100000000000001" customHeight="1">
      <c r="O9498" s="387"/>
      <c r="P9498" s="387"/>
      <c r="Q9498" s="387"/>
    </row>
    <row r="9499" spans="15:17" ht="20.100000000000001" customHeight="1">
      <c r="O9499" s="387"/>
      <c r="P9499" s="387"/>
      <c r="Q9499" s="387"/>
    </row>
    <row r="9500" spans="15:17" ht="20.100000000000001" customHeight="1">
      <c r="O9500" s="387"/>
      <c r="P9500" s="387"/>
      <c r="Q9500" s="387"/>
    </row>
    <row r="9501" spans="15:17" ht="20.100000000000001" customHeight="1">
      <c r="O9501" s="387"/>
      <c r="P9501" s="387"/>
      <c r="Q9501" s="387"/>
    </row>
    <row r="9502" spans="15:17" ht="20.100000000000001" customHeight="1">
      <c r="O9502" s="387"/>
      <c r="P9502" s="387"/>
      <c r="Q9502" s="387"/>
    </row>
    <row r="9503" spans="15:17" ht="20.100000000000001" customHeight="1">
      <c r="O9503" s="387"/>
      <c r="P9503" s="387"/>
      <c r="Q9503" s="387"/>
    </row>
    <row r="9504" spans="15:17" ht="20.100000000000001" customHeight="1">
      <c r="O9504" s="387"/>
      <c r="P9504" s="387"/>
      <c r="Q9504" s="387"/>
    </row>
    <row r="9505" spans="15:17" ht="20.100000000000001" customHeight="1">
      <c r="O9505" s="387"/>
      <c r="P9505" s="387"/>
      <c r="Q9505" s="387"/>
    </row>
    <row r="9506" spans="15:17" ht="20.100000000000001" customHeight="1">
      <c r="O9506" s="387"/>
      <c r="P9506" s="387"/>
      <c r="Q9506" s="387"/>
    </row>
    <row r="9507" spans="15:17" ht="20.100000000000001" customHeight="1">
      <c r="O9507" s="387"/>
      <c r="P9507" s="387"/>
      <c r="Q9507" s="387"/>
    </row>
    <row r="9508" spans="15:17" ht="20.100000000000001" customHeight="1">
      <c r="O9508" s="387"/>
      <c r="P9508" s="387"/>
      <c r="Q9508" s="387"/>
    </row>
    <row r="9509" spans="15:17" ht="20.100000000000001" customHeight="1">
      <c r="O9509" s="387"/>
      <c r="P9509" s="387"/>
      <c r="Q9509" s="387"/>
    </row>
    <row r="9510" spans="15:17" ht="20.100000000000001" customHeight="1">
      <c r="O9510" s="387"/>
      <c r="P9510" s="387"/>
      <c r="Q9510" s="387"/>
    </row>
    <row r="9511" spans="15:17" ht="20.100000000000001" customHeight="1">
      <c r="O9511" s="387"/>
      <c r="P9511" s="387"/>
      <c r="Q9511" s="387"/>
    </row>
    <row r="9512" spans="15:17" ht="20.100000000000001" customHeight="1">
      <c r="O9512" s="387"/>
      <c r="P9512" s="387"/>
      <c r="Q9512" s="387"/>
    </row>
    <row r="9513" spans="15:17" ht="20.100000000000001" customHeight="1">
      <c r="O9513" s="387"/>
      <c r="P9513" s="387"/>
      <c r="Q9513" s="387"/>
    </row>
    <row r="9514" spans="15:17" ht="20.100000000000001" customHeight="1">
      <c r="O9514" s="387"/>
      <c r="P9514" s="387"/>
      <c r="Q9514" s="387"/>
    </row>
    <row r="9515" spans="15:17" ht="20.100000000000001" customHeight="1">
      <c r="O9515" s="387"/>
      <c r="P9515" s="387"/>
      <c r="Q9515" s="387"/>
    </row>
    <row r="9516" spans="15:17" ht="20.100000000000001" customHeight="1">
      <c r="O9516" s="387"/>
      <c r="P9516" s="387"/>
      <c r="Q9516" s="387"/>
    </row>
    <row r="9517" spans="15:17" ht="20.100000000000001" customHeight="1">
      <c r="O9517" s="387"/>
      <c r="P9517" s="387"/>
      <c r="Q9517" s="387"/>
    </row>
    <row r="9518" spans="15:17" ht="20.100000000000001" customHeight="1">
      <c r="O9518" s="387"/>
      <c r="P9518" s="387"/>
      <c r="Q9518" s="387"/>
    </row>
    <row r="9519" spans="15:17" ht="20.100000000000001" customHeight="1">
      <c r="O9519" s="387"/>
      <c r="P9519" s="387"/>
      <c r="Q9519" s="387"/>
    </row>
    <row r="9520" spans="15:17" ht="20.100000000000001" customHeight="1">
      <c r="O9520" s="387"/>
      <c r="P9520" s="387"/>
      <c r="Q9520" s="387"/>
    </row>
    <row r="9521" spans="15:17" ht="20.100000000000001" customHeight="1">
      <c r="O9521" s="387"/>
      <c r="P9521" s="387"/>
      <c r="Q9521" s="387"/>
    </row>
    <row r="9522" spans="15:17" ht="20.100000000000001" customHeight="1">
      <c r="O9522" s="387"/>
      <c r="P9522" s="387"/>
      <c r="Q9522" s="387"/>
    </row>
    <row r="9523" spans="15:17" ht="20.100000000000001" customHeight="1">
      <c r="O9523" s="387"/>
      <c r="P9523" s="387"/>
      <c r="Q9523" s="387"/>
    </row>
    <row r="9524" spans="15:17" ht="20.100000000000001" customHeight="1">
      <c r="O9524" s="387"/>
      <c r="P9524" s="387"/>
      <c r="Q9524" s="387"/>
    </row>
    <row r="9525" spans="15:17" ht="20.100000000000001" customHeight="1">
      <c r="O9525" s="387"/>
      <c r="P9525" s="387"/>
      <c r="Q9525" s="387"/>
    </row>
    <row r="9526" spans="15:17" ht="20.100000000000001" customHeight="1">
      <c r="O9526" s="387"/>
      <c r="P9526" s="387"/>
      <c r="Q9526" s="387"/>
    </row>
    <row r="9527" spans="15:17" ht="20.100000000000001" customHeight="1">
      <c r="O9527" s="387"/>
      <c r="P9527" s="387"/>
      <c r="Q9527" s="387"/>
    </row>
    <row r="9528" spans="15:17" ht="20.100000000000001" customHeight="1">
      <c r="O9528" s="387"/>
      <c r="P9528" s="387"/>
      <c r="Q9528" s="387"/>
    </row>
    <row r="9529" spans="15:17" ht="20.100000000000001" customHeight="1">
      <c r="O9529" s="387"/>
      <c r="P9529" s="387"/>
      <c r="Q9529" s="387"/>
    </row>
    <row r="9530" spans="15:17" ht="20.100000000000001" customHeight="1">
      <c r="O9530" s="387"/>
      <c r="P9530" s="387"/>
      <c r="Q9530" s="387"/>
    </row>
    <row r="9531" spans="15:17" ht="20.100000000000001" customHeight="1">
      <c r="O9531" s="387"/>
      <c r="P9531" s="387"/>
      <c r="Q9531" s="387"/>
    </row>
    <row r="9532" spans="15:17" ht="20.100000000000001" customHeight="1">
      <c r="O9532" s="387"/>
      <c r="P9532" s="387"/>
      <c r="Q9532" s="387"/>
    </row>
    <row r="9533" spans="15:17" ht="20.100000000000001" customHeight="1">
      <c r="O9533" s="387"/>
      <c r="P9533" s="387"/>
      <c r="Q9533" s="387"/>
    </row>
    <row r="9534" spans="15:17" ht="20.100000000000001" customHeight="1">
      <c r="O9534" s="387"/>
      <c r="P9534" s="387"/>
      <c r="Q9534" s="387"/>
    </row>
    <row r="9535" spans="15:17" ht="20.100000000000001" customHeight="1">
      <c r="O9535" s="387"/>
      <c r="P9535" s="387"/>
      <c r="Q9535" s="387"/>
    </row>
    <row r="9536" spans="15:17" ht="20.100000000000001" customHeight="1">
      <c r="O9536" s="387"/>
      <c r="P9536" s="387"/>
      <c r="Q9536" s="387"/>
    </row>
    <row r="9537" spans="15:17" ht="20.100000000000001" customHeight="1">
      <c r="O9537" s="387"/>
      <c r="P9537" s="387"/>
      <c r="Q9537" s="387"/>
    </row>
    <row r="9538" spans="15:17" ht="20.100000000000001" customHeight="1">
      <c r="O9538" s="387"/>
      <c r="P9538" s="387"/>
      <c r="Q9538" s="387"/>
    </row>
    <row r="9539" spans="15:17" ht="20.100000000000001" customHeight="1">
      <c r="O9539" s="387"/>
      <c r="P9539" s="387"/>
      <c r="Q9539" s="387"/>
    </row>
    <row r="9540" spans="15:17" ht="20.100000000000001" customHeight="1">
      <c r="O9540" s="387"/>
      <c r="P9540" s="387"/>
      <c r="Q9540" s="387"/>
    </row>
    <row r="9541" spans="15:17" ht="20.100000000000001" customHeight="1">
      <c r="O9541" s="387"/>
      <c r="P9541" s="387"/>
      <c r="Q9541" s="387"/>
    </row>
    <row r="9542" spans="15:17" ht="20.100000000000001" customHeight="1">
      <c r="O9542" s="387"/>
      <c r="P9542" s="387"/>
      <c r="Q9542" s="387"/>
    </row>
    <row r="9543" spans="15:17" ht="20.100000000000001" customHeight="1">
      <c r="O9543" s="387"/>
      <c r="P9543" s="387"/>
      <c r="Q9543" s="387"/>
    </row>
    <row r="9544" spans="15:17" ht="20.100000000000001" customHeight="1">
      <c r="O9544" s="387"/>
      <c r="P9544" s="387"/>
      <c r="Q9544" s="387"/>
    </row>
    <row r="9545" spans="15:17" ht="20.100000000000001" customHeight="1">
      <c r="O9545" s="387"/>
      <c r="P9545" s="387"/>
      <c r="Q9545" s="387"/>
    </row>
    <row r="9546" spans="15:17" ht="20.100000000000001" customHeight="1">
      <c r="O9546" s="387"/>
      <c r="P9546" s="387"/>
      <c r="Q9546" s="387"/>
    </row>
    <row r="9547" spans="15:17" ht="20.100000000000001" customHeight="1">
      <c r="O9547" s="387"/>
      <c r="P9547" s="387"/>
      <c r="Q9547" s="387"/>
    </row>
    <row r="9548" spans="15:17" ht="20.100000000000001" customHeight="1">
      <c r="O9548" s="387"/>
      <c r="P9548" s="387"/>
      <c r="Q9548" s="387"/>
    </row>
    <row r="9549" spans="15:17" ht="20.100000000000001" customHeight="1">
      <c r="O9549" s="387"/>
      <c r="P9549" s="387"/>
      <c r="Q9549" s="387"/>
    </row>
    <row r="9550" spans="15:17" ht="20.100000000000001" customHeight="1">
      <c r="O9550" s="387"/>
      <c r="P9550" s="387"/>
      <c r="Q9550" s="387"/>
    </row>
    <row r="9551" spans="15:17" ht="20.100000000000001" customHeight="1">
      <c r="O9551" s="387"/>
      <c r="P9551" s="387"/>
      <c r="Q9551" s="387"/>
    </row>
    <row r="9552" spans="15:17" ht="20.100000000000001" customHeight="1">
      <c r="O9552" s="387"/>
      <c r="P9552" s="387"/>
      <c r="Q9552" s="387"/>
    </row>
    <row r="9553" spans="15:17" ht="20.100000000000001" customHeight="1">
      <c r="O9553" s="387"/>
      <c r="P9553" s="387"/>
      <c r="Q9553" s="387"/>
    </row>
    <row r="9554" spans="15:17" ht="20.100000000000001" customHeight="1">
      <c r="O9554" s="387"/>
      <c r="P9554" s="387"/>
      <c r="Q9554" s="387"/>
    </row>
    <row r="9555" spans="15:17" ht="20.100000000000001" customHeight="1">
      <c r="O9555" s="387"/>
      <c r="P9555" s="387"/>
      <c r="Q9555" s="387"/>
    </row>
    <row r="9556" spans="15:17" ht="20.100000000000001" customHeight="1">
      <c r="O9556" s="387"/>
      <c r="P9556" s="387"/>
      <c r="Q9556" s="387"/>
    </row>
    <row r="9557" spans="15:17" ht="20.100000000000001" customHeight="1">
      <c r="O9557" s="387"/>
      <c r="P9557" s="387"/>
      <c r="Q9557" s="387"/>
    </row>
    <row r="9558" spans="15:17" ht="20.100000000000001" customHeight="1">
      <c r="O9558" s="387"/>
      <c r="P9558" s="387"/>
      <c r="Q9558" s="387"/>
    </row>
    <row r="9559" spans="15:17" ht="20.100000000000001" customHeight="1">
      <c r="O9559" s="387"/>
      <c r="P9559" s="387"/>
      <c r="Q9559" s="387"/>
    </row>
    <row r="9560" spans="15:17" ht="20.100000000000001" customHeight="1">
      <c r="O9560" s="387"/>
      <c r="P9560" s="387"/>
      <c r="Q9560" s="387"/>
    </row>
    <row r="9561" spans="15:17" ht="20.100000000000001" customHeight="1">
      <c r="O9561" s="387"/>
      <c r="P9561" s="387"/>
      <c r="Q9561" s="387"/>
    </row>
    <row r="9562" spans="15:17" ht="20.100000000000001" customHeight="1">
      <c r="O9562" s="387"/>
      <c r="P9562" s="387"/>
      <c r="Q9562" s="387"/>
    </row>
    <row r="9563" spans="15:17" ht="20.100000000000001" customHeight="1">
      <c r="O9563" s="387"/>
      <c r="P9563" s="387"/>
      <c r="Q9563" s="387"/>
    </row>
    <row r="9564" spans="15:17" ht="20.100000000000001" customHeight="1">
      <c r="O9564" s="387"/>
      <c r="P9564" s="387"/>
      <c r="Q9564" s="387"/>
    </row>
    <row r="9565" spans="15:17" ht="20.100000000000001" customHeight="1">
      <c r="O9565" s="387"/>
      <c r="P9565" s="387"/>
      <c r="Q9565" s="387"/>
    </row>
    <row r="9566" spans="15:17" ht="20.100000000000001" customHeight="1">
      <c r="O9566" s="387"/>
      <c r="P9566" s="387"/>
      <c r="Q9566" s="387"/>
    </row>
    <row r="9567" spans="15:17" ht="20.100000000000001" customHeight="1">
      <c r="O9567" s="387"/>
      <c r="P9567" s="387"/>
      <c r="Q9567" s="387"/>
    </row>
    <row r="9568" spans="15:17" ht="20.100000000000001" customHeight="1">
      <c r="O9568" s="387"/>
      <c r="P9568" s="387"/>
      <c r="Q9568" s="387"/>
    </row>
    <row r="9569" spans="15:17" ht="20.100000000000001" customHeight="1">
      <c r="O9569" s="387"/>
      <c r="P9569" s="387"/>
      <c r="Q9569" s="387"/>
    </row>
    <row r="9570" spans="15:17" ht="20.100000000000001" customHeight="1">
      <c r="O9570" s="387"/>
      <c r="P9570" s="387"/>
      <c r="Q9570" s="387"/>
    </row>
    <row r="9571" spans="15:17" ht="20.100000000000001" customHeight="1">
      <c r="O9571" s="387"/>
      <c r="P9571" s="387"/>
      <c r="Q9571" s="387"/>
    </row>
    <row r="9572" spans="15:17" ht="20.100000000000001" customHeight="1">
      <c r="O9572" s="387"/>
      <c r="P9572" s="387"/>
      <c r="Q9572" s="387"/>
    </row>
    <row r="9573" spans="15:17" ht="20.100000000000001" customHeight="1">
      <c r="O9573" s="387"/>
      <c r="P9573" s="387"/>
      <c r="Q9573" s="387"/>
    </row>
    <row r="9574" spans="15:17" ht="20.100000000000001" customHeight="1">
      <c r="O9574" s="387"/>
      <c r="P9574" s="387"/>
      <c r="Q9574" s="387"/>
    </row>
    <row r="9575" spans="15:17" ht="20.100000000000001" customHeight="1">
      <c r="O9575" s="387"/>
      <c r="P9575" s="387"/>
      <c r="Q9575" s="387"/>
    </row>
    <row r="9576" spans="15:17" ht="20.100000000000001" customHeight="1">
      <c r="O9576" s="387"/>
      <c r="P9576" s="387"/>
      <c r="Q9576" s="387"/>
    </row>
    <row r="9577" spans="15:17" ht="20.100000000000001" customHeight="1">
      <c r="O9577" s="387"/>
      <c r="P9577" s="387"/>
      <c r="Q9577" s="387"/>
    </row>
    <row r="9578" spans="15:17" ht="20.100000000000001" customHeight="1">
      <c r="O9578" s="387"/>
      <c r="P9578" s="387"/>
      <c r="Q9578" s="387"/>
    </row>
    <row r="9579" spans="15:17" ht="20.100000000000001" customHeight="1">
      <c r="O9579" s="387"/>
      <c r="P9579" s="387"/>
      <c r="Q9579" s="387"/>
    </row>
    <row r="9580" spans="15:17" ht="20.100000000000001" customHeight="1">
      <c r="O9580" s="387"/>
      <c r="P9580" s="387"/>
      <c r="Q9580" s="387"/>
    </row>
    <row r="9581" spans="15:17" ht="20.100000000000001" customHeight="1">
      <c r="O9581" s="387"/>
      <c r="P9581" s="387"/>
      <c r="Q9581" s="387"/>
    </row>
    <row r="9582" spans="15:17" ht="20.100000000000001" customHeight="1">
      <c r="O9582" s="387"/>
      <c r="P9582" s="387"/>
      <c r="Q9582" s="387"/>
    </row>
    <row r="9583" spans="15:17" ht="20.100000000000001" customHeight="1">
      <c r="O9583" s="387"/>
      <c r="P9583" s="387"/>
      <c r="Q9583" s="387"/>
    </row>
    <row r="9584" spans="15:17" ht="20.100000000000001" customHeight="1">
      <c r="O9584" s="387"/>
      <c r="P9584" s="387"/>
      <c r="Q9584" s="387"/>
    </row>
    <row r="9585" spans="15:17" ht="20.100000000000001" customHeight="1">
      <c r="O9585" s="387"/>
      <c r="P9585" s="387"/>
      <c r="Q9585" s="387"/>
    </row>
    <row r="9586" spans="15:17" ht="20.100000000000001" customHeight="1">
      <c r="O9586" s="387"/>
      <c r="P9586" s="387"/>
      <c r="Q9586" s="387"/>
    </row>
    <row r="9587" spans="15:17" ht="20.100000000000001" customHeight="1">
      <c r="O9587" s="387"/>
      <c r="P9587" s="387"/>
      <c r="Q9587" s="387"/>
    </row>
    <row r="9588" spans="15:17" ht="20.100000000000001" customHeight="1">
      <c r="O9588" s="387"/>
      <c r="P9588" s="387"/>
      <c r="Q9588" s="387"/>
    </row>
    <row r="9589" spans="15:17" ht="20.100000000000001" customHeight="1">
      <c r="O9589" s="387"/>
      <c r="P9589" s="387"/>
      <c r="Q9589" s="387"/>
    </row>
    <row r="9590" spans="15:17" ht="20.100000000000001" customHeight="1">
      <c r="O9590" s="387"/>
      <c r="P9590" s="387"/>
      <c r="Q9590" s="387"/>
    </row>
    <row r="9591" spans="15:17" ht="20.100000000000001" customHeight="1">
      <c r="O9591" s="387"/>
      <c r="P9591" s="387"/>
      <c r="Q9591" s="387"/>
    </row>
    <row r="9592" spans="15:17" ht="20.100000000000001" customHeight="1">
      <c r="O9592" s="387"/>
      <c r="P9592" s="387"/>
      <c r="Q9592" s="387"/>
    </row>
    <row r="9593" spans="15:17" ht="20.100000000000001" customHeight="1">
      <c r="O9593" s="387"/>
      <c r="P9593" s="387"/>
      <c r="Q9593" s="387"/>
    </row>
    <row r="9594" spans="15:17" ht="20.100000000000001" customHeight="1">
      <c r="O9594" s="387"/>
      <c r="P9594" s="387"/>
      <c r="Q9594" s="387"/>
    </row>
    <row r="9595" spans="15:17" ht="20.100000000000001" customHeight="1">
      <c r="O9595" s="387"/>
      <c r="P9595" s="387"/>
      <c r="Q9595" s="387"/>
    </row>
    <row r="9596" spans="15:17" ht="20.100000000000001" customHeight="1">
      <c r="O9596" s="387"/>
      <c r="P9596" s="387"/>
      <c r="Q9596" s="387"/>
    </row>
    <row r="9597" spans="15:17" ht="20.100000000000001" customHeight="1">
      <c r="O9597" s="387"/>
      <c r="P9597" s="387"/>
      <c r="Q9597" s="387"/>
    </row>
    <row r="9598" spans="15:17" ht="20.100000000000001" customHeight="1">
      <c r="O9598" s="387"/>
      <c r="P9598" s="387"/>
      <c r="Q9598" s="387"/>
    </row>
    <row r="9599" spans="15:17" ht="20.100000000000001" customHeight="1">
      <c r="O9599" s="387"/>
      <c r="P9599" s="387"/>
      <c r="Q9599" s="387"/>
    </row>
    <row r="9600" spans="15:17" ht="20.100000000000001" customHeight="1">
      <c r="O9600" s="387"/>
      <c r="P9600" s="387"/>
      <c r="Q9600" s="387"/>
    </row>
    <row r="9601" spans="15:17" ht="20.100000000000001" customHeight="1">
      <c r="O9601" s="387"/>
      <c r="P9601" s="387"/>
      <c r="Q9601" s="387"/>
    </row>
    <row r="9602" spans="15:17" ht="20.100000000000001" customHeight="1">
      <c r="O9602" s="387"/>
      <c r="P9602" s="387"/>
      <c r="Q9602" s="387"/>
    </row>
    <row r="9603" spans="15:17" ht="20.100000000000001" customHeight="1">
      <c r="O9603" s="387"/>
      <c r="P9603" s="387"/>
      <c r="Q9603" s="387"/>
    </row>
    <row r="9604" spans="15:17" ht="20.100000000000001" customHeight="1">
      <c r="O9604" s="387"/>
      <c r="P9604" s="387"/>
      <c r="Q9604" s="387"/>
    </row>
    <row r="9605" spans="15:17" ht="20.100000000000001" customHeight="1">
      <c r="O9605" s="387"/>
      <c r="P9605" s="387"/>
      <c r="Q9605" s="387"/>
    </row>
    <row r="9606" spans="15:17" ht="20.100000000000001" customHeight="1">
      <c r="O9606" s="387"/>
      <c r="P9606" s="387"/>
      <c r="Q9606" s="387"/>
    </row>
    <row r="9607" spans="15:17" ht="20.100000000000001" customHeight="1">
      <c r="O9607" s="387"/>
      <c r="P9607" s="387"/>
      <c r="Q9607" s="387"/>
    </row>
    <row r="9608" spans="15:17" ht="20.100000000000001" customHeight="1">
      <c r="O9608" s="387"/>
      <c r="P9608" s="387"/>
      <c r="Q9608" s="387"/>
    </row>
    <row r="9609" spans="15:17" ht="20.100000000000001" customHeight="1">
      <c r="O9609" s="387"/>
      <c r="P9609" s="387"/>
      <c r="Q9609" s="387"/>
    </row>
    <row r="9610" spans="15:17" ht="20.100000000000001" customHeight="1">
      <c r="O9610" s="387"/>
      <c r="P9610" s="387"/>
      <c r="Q9610" s="387"/>
    </row>
    <row r="9611" spans="15:17" ht="20.100000000000001" customHeight="1">
      <c r="O9611" s="387"/>
      <c r="P9611" s="387"/>
      <c r="Q9611" s="387"/>
    </row>
    <row r="9612" spans="15:17" ht="20.100000000000001" customHeight="1">
      <c r="O9612" s="387"/>
      <c r="P9612" s="387"/>
      <c r="Q9612" s="387"/>
    </row>
    <row r="9613" spans="15:17" ht="20.100000000000001" customHeight="1">
      <c r="O9613" s="387"/>
      <c r="P9613" s="387"/>
      <c r="Q9613" s="387"/>
    </row>
    <row r="9614" spans="15:17" ht="20.100000000000001" customHeight="1">
      <c r="O9614" s="387"/>
      <c r="P9614" s="387"/>
      <c r="Q9614" s="387"/>
    </row>
    <row r="9615" spans="15:17" ht="20.100000000000001" customHeight="1">
      <c r="O9615" s="387"/>
      <c r="P9615" s="387"/>
      <c r="Q9615" s="387"/>
    </row>
    <row r="9616" spans="15:17" ht="20.100000000000001" customHeight="1">
      <c r="O9616" s="387"/>
      <c r="P9616" s="387"/>
      <c r="Q9616" s="387"/>
    </row>
    <row r="9617" spans="15:17" ht="20.100000000000001" customHeight="1">
      <c r="O9617" s="387"/>
      <c r="P9617" s="387"/>
      <c r="Q9617" s="387"/>
    </row>
    <row r="9618" spans="15:17" ht="20.100000000000001" customHeight="1">
      <c r="O9618" s="387"/>
      <c r="P9618" s="387"/>
      <c r="Q9618" s="387"/>
    </row>
    <row r="9619" spans="15:17" ht="20.100000000000001" customHeight="1">
      <c r="O9619" s="387"/>
      <c r="P9619" s="387"/>
      <c r="Q9619" s="387"/>
    </row>
    <row r="9620" spans="15:17" ht="20.100000000000001" customHeight="1">
      <c r="O9620" s="387"/>
      <c r="P9620" s="387"/>
      <c r="Q9620" s="387"/>
    </row>
    <row r="9621" spans="15:17" ht="20.100000000000001" customHeight="1">
      <c r="O9621" s="387"/>
      <c r="P9621" s="387"/>
      <c r="Q9621" s="387"/>
    </row>
    <row r="9622" spans="15:17" ht="20.100000000000001" customHeight="1">
      <c r="O9622" s="387"/>
      <c r="P9622" s="387"/>
      <c r="Q9622" s="387"/>
    </row>
    <row r="9623" spans="15:17" ht="20.100000000000001" customHeight="1">
      <c r="O9623" s="387"/>
      <c r="P9623" s="387"/>
      <c r="Q9623" s="387"/>
    </row>
    <row r="9624" spans="15:17" ht="20.100000000000001" customHeight="1">
      <c r="O9624" s="387"/>
      <c r="P9624" s="387"/>
      <c r="Q9624" s="387"/>
    </row>
    <row r="9625" spans="15:17" ht="20.100000000000001" customHeight="1">
      <c r="O9625" s="387"/>
      <c r="P9625" s="387"/>
      <c r="Q9625" s="387"/>
    </row>
    <row r="9626" spans="15:17" ht="20.100000000000001" customHeight="1">
      <c r="O9626" s="387"/>
      <c r="P9626" s="387"/>
      <c r="Q9626" s="387"/>
    </row>
    <row r="9627" spans="15:17" ht="20.100000000000001" customHeight="1">
      <c r="O9627" s="387"/>
      <c r="P9627" s="387"/>
      <c r="Q9627" s="387"/>
    </row>
    <row r="9628" spans="15:17" ht="20.100000000000001" customHeight="1">
      <c r="O9628" s="387"/>
      <c r="P9628" s="387"/>
      <c r="Q9628" s="387"/>
    </row>
    <row r="9629" spans="15:17" ht="20.100000000000001" customHeight="1">
      <c r="O9629" s="387"/>
      <c r="P9629" s="387"/>
      <c r="Q9629" s="387"/>
    </row>
    <row r="9630" spans="15:17" ht="20.100000000000001" customHeight="1">
      <c r="O9630" s="387"/>
      <c r="P9630" s="387"/>
      <c r="Q9630" s="387"/>
    </row>
    <row r="9631" spans="15:17" ht="20.100000000000001" customHeight="1">
      <c r="O9631" s="387"/>
      <c r="P9631" s="387"/>
      <c r="Q9631" s="387"/>
    </row>
    <row r="9632" spans="15:17" ht="20.100000000000001" customHeight="1">
      <c r="O9632" s="387"/>
      <c r="P9632" s="387"/>
      <c r="Q9632" s="387"/>
    </row>
    <row r="9633" spans="15:17" ht="20.100000000000001" customHeight="1">
      <c r="O9633" s="387"/>
      <c r="P9633" s="387"/>
      <c r="Q9633" s="387"/>
    </row>
    <row r="9634" spans="15:17" ht="20.100000000000001" customHeight="1">
      <c r="O9634" s="387"/>
      <c r="P9634" s="387"/>
      <c r="Q9634" s="387"/>
    </row>
    <row r="9635" spans="15:17" ht="20.100000000000001" customHeight="1">
      <c r="O9635" s="387"/>
      <c r="P9635" s="387"/>
      <c r="Q9635" s="387"/>
    </row>
    <row r="9636" spans="15:17" ht="20.100000000000001" customHeight="1">
      <c r="O9636" s="387"/>
      <c r="P9636" s="387"/>
      <c r="Q9636" s="387"/>
    </row>
    <row r="9637" spans="15:17" ht="20.100000000000001" customHeight="1">
      <c r="O9637" s="387"/>
      <c r="P9637" s="387"/>
      <c r="Q9637" s="387"/>
    </row>
    <row r="9638" spans="15:17" ht="20.100000000000001" customHeight="1">
      <c r="O9638" s="387"/>
      <c r="P9638" s="387"/>
      <c r="Q9638" s="387"/>
    </row>
    <row r="9639" spans="15:17" ht="20.100000000000001" customHeight="1">
      <c r="O9639" s="387"/>
      <c r="P9639" s="387"/>
      <c r="Q9639" s="387"/>
    </row>
    <row r="9640" spans="15:17" ht="20.100000000000001" customHeight="1">
      <c r="O9640" s="387"/>
      <c r="P9640" s="387"/>
      <c r="Q9640" s="387"/>
    </row>
    <row r="9641" spans="15:17" ht="20.100000000000001" customHeight="1">
      <c r="O9641" s="387"/>
      <c r="P9641" s="387"/>
      <c r="Q9641" s="387"/>
    </row>
    <row r="9642" spans="15:17" ht="20.100000000000001" customHeight="1">
      <c r="O9642" s="387"/>
      <c r="P9642" s="387"/>
      <c r="Q9642" s="387"/>
    </row>
    <row r="9643" spans="15:17" ht="20.100000000000001" customHeight="1">
      <c r="O9643" s="387"/>
      <c r="P9643" s="387"/>
      <c r="Q9643" s="387"/>
    </row>
    <row r="9644" spans="15:17" ht="20.100000000000001" customHeight="1">
      <c r="O9644" s="387"/>
      <c r="P9644" s="387"/>
      <c r="Q9644" s="387"/>
    </row>
    <row r="9645" spans="15:17" ht="20.100000000000001" customHeight="1">
      <c r="O9645" s="387"/>
      <c r="P9645" s="387"/>
      <c r="Q9645" s="387"/>
    </row>
    <row r="9646" spans="15:17" ht="20.100000000000001" customHeight="1">
      <c r="O9646" s="387"/>
      <c r="P9646" s="387"/>
      <c r="Q9646" s="387"/>
    </row>
    <row r="9647" spans="15:17" ht="20.100000000000001" customHeight="1">
      <c r="O9647" s="387"/>
      <c r="P9647" s="387"/>
      <c r="Q9647" s="387"/>
    </row>
    <row r="9648" spans="15:17" ht="20.100000000000001" customHeight="1">
      <c r="O9648" s="387"/>
      <c r="P9648" s="387"/>
      <c r="Q9648" s="387"/>
    </row>
    <row r="9649" spans="15:17" ht="20.100000000000001" customHeight="1">
      <c r="O9649" s="387"/>
      <c r="P9649" s="387"/>
      <c r="Q9649" s="387"/>
    </row>
    <row r="9650" spans="15:17" ht="20.100000000000001" customHeight="1">
      <c r="O9650" s="387"/>
      <c r="P9650" s="387"/>
      <c r="Q9650" s="387"/>
    </row>
    <row r="9651" spans="15:17" ht="20.100000000000001" customHeight="1">
      <c r="O9651" s="387"/>
      <c r="P9651" s="387"/>
      <c r="Q9651" s="387"/>
    </row>
    <row r="9652" spans="15:17" ht="20.100000000000001" customHeight="1">
      <c r="O9652" s="387"/>
      <c r="P9652" s="387"/>
      <c r="Q9652" s="387"/>
    </row>
    <row r="9653" spans="15:17" ht="20.100000000000001" customHeight="1">
      <c r="O9653" s="387"/>
      <c r="P9653" s="387"/>
      <c r="Q9653" s="387"/>
    </row>
    <row r="9654" spans="15:17" ht="20.100000000000001" customHeight="1">
      <c r="O9654" s="387"/>
      <c r="P9654" s="387"/>
      <c r="Q9654" s="387"/>
    </row>
    <row r="9655" spans="15:17" ht="20.100000000000001" customHeight="1">
      <c r="O9655" s="387"/>
      <c r="P9655" s="387"/>
      <c r="Q9655" s="387"/>
    </row>
    <row r="9656" spans="15:17" ht="20.100000000000001" customHeight="1">
      <c r="O9656" s="387"/>
      <c r="P9656" s="387"/>
      <c r="Q9656" s="387"/>
    </row>
    <row r="9657" spans="15:17" ht="20.100000000000001" customHeight="1">
      <c r="O9657" s="387"/>
      <c r="P9657" s="387"/>
      <c r="Q9657" s="387"/>
    </row>
    <row r="9658" spans="15:17" ht="20.100000000000001" customHeight="1">
      <c r="O9658" s="387"/>
      <c r="P9658" s="387"/>
      <c r="Q9658" s="387"/>
    </row>
    <row r="9659" spans="15:17" ht="20.100000000000001" customHeight="1">
      <c r="O9659" s="387"/>
      <c r="P9659" s="387"/>
      <c r="Q9659" s="387"/>
    </row>
    <row r="9660" spans="15:17" ht="20.100000000000001" customHeight="1">
      <c r="O9660" s="387"/>
      <c r="P9660" s="387"/>
      <c r="Q9660" s="387"/>
    </row>
    <row r="9661" spans="15:17" ht="20.100000000000001" customHeight="1">
      <c r="O9661" s="387"/>
      <c r="P9661" s="387"/>
      <c r="Q9661" s="387"/>
    </row>
    <row r="9662" spans="15:17" ht="20.100000000000001" customHeight="1">
      <c r="O9662" s="387"/>
      <c r="P9662" s="387"/>
      <c r="Q9662" s="387"/>
    </row>
    <row r="9663" spans="15:17" ht="20.100000000000001" customHeight="1">
      <c r="O9663" s="387"/>
      <c r="P9663" s="387"/>
      <c r="Q9663" s="387"/>
    </row>
    <row r="9664" spans="15:17" ht="20.100000000000001" customHeight="1">
      <c r="O9664" s="387"/>
      <c r="P9664" s="387"/>
      <c r="Q9664" s="387"/>
    </row>
    <row r="9665" spans="15:17" ht="20.100000000000001" customHeight="1">
      <c r="O9665" s="387"/>
      <c r="P9665" s="387"/>
      <c r="Q9665" s="387"/>
    </row>
    <row r="9666" spans="15:17" ht="20.100000000000001" customHeight="1">
      <c r="O9666" s="387"/>
      <c r="P9666" s="387"/>
      <c r="Q9666" s="387"/>
    </row>
    <row r="9667" spans="15:17" ht="20.100000000000001" customHeight="1">
      <c r="O9667" s="387"/>
      <c r="P9667" s="387"/>
      <c r="Q9667" s="387"/>
    </row>
    <row r="9668" spans="15:17" ht="20.100000000000001" customHeight="1">
      <c r="O9668" s="387"/>
      <c r="P9668" s="387"/>
      <c r="Q9668" s="387"/>
    </row>
    <row r="9669" spans="15:17" ht="20.100000000000001" customHeight="1">
      <c r="O9669" s="387"/>
      <c r="P9669" s="387"/>
      <c r="Q9669" s="387"/>
    </row>
    <row r="9670" spans="15:17" ht="20.100000000000001" customHeight="1">
      <c r="O9670" s="387"/>
      <c r="P9670" s="387"/>
      <c r="Q9670" s="387"/>
    </row>
    <row r="9671" spans="15:17" ht="20.100000000000001" customHeight="1">
      <c r="O9671" s="387"/>
      <c r="P9671" s="387"/>
      <c r="Q9671" s="387"/>
    </row>
    <row r="9672" spans="15:17" ht="20.100000000000001" customHeight="1">
      <c r="O9672" s="387"/>
      <c r="P9672" s="387"/>
      <c r="Q9672" s="387"/>
    </row>
    <row r="9673" spans="15:17" ht="20.100000000000001" customHeight="1">
      <c r="O9673" s="387"/>
      <c r="P9673" s="387"/>
      <c r="Q9673" s="387"/>
    </row>
    <row r="9674" spans="15:17" ht="20.100000000000001" customHeight="1">
      <c r="O9674" s="387"/>
      <c r="P9674" s="387"/>
      <c r="Q9674" s="387"/>
    </row>
    <row r="9675" spans="15:17" ht="20.100000000000001" customHeight="1">
      <c r="O9675" s="387"/>
      <c r="P9675" s="387"/>
      <c r="Q9675" s="387"/>
    </row>
    <row r="9676" spans="15:17" ht="20.100000000000001" customHeight="1">
      <c r="O9676" s="387"/>
      <c r="P9676" s="387"/>
      <c r="Q9676" s="387"/>
    </row>
    <row r="9677" spans="15:17" ht="20.100000000000001" customHeight="1">
      <c r="O9677" s="387"/>
      <c r="P9677" s="387"/>
      <c r="Q9677" s="387"/>
    </row>
    <row r="9678" spans="15:17" ht="20.100000000000001" customHeight="1">
      <c r="O9678" s="387"/>
      <c r="P9678" s="387"/>
      <c r="Q9678" s="387"/>
    </row>
    <row r="9679" spans="15:17" ht="20.100000000000001" customHeight="1">
      <c r="O9679" s="387"/>
      <c r="P9679" s="387"/>
      <c r="Q9679" s="387"/>
    </row>
    <row r="9680" spans="15:17" ht="20.100000000000001" customHeight="1">
      <c r="O9680" s="387"/>
      <c r="P9680" s="387"/>
      <c r="Q9680" s="387"/>
    </row>
    <row r="9681" spans="15:17" ht="20.100000000000001" customHeight="1">
      <c r="O9681" s="387"/>
      <c r="P9681" s="387"/>
      <c r="Q9681" s="387"/>
    </row>
    <row r="9682" spans="15:17" ht="20.100000000000001" customHeight="1">
      <c r="O9682" s="387"/>
      <c r="P9682" s="387"/>
      <c r="Q9682" s="387"/>
    </row>
    <row r="9683" spans="15:17" ht="20.100000000000001" customHeight="1">
      <c r="O9683" s="387"/>
      <c r="P9683" s="387"/>
      <c r="Q9683" s="387"/>
    </row>
    <row r="9684" spans="15:17" ht="20.100000000000001" customHeight="1">
      <c r="O9684" s="387"/>
      <c r="P9684" s="387"/>
      <c r="Q9684" s="387"/>
    </row>
    <row r="9685" spans="15:17" ht="20.100000000000001" customHeight="1">
      <c r="O9685" s="387"/>
      <c r="P9685" s="387"/>
      <c r="Q9685" s="387"/>
    </row>
    <row r="9686" spans="15:17" ht="20.100000000000001" customHeight="1">
      <c r="O9686" s="387"/>
      <c r="P9686" s="387"/>
      <c r="Q9686" s="387"/>
    </row>
    <row r="9687" spans="15:17" ht="20.100000000000001" customHeight="1">
      <c r="O9687" s="387"/>
      <c r="P9687" s="387"/>
      <c r="Q9687" s="387"/>
    </row>
    <row r="9688" spans="15:17" ht="20.100000000000001" customHeight="1">
      <c r="O9688" s="387"/>
      <c r="P9688" s="387"/>
      <c r="Q9688" s="387"/>
    </row>
    <row r="9689" spans="15:17" ht="20.100000000000001" customHeight="1">
      <c r="O9689" s="387"/>
      <c r="P9689" s="387"/>
      <c r="Q9689" s="387"/>
    </row>
    <row r="9690" spans="15:17" ht="20.100000000000001" customHeight="1">
      <c r="O9690" s="387"/>
      <c r="P9690" s="387"/>
      <c r="Q9690" s="387"/>
    </row>
    <row r="9691" spans="15:17" ht="20.100000000000001" customHeight="1">
      <c r="O9691" s="387"/>
      <c r="P9691" s="387"/>
      <c r="Q9691" s="387"/>
    </row>
    <row r="9692" spans="15:17" ht="20.100000000000001" customHeight="1">
      <c r="O9692" s="387"/>
      <c r="P9692" s="387"/>
      <c r="Q9692" s="387"/>
    </row>
    <row r="9693" spans="15:17" ht="20.100000000000001" customHeight="1">
      <c r="O9693" s="387"/>
      <c r="P9693" s="387"/>
      <c r="Q9693" s="387"/>
    </row>
    <row r="9694" spans="15:17" ht="20.100000000000001" customHeight="1">
      <c r="O9694" s="387"/>
      <c r="P9694" s="387"/>
      <c r="Q9694" s="387"/>
    </row>
    <row r="9695" spans="15:17" ht="20.100000000000001" customHeight="1">
      <c r="O9695" s="387"/>
      <c r="P9695" s="387"/>
      <c r="Q9695" s="387"/>
    </row>
    <row r="9696" spans="15:17" ht="20.100000000000001" customHeight="1">
      <c r="O9696" s="387"/>
      <c r="P9696" s="387"/>
      <c r="Q9696" s="387"/>
    </row>
    <row r="9697" spans="15:17" ht="20.100000000000001" customHeight="1">
      <c r="O9697" s="387"/>
      <c r="P9697" s="387"/>
      <c r="Q9697" s="387"/>
    </row>
    <row r="9698" spans="15:17" ht="20.100000000000001" customHeight="1">
      <c r="O9698" s="387"/>
      <c r="P9698" s="387"/>
      <c r="Q9698" s="387"/>
    </row>
    <row r="9699" spans="15:17" ht="20.100000000000001" customHeight="1">
      <c r="O9699" s="387"/>
      <c r="P9699" s="387"/>
      <c r="Q9699" s="387"/>
    </row>
    <row r="9700" spans="15:17" ht="20.100000000000001" customHeight="1">
      <c r="O9700" s="387"/>
      <c r="P9700" s="387"/>
      <c r="Q9700" s="387"/>
    </row>
    <row r="9701" spans="15:17" ht="20.100000000000001" customHeight="1">
      <c r="O9701" s="387"/>
      <c r="P9701" s="387"/>
      <c r="Q9701" s="387"/>
    </row>
    <row r="9702" spans="15:17" ht="20.100000000000001" customHeight="1">
      <c r="O9702" s="387"/>
      <c r="P9702" s="387"/>
      <c r="Q9702" s="387"/>
    </row>
    <row r="9703" spans="15:17" ht="20.100000000000001" customHeight="1">
      <c r="O9703" s="387"/>
      <c r="P9703" s="387"/>
      <c r="Q9703" s="387"/>
    </row>
    <row r="9704" spans="15:17" ht="20.100000000000001" customHeight="1">
      <c r="O9704" s="387"/>
      <c r="P9704" s="387"/>
      <c r="Q9704" s="387"/>
    </row>
    <row r="9705" spans="15:17" ht="20.100000000000001" customHeight="1">
      <c r="O9705" s="387"/>
      <c r="P9705" s="387"/>
      <c r="Q9705" s="387"/>
    </row>
    <row r="9706" spans="15:17" ht="20.100000000000001" customHeight="1">
      <c r="O9706" s="387"/>
      <c r="P9706" s="387"/>
      <c r="Q9706" s="387"/>
    </row>
    <row r="9707" spans="15:17" ht="20.100000000000001" customHeight="1">
      <c r="O9707" s="387"/>
      <c r="P9707" s="387"/>
      <c r="Q9707" s="387"/>
    </row>
    <row r="9708" spans="15:17" ht="20.100000000000001" customHeight="1">
      <c r="O9708" s="387"/>
      <c r="P9708" s="387"/>
      <c r="Q9708" s="387"/>
    </row>
    <row r="9709" spans="15:17" ht="20.100000000000001" customHeight="1">
      <c r="O9709" s="387"/>
      <c r="P9709" s="387"/>
      <c r="Q9709" s="387"/>
    </row>
    <row r="9710" spans="15:17" ht="20.100000000000001" customHeight="1">
      <c r="O9710" s="387"/>
      <c r="P9710" s="387"/>
      <c r="Q9710" s="387"/>
    </row>
    <row r="9711" spans="15:17" ht="20.100000000000001" customHeight="1">
      <c r="O9711" s="387"/>
      <c r="P9711" s="387"/>
      <c r="Q9711" s="387"/>
    </row>
    <row r="9712" spans="15:17" ht="20.100000000000001" customHeight="1">
      <c r="O9712" s="387"/>
      <c r="P9712" s="387"/>
      <c r="Q9712" s="387"/>
    </row>
    <row r="9713" spans="15:17" ht="20.100000000000001" customHeight="1">
      <c r="O9713" s="387"/>
      <c r="P9713" s="387"/>
      <c r="Q9713" s="387"/>
    </row>
    <row r="9714" spans="15:17" ht="20.100000000000001" customHeight="1">
      <c r="O9714" s="387"/>
      <c r="P9714" s="387"/>
      <c r="Q9714" s="387"/>
    </row>
    <row r="9715" spans="15:17" ht="20.100000000000001" customHeight="1">
      <c r="O9715" s="387"/>
      <c r="P9715" s="387"/>
      <c r="Q9715" s="387"/>
    </row>
    <row r="9716" spans="15:17" ht="20.100000000000001" customHeight="1">
      <c r="O9716" s="387"/>
      <c r="P9716" s="387"/>
      <c r="Q9716" s="387"/>
    </row>
    <row r="9717" spans="15:17" ht="20.100000000000001" customHeight="1">
      <c r="O9717" s="387"/>
      <c r="P9717" s="387"/>
      <c r="Q9717" s="387"/>
    </row>
    <row r="9718" spans="15:17" ht="20.100000000000001" customHeight="1">
      <c r="O9718" s="387"/>
      <c r="P9718" s="387"/>
      <c r="Q9718" s="387"/>
    </row>
    <row r="9719" spans="15:17" ht="20.100000000000001" customHeight="1">
      <c r="O9719" s="387"/>
      <c r="P9719" s="387"/>
      <c r="Q9719" s="387"/>
    </row>
    <row r="9720" spans="15:17" ht="20.100000000000001" customHeight="1">
      <c r="O9720" s="387"/>
      <c r="P9720" s="387"/>
      <c r="Q9720" s="387"/>
    </row>
    <row r="9721" spans="15:17" ht="20.100000000000001" customHeight="1">
      <c r="O9721" s="387"/>
      <c r="P9721" s="387"/>
      <c r="Q9721" s="387"/>
    </row>
    <row r="9722" spans="15:17" ht="20.100000000000001" customHeight="1">
      <c r="O9722" s="387"/>
      <c r="P9722" s="387"/>
      <c r="Q9722" s="387"/>
    </row>
    <row r="9723" spans="15:17" ht="20.100000000000001" customHeight="1">
      <c r="O9723" s="387"/>
      <c r="P9723" s="387"/>
      <c r="Q9723" s="387"/>
    </row>
    <row r="9724" spans="15:17" ht="20.100000000000001" customHeight="1">
      <c r="O9724" s="387"/>
      <c r="P9724" s="387"/>
      <c r="Q9724" s="387"/>
    </row>
    <row r="9725" spans="15:17" ht="20.100000000000001" customHeight="1">
      <c r="O9725" s="387"/>
      <c r="P9725" s="387"/>
      <c r="Q9725" s="387"/>
    </row>
    <row r="9726" spans="15:17" ht="20.100000000000001" customHeight="1">
      <c r="O9726" s="387"/>
      <c r="P9726" s="387"/>
      <c r="Q9726" s="387"/>
    </row>
    <row r="9727" spans="15:17" ht="20.100000000000001" customHeight="1">
      <c r="O9727" s="387"/>
      <c r="P9727" s="387"/>
      <c r="Q9727" s="387"/>
    </row>
    <row r="9728" spans="15:17" ht="20.100000000000001" customHeight="1">
      <c r="O9728" s="387"/>
      <c r="P9728" s="387"/>
      <c r="Q9728" s="387"/>
    </row>
    <row r="9729" spans="15:17" ht="20.100000000000001" customHeight="1">
      <c r="O9729" s="387"/>
      <c r="P9729" s="387"/>
      <c r="Q9729" s="387"/>
    </row>
    <row r="9730" spans="15:17" ht="20.100000000000001" customHeight="1">
      <c r="O9730" s="387"/>
      <c r="P9730" s="387"/>
      <c r="Q9730" s="387"/>
    </row>
    <row r="9731" spans="15:17" ht="20.100000000000001" customHeight="1">
      <c r="O9731" s="387"/>
      <c r="P9731" s="387"/>
      <c r="Q9731" s="387"/>
    </row>
    <row r="9732" spans="15:17" ht="20.100000000000001" customHeight="1">
      <c r="O9732" s="387"/>
      <c r="P9732" s="387"/>
      <c r="Q9732" s="387"/>
    </row>
    <row r="9733" spans="15:17" ht="20.100000000000001" customHeight="1">
      <c r="O9733" s="387"/>
      <c r="P9733" s="387"/>
      <c r="Q9733" s="387"/>
    </row>
    <row r="9734" spans="15:17" ht="20.100000000000001" customHeight="1">
      <c r="O9734" s="387"/>
      <c r="P9734" s="387"/>
      <c r="Q9734" s="387"/>
    </row>
    <row r="9735" spans="15:17" ht="20.100000000000001" customHeight="1">
      <c r="O9735" s="387"/>
      <c r="P9735" s="387"/>
      <c r="Q9735" s="387"/>
    </row>
    <row r="9736" spans="15:17" ht="20.100000000000001" customHeight="1">
      <c r="O9736" s="387"/>
      <c r="P9736" s="387"/>
      <c r="Q9736" s="387"/>
    </row>
    <row r="9737" spans="15:17" ht="20.100000000000001" customHeight="1">
      <c r="O9737" s="387"/>
      <c r="P9737" s="387"/>
      <c r="Q9737" s="387"/>
    </row>
    <row r="9738" spans="15:17" ht="20.100000000000001" customHeight="1">
      <c r="O9738" s="387"/>
      <c r="P9738" s="387"/>
      <c r="Q9738" s="387"/>
    </row>
    <row r="9739" spans="15:17" ht="20.100000000000001" customHeight="1">
      <c r="O9739" s="387"/>
      <c r="P9739" s="387"/>
      <c r="Q9739" s="387"/>
    </row>
    <row r="9740" spans="15:17" ht="20.100000000000001" customHeight="1">
      <c r="O9740" s="387"/>
      <c r="P9740" s="387"/>
      <c r="Q9740" s="387"/>
    </row>
    <row r="9741" spans="15:17" ht="20.100000000000001" customHeight="1">
      <c r="O9741" s="387"/>
      <c r="P9741" s="387"/>
      <c r="Q9741" s="387"/>
    </row>
    <row r="9742" spans="15:17" ht="20.100000000000001" customHeight="1">
      <c r="O9742" s="387"/>
      <c r="P9742" s="387"/>
      <c r="Q9742" s="387"/>
    </row>
    <row r="9743" spans="15:17" ht="20.100000000000001" customHeight="1">
      <c r="O9743" s="387"/>
      <c r="P9743" s="387"/>
      <c r="Q9743" s="387"/>
    </row>
    <row r="9744" spans="15:17" ht="20.100000000000001" customHeight="1">
      <c r="O9744" s="387"/>
      <c r="P9744" s="387"/>
      <c r="Q9744" s="387"/>
    </row>
    <row r="9745" spans="15:17" ht="20.100000000000001" customHeight="1">
      <c r="O9745" s="387"/>
      <c r="P9745" s="387"/>
      <c r="Q9745" s="387"/>
    </row>
    <row r="9746" spans="15:17" ht="20.100000000000001" customHeight="1">
      <c r="O9746" s="387"/>
      <c r="P9746" s="387"/>
      <c r="Q9746" s="387"/>
    </row>
    <row r="9747" spans="15:17" ht="20.100000000000001" customHeight="1">
      <c r="O9747" s="387"/>
      <c r="P9747" s="387"/>
      <c r="Q9747" s="387"/>
    </row>
    <row r="9748" spans="15:17" ht="20.100000000000001" customHeight="1">
      <c r="O9748" s="387"/>
      <c r="P9748" s="387"/>
      <c r="Q9748" s="387"/>
    </row>
    <row r="9749" spans="15:17" ht="20.100000000000001" customHeight="1">
      <c r="O9749" s="387"/>
      <c r="P9749" s="387"/>
      <c r="Q9749" s="387"/>
    </row>
    <row r="9750" spans="15:17" ht="20.100000000000001" customHeight="1">
      <c r="O9750" s="387"/>
      <c r="P9750" s="387"/>
      <c r="Q9750" s="387"/>
    </row>
    <row r="9751" spans="15:17" ht="20.100000000000001" customHeight="1">
      <c r="O9751" s="387"/>
      <c r="P9751" s="387"/>
      <c r="Q9751" s="387"/>
    </row>
    <row r="9752" spans="15:17" ht="20.100000000000001" customHeight="1">
      <c r="O9752" s="387"/>
      <c r="P9752" s="387"/>
      <c r="Q9752" s="387"/>
    </row>
    <row r="9753" spans="15:17" ht="20.100000000000001" customHeight="1">
      <c r="O9753" s="387"/>
      <c r="P9753" s="387"/>
      <c r="Q9753" s="387"/>
    </row>
    <row r="9754" spans="15:17" ht="20.100000000000001" customHeight="1">
      <c r="O9754" s="387"/>
      <c r="P9754" s="387"/>
      <c r="Q9754" s="387"/>
    </row>
    <row r="9755" spans="15:17" ht="20.100000000000001" customHeight="1">
      <c r="O9755" s="387"/>
      <c r="P9755" s="387"/>
      <c r="Q9755" s="387"/>
    </row>
    <row r="9756" spans="15:17" ht="20.100000000000001" customHeight="1">
      <c r="O9756" s="387"/>
      <c r="P9756" s="387"/>
      <c r="Q9756" s="387"/>
    </row>
    <row r="9757" spans="15:17" ht="20.100000000000001" customHeight="1">
      <c r="O9757" s="387"/>
      <c r="P9757" s="387"/>
      <c r="Q9757" s="387"/>
    </row>
    <row r="9758" spans="15:17" ht="20.100000000000001" customHeight="1">
      <c r="O9758" s="387"/>
      <c r="P9758" s="387"/>
      <c r="Q9758" s="387"/>
    </row>
    <row r="9759" spans="15:17" ht="20.100000000000001" customHeight="1">
      <c r="O9759" s="387"/>
      <c r="P9759" s="387"/>
      <c r="Q9759" s="387"/>
    </row>
    <row r="9760" spans="15:17" ht="20.100000000000001" customHeight="1">
      <c r="O9760" s="387"/>
      <c r="P9760" s="387"/>
      <c r="Q9760" s="387"/>
    </row>
    <row r="9761" spans="15:17" ht="20.100000000000001" customHeight="1">
      <c r="O9761" s="387"/>
      <c r="P9761" s="387"/>
      <c r="Q9761" s="387"/>
    </row>
    <row r="9762" spans="15:17" ht="20.100000000000001" customHeight="1">
      <c r="O9762" s="387"/>
      <c r="P9762" s="387"/>
      <c r="Q9762" s="387"/>
    </row>
    <row r="9763" spans="15:17" ht="20.100000000000001" customHeight="1">
      <c r="O9763" s="387"/>
      <c r="P9763" s="387"/>
      <c r="Q9763" s="387"/>
    </row>
    <row r="9764" spans="15:17" ht="20.100000000000001" customHeight="1">
      <c r="O9764" s="387"/>
      <c r="P9764" s="387"/>
      <c r="Q9764" s="387"/>
    </row>
    <row r="9765" spans="15:17" ht="20.100000000000001" customHeight="1">
      <c r="O9765" s="387"/>
      <c r="P9765" s="387"/>
      <c r="Q9765" s="387"/>
    </row>
    <row r="9766" spans="15:17" ht="20.100000000000001" customHeight="1">
      <c r="O9766" s="387"/>
      <c r="P9766" s="387"/>
      <c r="Q9766" s="387"/>
    </row>
    <row r="9767" spans="15:17" ht="20.100000000000001" customHeight="1">
      <c r="O9767" s="387"/>
      <c r="P9767" s="387"/>
      <c r="Q9767" s="387"/>
    </row>
    <row r="9768" spans="15:17" ht="20.100000000000001" customHeight="1">
      <c r="O9768" s="387"/>
      <c r="P9768" s="387"/>
      <c r="Q9768" s="387"/>
    </row>
    <row r="9769" spans="15:17" ht="20.100000000000001" customHeight="1">
      <c r="O9769" s="387"/>
      <c r="P9769" s="387"/>
      <c r="Q9769" s="387"/>
    </row>
    <row r="9770" spans="15:17" ht="20.100000000000001" customHeight="1">
      <c r="O9770" s="387"/>
      <c r="P9770" s="387"/>
      <c r="Q9770" s="387"/>
    </row>
    <row r="9771" spans="15:17" ht="20.100000000000001" customHeight="1">
      <c r="O9771" s="387"/>
      <c r="P9771" s="387"/>
      <c r="Q9771" s="387"/>
    </row>
    <row r="9772" spans="15:17" ht="20.100000000000001" customHeight="1">
      <c r="O9772" s="387"/>
      <c r="P9772" s="387"/>
      <c r="Q9772" s="387"/>
    </row>
    <row r="9773" spans="15:17" ht="20.100000000000001" customHeight="1">
      <c r="O9773" s="387"/>
      <c r="P9773" s="387"/>
      <c r="Q9773" s="387"/>
    </row>
    <row r="9774" spans="15:17" ht="20.100000000000001" customHeight="1">
      <c r="O9774" s="387"/>
      <c r="P9774" s="387"/>
      <c r="Q9774" s="387"/>
    </row>
    <row r="9775" spans="15:17" ht="20.100000000000001" customHeight="1">
      <c r="O9775" s="387"/>
      <c r="P9775" s="387"/>
      <c r="Q9775" s="387"/>
    </row>
    <row r="9776" spans="15:17" ht="20.100000000000001" customHeight="1">
      <c r="O9776" s="387"/>
      <c r="P9776" s="387"/>
      <c r="Q9776" s="387"/>
    </row>
    <row r="9777" spans="15:17" ht="20.100000000000001" customHeight="1">
      <c r="O9777" s="387"/>
      <c r="P9777" s="387"/>
      <c r="Q9777" s="387"/>
    </row>
    <row r="9778" spans="15:17" ht="20.100000000000001" customHeight="1">
      <c r="O9778" s="387"/>
      <c r="P9778" s="387"/>
      <c r="Q9778" s="387"/>
    </row>
    <row r="9779" spans="15:17" ht="20.100000000000001" customHeight="1">
      <c r="O9779" s="387"/>
      <c r="P9779" s="387"/>
      <c r="Q9779" s="387"/>
    </row>
    <row r="9780" spans="15:17" ht="20.100000000000001" customHeight="1">
      <c r="O9780" s="387"/>
      <c r="P9780" s="387"/>
      <c r="Q9780" s="387"/>
    </row>
    <row r="9781" spans="15:17" ht="20.100000000000001" customHeight="1">
      <c r="O9781" s="387"/>
      <c r="P9781" s="387"/>
      <c r="Q9781" s="387"/>
    </row>
    <row r="9782" spans="15:17" ht="20.100000000000001" customHeight="1">
      <c r="O9782" s="387"/>
      <c r="P9782" s="387"/>
      <c r="Q9782" s="387"/>
    </row>
    <row r="9783" spans="15:17" ht="20.100000000000001" customHeight="1">
      <c r="O9783" s="387"/>
      <c r="P9783" s="387"/>
      <c r="Q9783" s="387"/>
    </row>
    <row r="9784" spans="15:17" ht="20.100000000000001" customHeight="1">
      <c r="O9784" s="387"/>
      <c r="P9784" s="387"/>
      <c r="Q9784" s="387"/>
    </row>
    <row r="9785" spans="15:17" ht="20.100000000000001" customHeight="1">
      <c r="O9785" s="387"/>
      <c r="P9785" s="387"/>
      <c r="Q9785" s="387"/>
    </row>
    <row r="9786" spans="15:17" ht="20.100000000000001" customHeight="1">
      <c r="O9786" s="387"/>
      <c r="P9786" s="387"/>
      <c r="Q9786" s="387"/>
    </row>
    <row r="9787" spans="15:17" ht="20.100000000000001" customHeight="1">
      <c r="O9787" s="387"/>
      <c r="P9787" s="387"/>
      <c r="Q9787" s="387"/>
    </row>
    <row r="9788" spans="15:17" ht="20.100000000000001" customHeight="1">
      <c r="O9788" s="387"/>
      <c r="P9788" s="387"/>
      <c r="Q9788" s="387"/>
    </row>
    <row r="9789" spans="15:17" ht="20.100000000000001" customHeight="1">
      <c r="O9789" s="387"/>
      <c r="P9789" s="387"/>
      <c r="Q9789" s="387"/>
    </row>
    <row r="9790" spans="15:17" ht="20.100000000000001" customHeight="1">
      <c r="O9790" s="387"/>
      <c r="P9790" s="387"/>
      <c r="Q9790" s="387"/>
    </row>
    <row r="9791" spans="15:17" ht="20.100000000000001" customHeight="1">
      <c r="O9791" s="387"/>
      <c r="P9791" s="387"/>
      <c r="Q9791" s="387"/>
    </row>
    <row r="9792" spans="15:17" ht="20.100000000000001" customHeight="1">
      <c r="O9792" s="387"/>
      <c r="P9792" s="387"/>
      <c r="Q9792" s="387"/>
    </row>
    <row r="9793" spans="15:17" ht="20.100000000000001" customHeight="1">
      <c r="O9793" s="387"/>
      <c r="P9793" s="387"/>
      <c r="Q9793" s="387"/>
    </row>
    <row r="9794" spans="15:17" ht="20.100000000000001" customHeight="1">
      <c r="O9794" s="387"/>
      <c r="P9794" s="387"/>
      <c r="Q9794" s="387"/>
    </row>
    <row r="9795" spans="15:17" ht="20.100000000000001" customHeight="1">
      <c r="O9795" s="387"/>
      <c r="P9795" s="387"/>
      <c r="Q9795" s="387"/>
    </row>
    <row r="9796" spans="15:17" ht="20.100000000000001" customHeight="1">
      <c r="O9796" s="387"/>
      <c r="P9796" s="387"/>
      <c r="Q9796" s="387"/>
    </row>
    <row r="9797" spans="15:17" ht="20.100000000000001" customHeight="1">
      <c r="O9797" s="387"/>
      <c r="P9797" s="387"/>
      <c r="Q9797" s="387"/>
    </row>
    <row r="9798" spans="15:17" ht="20.100000000000001" customHeight="1">
      <c r="O9798" s="387"/>
      <c r="P9798" s="387"/>
      <c r="Q9798" s="387"/>
    </row>
    <row r="9799" spans="15:17" ht="20.100000000000001" customHeight="1">
      <c r="O9799" s="387"/>
      <c r="P9799" s="387"/>
      <c r="Q9799" s="387"/>
    </row>
    <row r="9800" spans="15:17" ht="20.100000000000001" customHeight="1">
      <c r="O9800" s="387"/>
      <c r="P9800" s="387"/>
      <c r="Q9800" s="387"/>
    </row>
    <row r="9801" spans="15:17" ht="20.100000000000001" customHeight="1">
      <c r="O9801" s="387"/>
      <c r="P9801" s="387"/>
      <c r="Q9801" s="387"/>
    </row>
    <row r="9802" spans="15:17" ht="20.100000000000001" customHeight="1">
      <c r="O9802" s="387"/>
      <c r="P9802" s="387"/>
      <c r="Q9802" s="387"/>
    </row>
    <row r="9803" spans="15:17" ht="20.100000000000001" customHeight="1">
      <c r="O9803" s="387"/>
      <c r="P9803" s="387"/>
      <c r="Q9803" s="387"/>
    </row>
    <row r="9804" spans="15:17" ht="20.100000000000001" customHeight="1">
      <c r="O9804" s="387"/>
      <c r="P9804" s="387"/>
      <c r="Q9804" s="387"/>
    </row>
    <row r="9805" spans="15:17" ht="20.100000000000001" customHeight="1">
      <c r="O9805" s="387"/>
      <c r="P9805" s="387"/>
      <c r="Q9805" s="387"/>
    </row>
    <row r="9806" spans="15:17" ht="20.100000000000001" customHeight="1">
      <c r="O9806" s="387"/>
      <c r="P9806" s="387"/>
      <c r="Q9806" s="387"/>
    </row>
    <row r="9807" spans="15:17" ht="20.100000000000001" customHeight="1">
      <c r="O9807" s="387"/>
      <c r="P9807" s="387"/>
      <c r="Q9807" s="387"/>
    </row>
    <row r="9808" spans="15:17" ht="20.100000000000001" customHeight="1">
      <c r="O9808" s="387"/>
      <c r="P9808" s="387"/>
      <c r="Q9808" s="387"/>
    </row>
    <row r="9809" spans="15:17" ht="20.100000000000001" customHeight="1">
      <c r="O9809" s="387"/>
      <c r="P9809" s="387"/>
      <c r="Q9809" s="387"/>
    </row>
    <row r="9810" spans="15:17" ht="20.100000000000001" customHeight="1">
      <c r="O9810" s="387"/>
      <c r="P9810" s="387"/>
      <c r="Q9810" s="387"/>
    </row>
    <row r="9811" spans="15:17" ht="20.100000000000001" customHeight="1">
      <c r="O9811" s="387"/>
      <c r="P9811" s="387"/>
      <c r="Q9811" s="387"/>
    </row>
    <row r="9812" spans="15:17" ht="20.100000000000001" customHeight="1">
      <c r="O9812" s="387"/>
      <c r="P9812" s="387"/>
      <c r="Q9812" s="387"/>
    </row>
    <row r="9813" spans="15:17" ht="20.100000000000001" customHeight="1">
      <c r="O9813" s="387"/>
      <c r="P9813" s="387"/>
      <c r="Q9813" s="387"/>
    </row>
    <row r="9814" spans="15:17" ht="20.100000000000001" customHeight="1">
      <c r="O9814" s="387"/>
      <c r="P9814" s="387"/>
      <c r="Q9814" s="387"/>
    </row>
    <row r="9815" spans="15:17" ht="20.100000000000001" customHeight="1">
      <c r="O9815" s="387"/>
      <c r="P9815" s="387"/>
      <c r="Q9815" s="387"/>
    </row>
    <row r="9816" spans="15:17" ht="20.100000000000001" customHeight="1">
      <c r="O9816" s="387"/>
      <c r="P9816" s="387"/>
      <c r="Q9816" s="387"/>
    </row>
    <row r="9817" spans="15:17" ht="20.100000000000001" customHeight="1">
      <c r="O9817" s="387"/>
      <c r="P9817" s="387"/>
      <c r="Q9817" s="387"/>
    </row>
    <row r="9818" spans="15:17" ht="20.100000000000001" customHeight="1">
      <c r="O9818" s="387"/>
      <c r="P9818" s="387"/>
      <c r="Q9818" s="387"/>
    </row>
    <row r="9819" spans="15:17" ht="20.100000000000001" customHeight="1">
      <c r="O9819" s="387"/>
      <c r="P9819" s="387"/>
      <c r="Q9819" s="387"/>
    </row>
    <row r="9820" spans="15:17" ht="20.100000000000001" customHeight="1">
      <c r="O9820" s="387"/>
      <c r="P9820" s="387"/>
      <c r="Q9820" s="387"/>
    </row>
    <row r="9821" spans="15:17" ht="20.100000000000001" customHeight="1">
      <c r="O9821" s="387"/>
      <c r="P9821" s="387"/>
      <c r="Q9821" s="387"/>
    </row>
    <row r="9822" spans="15:17" ht="20.100000000000001" customHeight="1">
      <c r="O9822" s="387"/>
      <c r="P9822" s="387"/>
      <c r="Q9822" s="387"/>
    </row>
    <row r="9823" spans="15:17" ht="20.100000000000001" customHeight="1">
      <c r="O9823" s="387"/>
      <c r="P9823" s="387"/>
      <c r="Q9823" s="387"/>
    </row>
    <row r="9824" spans="15:17" ht="20.100000000000001" customHeight="1">
      <c r="O9824" s="387"/>
      <c r="P9824" s="387"/>
      <c r="Q9824" s="387"/>
    </row>
    <row r="9825" spans="15:17" ht="20.100000000000001" customHeight="1">
      <c r="O9825" s="387"/>
      <c r="P9825" s="387"/>
      <c r="Q9825" s="387"/>
    </row>
    <row r="9826" spans="15:17" ht="20.100000000000001" customHeight="1">
      <c r="O9826" s="387"/>
      <c r="P9826" s="387"/>
      <c r="Q9826" s="387"/>
    </row>
    <row r="9827" spans="15:17" ht="20.100000000000001" customHeight="1">
      <c r="O9827" s="387"/>
      <c r="P9827" s="387"/>
      <c r="Q9827" s="387"/>
    </row>
    <row r="9828" spans="15:17" ht="20.100000000000001" customHeight="1">
      <c r="O9828" s="387"/>
      <c r="P9828" s="387"/>
      <c r="Q9828" s="387"/>
    </row>
    <row r="9829" spans="15:17" ht="20.100000000000001" customHeight="1">
      <c r="O9829" s="387"/>
      <c r="P9829" s="387"/>
      <c r="Q9829" s="387"/>
    </row>
    <row r="9830" spans="15:17" ht="20.100000000000001" customHeight="1">
      <c r="O9830" s="387"/>
      <c r="P9830" s="387"/>
      <c r="Q9830" s="387"/>
    </row>
    <row r="9831" spans="15:17" ht="20.100000000000001" customHeight="1">
      <c r="O9831" s="387"/>
      <c r="P9831" s="387"/>
      <c r="Q9831" s="387"/>
    </row>
    <row r="9832" spans="15:17" ht="20.100000000000001" customHeight="1">
      <c r="O9832" s="387"/>
      <c r="P9832" s="387"/>
      <c r="Q9832" s="387"/>
    </row>
    <row r="9833" spans="15:17" ht="20.100000000000001" customHeight="1">
      <c r="O9833" s="387"/>
      <c r="P9833" s="387"/>
      <c r="Q9833" s="387"/>
    </row>
    <row r="9834" spans="15:17" ht="20.100000000000001" customHeight="1">
      <c r="O9834" s="387"/>
      <c r="P9834" s="387"/>
      <c r="Q9834" s="387"/>
    </row>
    <row r="9835" spans="15:17" ht="20.100000000000001" customHeight="1">
      <c r="O9835" s="387"/>
      <c r="P9835" s="387"/>
      <c r="Q9835" s="387"/>
    </row>
    <row r="9836" spans="15:17" ht="20.100000000000001" customHeight="1">
      <c r="O9836" s="387"/>
      <c r="P9836" s="387"/>
      <c r="Q9836" s="387"/>
    </row>
    <row r="9837" spans="15:17" ht="20.100000000000001" customHeight="1">
      <c r="O9837" s="387"/>
      <c r="P9837" s="387"/>
      <c r="Q9837" s="387"/>
    </row>
    <row r="9838" spans="15:17" ht="20.100000000000001" customHeight="1">
      <c r="O9838" s="387"/>
      <c r="P9838" s="387"/>
      <c r="Q9838" s="387"/>
    </row>
    <row r="9839" spans="15:17" ht="20.100000000000001" customHeight="1">
      <c r="O9839" s="387"/>
      <c r="P9839" s="387"/>
      <c r="Q9839" s="387"/>
    </row>
    <row r="9840" spans="15:17" ht="20.100000000000001" customHeight="1">
      <c r="O9840" s="387"/>
      <c r="P9840" s="387"/>
      <c r="Q9840" s="387"/>
    </row>
    <row r="9841" spans="15:17" ht="20.100000000000001" customHeight="1">
      <c r="O9841" s="387"/>
      <c r="P9841" s="387"/>
      <c r="Q9841" s="387"/>
    </row>
    <row r="9842" spans="15:17" ht="20.100000000000001" customHeight="1">
      <c r="O9842" s="387"/>
      <c r="P9842" s="387"/>
      <c r="Q9842" s="387"/>
    </row>
    <row r="9843" spans="15:17" ht="20.100000000000001" customHeight="1">
      <c r="O9843" s="387"/>
      <c r="P9843" s="387"/>
      <c r="Q9843" s="387"/>
    </row>
    <row r="9844" spans="15:17" ht="20.100000000000001" customHeight="1">
      <c r="O9844" s="387"/>
      <c r="P9844" s="387"/>
      <c r="Q9844" s="387"/>
    </row>
    <row r="9845" spans="15:17" ht="20.100000000000001" customHeight="1">
      <c r="O9845" s="387"/>
      <c r="P9845" s="387"/>
      <c r="Q9845" s="387"/>
    </row>
    <row r="9846" spans="15:17" ht="20.100000000000001" customHeight="1">
      <c r="O9846" s="387"/>
      <c r="P9846" s="387"/>
      <c r="Q9846" s="387"/>
    </row>
    <row r="9847" spans="15:17" ht="20.100000000000001" customHeight="1">
      <c r="O9847" s="387"/>
      <c r="P9847" s="387"/>
      <c r="Q9847" s="387"/>
    </row>
    <row r="9848" spans="15:17" ht="20.100000000000001" customHeight="1">
      <c r="O9848" s="387"/>
      <c r="P9848" s="387"/>
      <c r="Q9848" s="387"/>
    </row>
    <row r="9849" spans="15:17" ht="20.100000000000001" customHeight="1">
      <c r="O9849" s="387"/>
      <c r="P9849" s="387"/>
      <c r="Q9849" s="387"/>
    </row>
    <row r="9850" spans="15:17" ht="20.100000000000001" customHeight="1">
      <c r="O9850" s="387"/>
      <c r="P9850" s="387"/>
      <c r="Q9850" s="387"/>
    </row>
    <row r="9851" spans="15:17" ht="20.100000000000001" customHeight="1">
      <c r="O9851" s="387"/>
      <c r="P9851" s="387"/>
      <c r="Q9851" s="387"/>
    </row>
    <row r="9852" spans="15:17" ht="20.100000000000001" customHeight="1">
      <c r="O9852" s="387"/>
      <c r="P9852" s="387"/>
      <c r="Q9852" s="387"/>
    </row>
    <row r="9853" spans="15:17" ht="20.100000000000001" customHeight="1">
      <c r="O9853" s="387"/>
      <c r="P9853" s="387"/>
      <c r="Q9853" s="387"/>
    </row>
    <row r="9854" spans="15:17" ht="20.100000000000001" customHeight="1">
      <c r="O9854" s="387"/>
      <c r="P9854" s="387"/>
      <c r="Q9854" s="387"/>
    </row>
    <row r="9855" spans="15:17" ht="20.100000000000001" customHeight="1">
      <c r="O9855" s="387"/>
      <c r="P9855" s="387"/>
      <c r="Q9855" s="387"/>
    </row>
    <row r="9856" spans="15:17" ht="20.100000000000001" customHeight="1">
      <c r="O9856" s="387"/>
      <c r="P9856" s="387"/>
      <c r="Q9856" s="387"/>
    </row>
    <row r="9857" spans="15:17" ht="20.100000000000001" customHeight="1">
      <c r="O9857" s="387"/>
      <c r="P9857" s="387"/>
      <c r="Q9857" s="387"/>
    </row>
    <row r="9858" spans="15:17" ht="20.100000000000001" customHeight="1">
      <c r="O9858" s="387"/>
      <c r="P9858" s="387"/>
      <c r="Q9858" s="387"/>
    </row>
    <row r="9859" spans="15:17" ht="20.100000000000001" customHeight="1">
      <c r="O9859" s="387"/>
      <c r="P9859" s="387"/>
      <c r="Q9859" s="387"/>
    </row>
    <row r="9860" spans="15:17" ht="20.100000000000001" customHeight="1">
      <c r="O9860" s="387"/>
      <c r="P9860" s="387"/>
      <c r="Q9860" s="387"/>
    </row>
    <row r="9861" spans="15:17" ht="20.100000000000001" customHeight="1">
      <c r="O9861" s="387"/>
      <c r="P9861" s="387"/>
      <c r="Q9861" s="387"/>
    </row>
    <row r="9862" spans="15:17" ht="20.100000000000001" customHeight="1">
      <c r="O9862" s="387"/>
      <c r="P9862" s="387"/>
      <c r="Q9862" s="387"/>
    </row>
    <row r="9863" spans="15:17" ht="20.100000000000001" customHeight="1">
      <c r="O9863" s="387"/>
      <c r="P9863" s="387"/>
      <c r="Q9863" s="387"/>
    </row>
    <row r="9864" spans="15:17" ht="20.100000000000001" customHeight="1">
      <c r="O9864" s="387"/>
      <c r="P9864" s="387"/>
      <c r="Q9864" s="387"/>
    </row>
    <row r="9865" spans="15:17" ht="20.100000000000001" customHeight="1">
      <c r="O9865" s="387"/>
      <c r="P9865" s="387"/>
      <c r="Q9865" s="387"/>
    </row>
    <row r="9866" spans="15:17" ht="20.100000000000001" customHeight="1">
      <c r="O9866" s="387"/>
      <c r="P9866" s="387"/>
      <c r="Q9866" s="387"/>
    </row>
    <row r="9867" spans="15:17" ht="20.100000000000001" customHeight="1">
      <c r="O9867" s="387"/>
      <c r="P9867" s="387"/>
      <c r="Q9867" s="387"/>
    </row>
    <row r="9868" spans="15:17" ht="20.100000000000001" customHeight="1">
      <c r="O9868" s="387"/>
      <c r="P9868" s="387"/>
      <c r="Q9868" s="387"/>
    </row>
    <row r="9869" spans="15:17" ht="20.100000000000001" customHeight="1">
      <c r="O9869" s="387"/>
      <c r="P9869" s="387"/>
      <c r="Q9869" s="387"/>
    </row>
    <row r="9870" spans="15:17" ht="20.100000000000001" customHeight="1">
      <c r="O9870" s="387"/>
      <c r="P9870" s="387"/>
      <c r="Q9870" s="387"/>
    </row>
    <row r="9871" spans="15:17" ht="20.100000000000001" customHeight="1">
      <c r="O9871" s="387"/>
      <c r="P9871" s="387"/>
      <c r="Q9871" s="387"/>
    </row>
    <row r="9872" spans="15:17" ht="20.100000000000001" customHeight="1">
      <c r="O9872" s="387"/>
      <c r="P9872" s="387"/>
      <c r="Q9872" s="387"/>
    </row>
    <row r="9873" spans="15:17" ht="20.100000000000001" customHeight="1">
      <c r="O9873" s="387"/>
      <c r="P9873" s="387"/>
      <c r="Q9873" s="387"/>
    </row>
    <row r="9874" spans="15:17" ht="20.100000000000001" customHeight="1">
      <c r="O9874" s="387"/>
      <c r="P9874" s="387"/>
      <c r="Q9874" s="387"/>
    </row>
    <row r="9875" spans="15:17" ht="20.100000000000001" customHeight="1">
      <c r="O9875" s="387"/>
      <c r="P9875" s="387"/>
      <c r="Q9875" s="387"/>
    </row>
    <row r="9876" spans="15:17" ht="20.100000000000001" customHeight="1">
      <c r="O9876" s="387"/>
      <c r="P9876" s="387"/>
      <c r="Q9876" s="387"/>
    </row>
    <row r="9877" spans="15:17" ht="20.100000000000001" customHeight="1">
      <c r="O9877" s="387"/>
      <c r="P9877" s="387"/>
      <c r="Q9877" s="387"/>
    </row>
    <row r="9878" spans="15:17" ht="20.100000000000001" customHeight="1">
      <c r="O9878" s="387"/>
      <c r="P9878" s="387"/>
      <c r="Q9878" s="387"/>
    </row>
    <row r="9879" spans="15:17" ht="20.100000000000001" customHeight="1">
      <c r="O9879" s="387"/>
      <c r="P9879" s="387"/>
      <c r="Q9879" s="387"/>
    </row>
    <row r="9880" spans="15:17" ht="20.100000000000001" customHeight="1">
      <c r="O9880" s="387"/>
      <c r="P9880" s="387"/>
      <c r="Q9880" s="387"/>
    </row>
    <row r="9881" spans="15:17" ht="20.100000000000001" customHeight="1">
      <c r="O9881" s="387"/>
      <c r="P9881" s="387"/>
      <c r="Q9881" s="387"/>
    </row>
    <row r="9882" spans="15:17" ht="20.100000000000001" customHeight="1">
      <c r="O9882" s="387"/>
      <c r="P9882" s="387"/>
      <c r="Q9882" s="387"/>
    </row>
    <row r="9883" spans="15:17" ht="20.100000000000001" customHeight="1">
      <c r="O9883" s="387"/>
      <c r="P9883" s="387"/>
      <c r="Q9883" s="387"/>
    </row>
    <row r="9884" spans="15:17" ht="20.100000000000001" customHeight="1">
      <c r="O9884" s="387"/>
      <c r="P9884" s="387"/>
      <c r="Q9884" s="387"/>
    </row>
    <row r="9885" spans="15:17" ht="20.100000000000001" customHeight="1">
      <c r="O9885" s="387"/>
      <c r="P9885" s="387"/>
      <c r="Q9885" s="387"/>
    </row>
    <row r="9886" spans="15:17" ht="20.100000000000001" customHeight="1">
      <c r="O9886" s="387"/>
      <c r="P9886" s="387"/>
      <c r="Q9886" s="387"/>
    </row>
    <row r="9887" spans="15:17" ht="20.100000000000001" customHeight="1">
      <c r="O9887" s="387"/>
      <c r="P9887" s="387"/>
      <c r="Q9887" s="387"/>
    </row>
    <row r="9888" spans="15:17" ht="20.100000000000001" customHeight="1">
      <c r="O9888" s="387"/>
      <c r="P9888" s="387"/>
      <c r="Q9888" s="387"/>
    </row>
    <row r="9889" spans="15:17" ht="20.100000000000001" customHeight="1">
      <c r="O9889" s="387"/>
      <c r="P9889" s="387"/>
      <c r="Q9889" s="387"/>
    </row>
    <row r="9890" spans="15:17" ht="20.100000000000001" customHeight="1">
      <c r="O9890" s="387"/>
      <c r="P9890" s="387"/>
      <c r="Q9890" s="387"/>
    </row>
    <row r="9891" spans="15:17" ht="20.100000000000001" customHeight="1">
      <c r="O9891" s="387"/>
      <c r="P9891" s="387"/>
      <c r="Q9891" s="387"/>
    </row>
    <row r="9892" spans="15:17" ht="20.100000000000001" customHeight="1">
      <c r="O9892" s="387"/>
      <c r="P9892" s="387"/>
      <c r="Q9892" s="387"/>
    </row>
    <row r="9893" spans="15:17" ht="20.100000000000001" customHeight="1">
      <c r="O9893" s="387"/>
      <c r="P9893" s="387"/>
      <c r="Q9893" s="387"/>
    </row>
    <row r="9894" spans="15:17" ht="20.100000000000001" customHeight="1">
      <c r="O9894" s="387"/>
      <c r="P9894" s="387"/>
      <c r="Q9894" s="387"/>
    </row>
    <row r="9895" spans="15:17" ht="20.100000000000001" customHeight="1">
      <c r="O9895" s="387"/>
      <c r="P9895" s="387"/>
      <c r="Q9895" s="387"/>
    </row>
    <row r="9896" spans="15:17" ht="20.100000000000001" customHeight="1">
      <c r="O9896" s="387"/>
      <c r="P9896" s="387"/>
      <c r="Q9896" s="387"/>
    </row>
    <row r="9897" spans="15:17" ht="20.100000000000001" customHeight="1">
      <c r="O9897" s="387"/>
      <c r="P9897" s="387"/>
      <c r="Q9897" s="387"/>
    </row>
    <row r="9898" spans="15:17" ht="20.100000000000001" customHeight="1">
      <c r="O9898" s="387"/>
      <c r="P9898" s="387"/>
      <c r="Q9898" s="387"/>
    </row>
    <row r="9899" spans="15:17" ht="20.100000000000001" customHeight="1">
      <c r="O9899" s="387"/>
      <c r="P9899" s="387"/>
      <c r="Q9899" s="387"/>
    </row>
    <row r="9900" spans="15:17" ht="20.100000000000001" customHeight="1">
      <c r="O9900" s="387"/>
      <c r="P9900" s="387"/>
      <c r="Q9900" s="387"/>
    </row>
    <row r="9901" spans="15:17" ht="20.100000000000001" customHeight="1">
      <c r="O9901" s="387"/>
      <c r="P9901" s="387"/>
      <c r="Q9901" s="387"/>
    </row>
    <row r="9902" spans="15:17" ht="20.100000000000001" customHeight="1">
      <c r="O9902" s="387"/>
      <c r="P9902" s="387"/>
      <c r="Q9902" s="387"/>
    </row>
    <row r="9903" spans="15:17" ht="20.100000000000001" customHeight="1">
      <c r="O9903" s="387"/>
      <c r="P9903" s="387"/>
      <c r="Q9903" s="387"/>
    </row>
    <row r="9904" spans="15:17" ht="20.100000000000001" customHeight="1">
      <c r="O9904" s="387"/>
      <c r="P9904" s="387"/>
      <c r="Q9904" s="387"/>
    </row>
    <row r="9905" spans="15:17" ht="20.100000000000001" customHeight="1">
      <c r="O9905" s="387"/>
      <c r="P9905" s="387"/>
      <c r="Q9905" s="387"/>
    </row>
    <row r="9906" spans="15:17" ht="20.100000000000001" customHeight="1">
      <c r="O9906" s="387"/>
      <c r="P9906" s="387"/>
      <c r="Q9906" s="387"/>
    </row>
    <row r="9907" spans="15:17" ht="20.100000000000001" customHeight="1">
      <c r="O9907" s="387"/>
      <c r="P9907" s="387"/>
      <c r="Q9907" s="387"/>
    </row>
    <row r="9908" spans="15:17" ht="20.100000000000001" customHeight="1">
      <c r="O9908" s="387"/>
      <c r="P9908" s="387"/>
      <c r="Q9908" s="387"/>
    </row>
    <row r="9909" spans="15:17" ht="20.100000000000001" customHeight="1">
      <c r="O9909" s="387"/>
      <c r="P9909" s="387"/>
      <c r="Q9909" s="387"/>
    </row>
    <row r="9910" spans="15:17" ht="20.100000000000001" customHeight="1">
      <c r="O9910" s="387"/>
      <c r="P9910" s="387"/>
      <c r="Q9910" s="387"/>
    </row>
    <row r="9911" spans="15:17" ht="20.100000000000001" customHeight="1">
      <c r="O9911" s="387"/>
      <c r="P9911" s="387"/>
      <c r="Q9911" s="387"/>
    </row>
    <row r="9912" spans="15:17" ht="20.100000000000001" customHeight="1">
      <c r="O9912" s="387"/>
      <c r="P9912" s="387"/>
      <c r="Q9912" s="387"/>
    </row>
    <row r="9913" spans="15:17" ht="20.100000000000001" customHeight="1">
      <c r="O9913" s="387"/>
      <c r="P9913" s="387"/>
      <c r="Q9913" s="387"/>
    </row>
    <row r="9914" spans="15:17" ht="20.100000000000001" customHeight="1">
      <c r="O9914" s="387"/>
      <c r="P9914" s="387"/>
      <c r="Q9914" s="387"/>
    </row>
    <row r="9915" spans="15:17" ht="20.100000000000001" customHeight="1">
      <c r="O9915" s="387"/>
      <c r="P9915" s="387"/>
      <c r="Q9915" s="387"/>
    </row>
    <row r="9916" spans="15:17" ht="20.100000000000001" customHeight="1">
      <c r="O9916" s="387"/>
      <c r="P9916" s="387"/>
      <c r="Q9916" s="387"/>
    </row>
    <row r="9917" spans="15:17" ht="20.100000000000001" customHeight="1">
      <c r="O9917" s="387"/>
      <c r="P9917" s="387"/>
      <c r="Q9917" s="387"/>
    </row>
    <row r="9918" spans="15:17" ht="20.100000000000001" customHeight="1">
      <c r="O9918" s="387"/>
      <c r="P9918" s="387"/>
      <c r="Q9918" s="387"/>
    </row>
    <row r="9919" spans="15:17" ht="20.100000000000001" customHeight="1">
      <c r="O9919" s="387"/>
      <c r="P9919" s="387"/>
      <c r="Q9919" s="387"/>
    </row>
    <row r="9920" spans="15:17" ht="20.100000000000001" customHeight="1">
      <c r="O9920" s="387"/>
      <c r="P9920" s="387"/>
      <c r="Q9920" s="387"/>
    </row>
    <row r="9921" spans="15:17" ht="20.100000000000001" customHeight="1">
      <c r="O9921" s="387"/>
      <c r="P9921" s="387"/>
      <c r="Q9921" s="387"/>
    </row>
    <row r="9922" spans="15:17" ht="20.100000000000001" customHeight="1">
      <c r="O9922" s="387"/>
      <c r="P9922" s="387"/>
      <c r="Q9922" s="387"/>
    </row>
    <row r="9923" spans="15:17" ht="20.100000000000001" customHeight="1">
      <c r="O9923" s="387"/>
      <c r="P9923" s="387"/>
      <c r="Q9923" s="387"/>
    </row>
    <row r="9924" spans="15:17" ht="20.100000000000001" customHeight="1">
      <c r="O9924" s="387"/>
      <c r="P9924" s="387"/>
      <c r="Q9924" s="387"/>
    </row>
    <row r="9925" spans="15:17" ht="20.100000000000001" customHeight="1">
      <c r="O9925" s="387"/>
      <c r="P9925" s="387"/>
      <c r="Q9925" s="387"/>
    </row>
    <row r="9926" spans="15:17" ht="20.100000000000001" customHeight="1">
      <c r="O9926" s="387"/>
      <c r="P9926" s="387"/>
      <c r="Q9926" s="387"/>
    </row>
    <row r="9927" spans="15:17" ht="20.100000000000001" customHeight="1">
      <c r="O9927" s="387"/>
      <c r="P9927" s="387"/>
      <c r="Q9927" s="387"/>
    </row>
    <row r="9928" spans="15:17" ht="20.100000000000001" customHeight="1">
      <c r="O9928" s="387"/>
      <c r="P9928" s="387"/>
      <c r="Q9928" s="387"/>
    </row>
    <row r="9929" spans="15:17" ht="20.100000000000001" customHeight="1">
      <c r="O9929" s="387"/>
      <c r="P9929" s="387"/>
      <c r="Q9929" s="387"/>
    </row>
    <row r="9930" spans="15:17" ht="20.100000000000001" customHeight="1">
      <c r="O9930" s="387"/>
      <c r="P9930" s="387"/>
      <c r="Q9930" s="387"/>
    </row>
    <row r="9931" spans="15:17" ht="20.100000000000001" customHeight="1">
      <c r="O9931" s="387"/>
      <c r="P9931" s="387"/>
      <c r="Q9931" s="387"/>
    </row>
    <row r="9932" spans="15:17" ht="20.100000000000001" customHeight="1">
      <c r="O9932" s="387"/>
      <c r="P9932" s="387"/>
      <c r="Q9932" s="387"/>
    </row>
    <row r="9933" spans="15:17" ht="20.100000000000001" customHeight="1">
      <c r="O9933" s="387"/>
      <c r="P9933" s="387"/>
      <c r="Q9933" s="387"/>
    </row>
    <row r="9934" spans="15:17" ht="20.100000000000001" customHeight="1">
      <c r="O9934" s="387"/>
      <c r="P9934" s="387"/>
      <c r="Q9934" s="387"/>
    </row>
    <row r="9935" spans="15:17" ht="20.100000000000001" customHeight="1">
      <c r="O9935" s="387"/>
      <c r="P9935" s="387"/>
      <c r="Q9935" s="387"/>
    </row>
    <row r="9936" spans="15:17" ht="20.100000000000001" customHeight="1">
      <c r="O9936" s="387"/>
      <c r="P9936" s="387"/>
      <c r="Q9936" s="387"/>
    </row>
    <row r="9937" spans="15:17" ht="20.100000000000001" customHeight="1">
      <c r="O9937" s="387"/>
      <c r="P9937" s="387"/>
      <c r="Q9937" s="387"/>
    </row>
    <row r="9938" spans="15:17" ht="20.100000000000001" customHeight="1">
      <c r="O9938" s="387"/>
      <c r="P9938" s="387"/>
      <c r="Q9938" s="387"/>
    </row>
    <row r="9939" spans="15:17" ht="20.100000000000001" customHeight="1">
      <c r="O9939" s="387"/>
      <c r="P9939" s="387"/>
      <c r="Q9939" s="387"/>
    </row>
    <row r="9940" spans="15:17" ht="20.100000000000001" customHeight="1">
      <c r="O9940" s="387"/>
      <c r="P9940" s="387"/>
      <c r="Q9940" s="387"/>
    </row>
    <row r="9941" spans="15:17" ht="20.100000000000001" customHeight="1">
      <c r="O9941" s="387"/>
      <c r="P9941" s="387"/>
      <c r="Q9941" s="387"/>
    </row>
    <row r="9942" spans="15:17" ht="20.100000000000001" customHeight="1">
      <c r="O9942" s="387"/>
      <c r="P9942" s="387"/>
      <c r="Q9942" s="387"/>
    </row>
    <row r="9943" spans="15:17" ht="20.100000000000001" customHeight="1">
      <c r="O9943" s="387"/>
      <c r="P9943" s="387"/>
      <c r="Q9943" s="387"/>
    </row>
    <row r="9944" spans="15:17" ht="20.100000000000001" customHeight="1">
      <c r="O9944" s="387"/>
      <c r="P9944" s="387"/>
      <c r="Q9944" s="387"/>
    </row>
    <row r="9945" spans="15:17" ht="20.100000000000001" customHeight="1">
      <c r="O9945" s="387"/>
      <c r="P9945" s="387"/>
      <c r="Q9945" s="387"/>
    </row>
    <row r="9946" spans="15:17" ht="20.100000000000001" customHeight="1">
      <c r="O9946" s="387"/>
      <c r="P9946" s="387"/>
      <c r="Q9946" s="387"/>
    </row>
    <row r="9947" spans="15:17" ht="20.100000000000001" customHeight="1">
      <c r="O9947" s="387"/>
      <c r="P9947" s="387"/>
      <c r="Q9947" s="387"/>
    </row>
    <row r="9948" spans="15:17" ht="20.100000000000001" customHeight="1">
      <c r="O9948" s="387"/>
      <c r="P9948" s="387"/>
      <c r="Q9948" s="387"/>
    </row>
    <row r="9949" spans="15:17" ht="20.100000000000001" customHeight="1">
      <c r="O9949" s="387"/>
      <c r="P9949" s="387"/>
      <c r="Q9949" s="387"/>
    </row>
    <row r="9950" spans="15:17" ht="20.100000000000001" customHeight="1">
      <c r="O9950" s="387"/>
      <c r="P9950" s="387"/>
      <c r="Q9950" s="387"/>
    </row>
    <row r="9951" spans="15:17" ht="20.100000000000001" customHeight="1">
      <c r="O9951" s="387"/>
      <c r="P9951" s="387"/>
      <c r="Q9951" s="387"/>
    </row>
    <row r="9952" spans="15:17" ht="20.100000000000001" customHeight="1">
      <c r="O9952" s="387"/>
      <c r="P9952" s="387"/>
      <c r="Q9952" s="387"/>
    </row>
    <row r="9953" spans="15:17" ht="20.100000000000001" customHeight="1">
      <c r="O9953" s="387"/>
      <c r="P9953" s="387"/>
      <c r="Q9953" s="387"/>
    </row>
    <row r="9954" spans="15:17" ht="20.100000000000001" customHeight="1">
      <c r="O9954" s="387"/>
      <c r="P9954" s="387"/>
      <c r="Q9954" s="387"/>
    </row>
    <row r="9955" spans="15:17" ht="20.100000000000001" customHeight="1">
      <c r="O9955" s="387"/>
      <c r="P9955" s="387"/>
      <c r="Q9955" s="387"/>
    </row>
    <row r="9956" spans="15:17" ht="20.100000000000001" customHeight="1">
      <c r="O9956" s="387"/>
      <c r="P9956" s="387"/>
      <c r="Q9956" s="387"/>
    </row>
    <row r="9957" spans="15:17" ht="20.100000000000001" customHeight="1">
      <c r="O9957" s="387"/>
      <c r="P9957" s="387"/>
      <c r="Q9957" s="387"/>
    </row>
    <row r="9958" spans="15:17" ht="20.100000000000001" customHeight="1">
      <c r="O9958" s="387"/>
      <c r="P9958" s="387"/>
      <c r="Q9958" s="387"/>
    </row>
    <row r="9959" spans="15:17" ht="20.100000000000001" customHeight="1">
      <c r="O9959" s="387"/>
      <c r="P9959" s="387"/>
      <c r="Q9959" s="387"/>
    </row>
    <row r="9960" spans="15:17" ht="20.100000000000001" customHeight="1">
      <c r="O9960" s="387"/>
      <c r="P9960" s="387"/>
      <c r="Q9960" s="387"/>
    </row>
    <row r="9961" spans="15:17" ht="20.100000000000001" customHeight="1">
      <c r="O9961" s="387"/>
      <c r="P9961" s="387"/>
      <c r="Q9961" s="387"/>
    </row>
    <row r="9962" spans="15:17" ht="20.100000000000001" customHeight="1">
      <c r="O9962" s="387"/>
      <c r="P9962" s="387"/>
      <c r="Q9962" s="387"/>
    </row>
    <row r="9963" spans="15:17" ht="20.100000000000001" customHeight="1">
      <c r="O9963" s="387"/>
      <c r="P9963" s="387"/>
      <c r="Q9963" s="387"/>
    </row>
    <row r="9964" spans="15:17" ht="20.100000000000001" customHeight="1">
      <c r="O9964" s="387"/>
      <c r="P9964" s="387"/>
      <c r="Q9964" s="387"/>
    </row>
    <row r="9965" spans="15:17" ht="20.100000000000001" customHeight="1">
      <c r="O9965" s="387"/>
      <c r="P9965" s="387"/>
      <c r="Q9965" s="387"/>
    </row>
    <row r="9966" spans="15:17" ht="20.100000000000001" customHeight="1">
      <c r="O9966" s="387"/>
      <c r="P9966" s="387"/>
      <c r="Q9966" s="387"/>
    </row>
    <row r="9967" spans="15:17" ht="20.100000000000001" customHeight="1">
      <c r="O9967" s="387"/>
      <c r="P9967" s="387"/>
      <c r="Q9967" s="387"/>
    </row>
    <row r="9968" spans="15:17" ht="20.100000000000001" customHeight="1">
      <c r="O9968" s="387"/>
      <c r="P9968" s="387"/>
      <c r="Q9968" s="387"/>
    </row>
    <row r="9969" spans="15:17" ht="20.100000000000001" customHeight="1">
      <c r="O9969" s="387"/>
      <c r="P9969" s="387"/>
      <c r="Q9969" s="387"/>
    </row>
    <row r="9970" spans="15:17" ht="20.100000000000001" customHeight="1">
      <c r="O9970" s="387"/>
      <c r="P9970" s="387"/>
      <c r="Q9970" s="387"/>
    </row>
    <row r="9971" spans="15:17" ht="20.100000000000001" customHeight="1">
      <c r="O9971" s="387"/>
      <c r="P9971" s="387"/>
      <c r="Q9971" s="387"/>
    </row>
    <row r="9972" spans="15:17" ht="20.100000000000001" customHeight="1">
      <c r="O9972" s="387"/>
      <c r="P9972" s="387"/>
      <c r="Q9972" s="387"/>
    </row>
    <row r="9973" spans="15:17" ht="20.100000000000001" customHeight="1">
      <c r="O9973" s="387"/>
      <c r="P9973" s="387"/>
      <c r="Q9973" s="387"/>
    </row>
    <row r="9974" spans="15:17" ht="20.100000000000001" customHeight="1">
      <c r="O9974" s="387"/>
      <c r="P9974" s="387"/>
      <c r="Q9974" s="387"/>
    </row>
    <row r="9975" spans="15:17" ht="20.100000000000001" customHeight="1">
      <c r="O9975" s="387"/>
      <c r="P9975" s="387"/>
      <c r="Q9975" s="387"/>
    </row>
    <row r="9976" spans="15:17" ht="20.100000000000001" customHeight="1">
      <c r="O9976" s="387"/>
      <c r="P9976" s="387"/>
      <c r="Q9976" s="387"/>
    </row>
    <row r="9977" spans="15:17" ht="20.100000000000001" customHeight="1">
      <c r="O9977" s="387"/>
      <c r="P9977" s="387"/>
      <c r="Q9977" s="387"/>
    </row>
    <row r="9978" spans="15:17" ht="20.100000000000001" customHeight="1">
      <c r="O9978" s="387"/>
      <c r="P9978" s="387"/>
      <c r="Q9978" s="387"/>
    </row>
    <row r="9979" spans="15:17" ht="20.100000000000001" customHeight="1">
      <c r="O9979" s="387"/>
      <c r="P9979" s="387"/>
      <c r="Q9979" s="387"/>
    </row>
    <row r="9980" spans="15:17" ht="20.100000000000001" customHeight="1">
      <c r="O9980" s="387"/>
      <c r="P9980" s="387"/>
      <c r="Q9980" s="387"/>
    </row>
    <row r="9981" spans="15:17" ht="20.100000000000001" customHeight="1">
      <c r="O9981" s="387"/>
      <c r="P9981" s="387"/>
      <c r="Q9981" s="387"/>
    </row>
    <row r="9982" spans="15:17" ht="20.100000000000001" customHeight="1">
      <c r="O9982" s="387"/>
      <c r="P9982" s="387"/>
      <c r="Q9982" s="387"/>
    </row>
    <row r="9983" spans="15:17" ht="20.100000000000001" customHeight="1">
      <c r="O9983" s="387"/>
      <c r="P9983" s="387"/>
      <c r="Q9983" s="387"/>
    </row>
    <row r="9984" spans="15:17" ht="20.100000000000001" customHeight="1">
      <c r="O9984" s="387"/>
      <c r="P9984" s="387"/>
      <c r="Q9984" s="387"/>
    </row>
    <row r="9985" spans="15:17" ht="20.100000000000001" customHeight="1">
      <c r="O9985" s="387"/>
      <c r="P9985" s="387"/>
      <c r="Q9985" s="387"/>
    </row>
    <row r="9986" spans="15:17" ht="20.100000000000001" customHeight="1">
      <c r="O9986" s="387"/>
      <c r="P9986" s="387"/>
      <c r="Q9986" s="387"/>
    </row>
    <row r="9987" spans="15:17" ht="20.100000000000001" customHeight="1">
      <c r="O9987" s="387"/>
      <c r="P9987" s="387"/>
      <c r="Q9987" s="387"/>
    </row>
    <row r="9988" spans="15:17" ht="20.100000000000001" customHeight="1">
      <c r="O9988" s="387"/>
      <c r="P9988" s="387"/>
      <c r="Q9988" s="387"/>
    </row>
    <row r="9989" spans="15:17" ht="20.100000000000001" customHeight="1">
      <c r="O9989" s="387"/>
      <c r="P9989" s="387"/>
      <c r="Q9989" s="387"/>
    </row>
    <row r="9990" spans="15:17" ht="20.100000000000001" customHeight="1">
      <c r="O9990" s="387"/>
      <c r="P9990" s="387"/>
      <c r="Q9990" s="387"/>
    </row>
    <row r="9991" spans="15:17" ht="20.100000000000001" customHeight="1">
      <c r="O9991" s="387"/>
      <c r="P9991" s="387"/>
      <c r="Q9991" s="387"/>
    </row>
    <row r="9992" spans="15:17" ht="20.100000000000001" customHeight="1">
      <c r="O9992" s="387"/>
      <c r="P9992" s="387"/>
      <c r="Q9992" s="387"/>
    </row>
    <row r="9993" spans="15:17" ht="20.100000000000001" customHeight="1">
      <c r="O9993" s="387"/>
      <c r="P9993" s="387"/>
      <c r="Q9993" s="387"/>
    </row>
    <row r="9994" spans="15:17" ht="20.100000000000001" customHeight="1">
      <c r="O9994" s="387"/>
      <c r="P9994" s="387"/>
      <c r="Q9994" s="387"/>
    </row>
    <row r="9995" spans="15:17" ht="20.100000000000001" customHeight="1">
      <c r="O9995" s="387"/>
      <c r="P9995" s="387"/>
      <c r="Q9995" s="387"/>
    </row>
    <row r="9996" spans="15:17" ht="20.100000000000001" customHeight="1">
      <c r="O9996" s="387"/>
      <c r="P9996" s="387"/>
      <c r="Q9996" s="387"/>
    </row>
    <row r="9997" spans="15:17" ht="20.100000000000001" customHeight="1">
      <c r="O9997" s="387"/>
      <c r="P9997" s="387"/>
      <c r="Q9997" s="387"/>
    </row>
    <row r="9998" spans="15:17" ht="20.100000000000001" customHeight="1">
      <c r="O9998" s="387"/>
      <c r="P9998" s="387"/>
      <c r="Q9998" s="387"/>
    </row>
    <row r="9999" spans="15:17" ht="20.100000000000001" customHeight="1">
      <c r="O9999" s="387"/>
      <c r="P9999" s="387"/>
      <c r="Q9999" s="387"/>
    </row>
    <row r="10000" spans="15:17" ht="20.100000000000001" customHeight="1">
      <c r="O10000" s="387"/>
      <c r="P10000" s="387"/>
      <c r="Q10000" s="387"/>
    </row>
    <row r="10001" spans="15:17" ht="20.100000000000001" customHeight="1">
      <c r="O10001" s="387"/>
      <c r="P10001" s="387"/>
      <c r="Q10001" s="387"/>
    </row>
    <row r="10002" spans="15:17" ht="20.100000000000001" customHeight="1">
      <c r="O10002" s="387"/>
      <c r="P10002" s="387"/>
      <c r="Q10002" s="387"/>
    </row>
    <row r="10003" spans="15:17" ht="20.100000000000001" customHeight="1">
      <c r="O10003" s="387"/>
      <c r="P10003" s="387"/>
      <c r="Q10003" s="387"/>
    </row>
    <row r="10004" spans="15:17" ht="20.100000000000001" customHeight="1">
      <c r="O10004" s="387"/>
      <c r="P10004" s="387"/>
      <c r="Q10004" s="387"/>
    </row>
    <row r="10005" spans="15:17" ht="20.100000000000001" customHeight="1">
      <c r="O10005" s="387"/>
      <c r="P10005" s="387"/>
      <c r="Q10005" s="387"/>
    </row>
    <row r="10006" spans="15:17" ht="20.100000000000001" customHeight="1">
      <c r="O10006" s="387"/>
      <c r="P10006" s="387"/>
      <c r="Q10006" s="387"/>
    </row>
    <row r="10007" spans="15:17" ht="20.100000000000001" customHeight="1">
      <c r="O10007" s="387"/>
      <c r="P10007" s="387"/>
      <c r="Q10007" s="387"/>
    </row>
    <row r="10008" spans="15:17" ht="20.100000000000001" customHeight="1">
      <c r="O10008" s="387"/>
      <c r="P10008" s="387"/>
      <c r="Q10008" s="387"/>
    </row>
    <row r="10009" spans="15:17" ht="20.100000000000001" customHeight="1">
      <c r="O10009" s="387"/>
      <c r="P10009" s="387"/>
      <c r="Q10009" s="387"/>
    </row>
    <row r="10010" spans="15:17" ht="20.100000000000001" customHeight="1">
      <c r="O10010" s="387"/>
      <c r="P10010" s="387"/>
      <c r="Q10010" s="387"/>
    </row>
    <row r="10011" spans="15:17" ht="20.100000000000001" customHeight="1">
      <c r="O10011" s="387"/>
      <c r="P10011" s="387"/>
      <c r="Q10011" s="387"/>
    </row>
    <row r="10012" spans="15:17" ht="20.100000000000001" customHeight="1">
      <c r="O10012" s="387"/>
      <c r="P10012" s="387"/>
      <c r="Q10012" s="387"/>
    </row>
    <row r="10013" spans="15:17" ht="20.100000000000001" customHeight="1">
      <c r="O10013" s="387"/>
      <c r="P10013" s="387"/>
      <c r="Q10013" s="387"/>
    </row>
    <row r="10014" spans="15:17" ht="20.100000000000001" customHeight="1">
      <c r="O10014" s="387"/>
      <c r="P10014" s="387"/>
      <c r="Q10014" s="387"/>
    </row>
    <row r="10015" spans="15:17" ht="20.100000000000001" customHeight="1">
      <c r="O10015" s="387"/>
      <c r="P10015" s="387"/>
      <c r="Q10015" s="387"/>
    </row>
    <row r="10016" spans="15:17" ht="20.100000000000001" customHeight="1">
      <c r="O10016" s="387"/>
      <c r="P10016" s="387"/>
      <c r="Q10016" s="387"/>
    </row>
    <row r="10017" spans="15:17" ht="20.100000000000001" customHeight="1">
      <c r="O10017" s="387"/>
      <c r="P10017" s="387"/>
      <c r="Q10017" s="387"/>
    </row>
    <row r="10018" spans="15:17" ht="20.100000000000001" customHeight="1">
      <c r="O10018" s="387"/>
      <c r="P10018" s="387"/>
      <c r="Q10018" s="387"/>
    </row>
    <row r="10019" spans="15:17" ht="20.100000000000001" customHeight="1">
      <c r="O10019" s="387"/>
      <c r="P10019" s="387"/>
      <c r="Q10019" s="387"/>
    </row>
    <row r="10020" spans="15:17" ht="20.100000000000001" customHeight="1">
      <c r="O10020" s="387"/>
      <c r="P10020" s="387"/>
      <c r="Q10020" s="387"/>
    </row>
    <row r="10021" spans="15:17" ht="20.100000000000001" customHeight="1">
      <c r="O10021" s="387"/>
      <c r="P10021" s="387"/>
      <c r="Q10021" s="387"/>
    </row>
    <row r="10022" spans="15:17" ht="20.100000000000001" customHeight="1">
      <c r="O10022" s="387"/>
      <c r="P10022" s="387"/>
      <c r="Q10022" s="387"/>
    </row>
    <row r="10023" spans="15:17" ht="20.100000000000001" customHeight="1">
      <c r="O10023" s="387"/>
      <c r="P10023" s="387"/>
      <c r="Q10023" s="387"/>
    </row>
    <row r="10024" spans="15:17" ht="20.100000000000001" customHeight="1">
      <c r="O10024" s="387"/>
      <c r="P10024" s="387"/>
      <c r="Q10024" s="387"/>
    </row>
    <row r="10025" spans="15:17" ht="20.100000000000001" customHeight="1">
      <c r="O10025" s="387"/>
      <c r="P10025" s="387"/>
      <c r="Q10025" s="387"/>
    </row>
    <row r="10026" spans="15:17" ht="20.100000000000001" customHeight="1">
      <c r="O10026" s="387"/>
      <c r="P10026" s="387"/>
      <c r="Q10026" s="387"/>
    </row>
    <row r="10027" spans="15:17" ht="20.100000000000001" customHeight="1">
      <c r="O10027" s="387"/>
      <c r="P10027" s="387"/>
      <c r="Q10027" s="387"/>
    </row>
    <row r="10028" spans="15:17" ht="20.100000000000001" customHeight="1">
      <c r="O10028" s="387"/>
      <c r="P10028" s="387"/>
      <c r="Q10028" s="387"/>
    </row>
    <row r="10029" spans="15:17" ht="20.100000000000001" customHeight="1">
      <c r="O10029" s="387"/>
      <c r="P10029" s="387"/>
      <c r="Q10029" s="387"/>
    </row>
    <row r="10030" spans="15:17" ht="20.100000000000001" customHeight="1">
      <c r="O10030" s="387"/>
      <c r="P10030" s="387"/>
      <c r="Q10030" s="387"/>
    </row>
    <row r="10031" spans="15:17" ht="20.100000000000001" customHeight="1">
      <c r="O10031" s="387"/>
      <c r="P10031" s="387"/>
      <c r="Q10031" s="387"/>
    </row>
    <row r="10032" spans="15:17" ht="20.100000000000001" customHeight="1">
      <c r="O10032" s="387"/>
      <c r="P10032" s="387"/>
      <c r="Q10032" s="387"/>
    </row>
    <row r="10033" spans="15:17" ht="20.100000000000001" customHeight="1">
      <c r="O10033" s="387"/>
      <c r="P10033" s="387"/>
      <c r="Q10033" s="387"/>
    </row>
    <row r="10034" spans="15:17" ht="20.100000000000001" customHeight="1">
      <c r="O10034" s="387"/>
      <c r="P10034" s="387"/>
      <c r="Q10034" s="387"/>
    </row>
    <row r="10035" spans="15:17" ht="20.100000000000001" customHeight="1">
      <c r="O10035" s="387"/>
      <c r="P10035" s="387"/>
      <c r="Q10035" s="387"/>
    </row>
    <row r="10036" spans="15:17" ht="20.100000000000001" customHeight="1">
      <c r="O10036" s="387"/>
      <c r="P10036" s="387"/>
      <c r="Q10036" s="387"/>
    </row>
    <row r="10037" spans="15:17" ht="20.100000000000001" customHeight="1">
      <c r="O10037" s="387"/>
      <c r="P10037" s="387"/>
      <c r="Q10037" s="387"/>
    </row>
    <row r="10038" spans="15:17" ht="20.100000000000001" customHeight="1">
      <c r="O10038" s="387"/>
      <c r="P10038" s="387"/>
      <c r="Q10038" s="387"/>
    </row>
    <row r="10039" spans="15:17" ht="20.100000000000001" customHeight="1">
      <c r="O10039" s="387"/>
      <c r="P10039" s="387"/>
      <c r="Q10039" s="387"/>
    </row>
    <row r="10040" spans="15:17" ht="20.100000000000001" customHeight="1">
      <c r="O10040" s="387"/>
      <c r="P10040" s="387"/>
      <c r="Q10040" s="387"/>
    </row>
    <row r="10041" spans="15:17" ht="20.100000000000001" customHeight="1">
      <c r="O10041" s="387"/>
      <c r="P10041" s="387"/>
      <c r="Q10041" s="387"/>
    </row>
    <row r="10042" spans="15:17" ht="20.100000000000001" customHeight="1">
      <c r="O10042" s="387"/>
      <c r="P10042" s="387"/>
      <c r="Q10042" s="387"/>
    </row>
    <row r="10043" spans="15:17" ht="20.100000000000001" customHeight="1">
      <c r="O10043" s="387"/>
      <c r="P10043" s="387"/>
      <c r="Q10043" s="387"/>
    </row>
    <row r="10044" spans="15:17" ht="20.100000000000001" customHeight="1">
      <c r="O10044" s="387"/>
      <c r="P10044" s="387"/>
      <c r="Q10044" s="387"/>
    </row>
    <row r="10045" spans="15:17" ht="20.100000000000001" customHeight="1">
      <c r="O10045" s="387"/>
      <c r="P10045" s="387"/>
      <c r="Q10045" s="387"/>
    </row>
    <row r="10046" spans="15:17" ht="20.100000000000001" customHeight="1">
      <c r="O10046" s="387"/>
      <c r="P10046" s="387"/>
      <c r="Q10046" s="387"/>
    </row>
    <row r="10047" spans="15:17" ht="20.100000000000001" customHeight="1">
      <c r="O10047" s="387"/>
      <c r="P10047" s="387"/>
      <c r="Q10047" s="387"/>
    </row>
    <row r="10048" spans="15:17" ht="20.100000000000001" customHeight="1">
      <c r="O10048" s="387"/>
      <c r="P10048" s="387"/>
      <c r="Q10048" s="387"/>
    </row>
    <row r="10049" spans="15:17" ht="20.100000000000001" customHeight="1">
      <c r="O10049" s="387"/>
      <c r="P10049" s="387"/>
      <c r="Q10049" s="387"/>
    </row>
    <row r="10050" spans="15:17" ht="20.100000000000001" customHeight="1">
      <c r="O10050" s="387"/>
      <c r="P10050" s="387"/>
      <c r="Q10050" s="387"/>
    </row>
    <row r="10051" spans="15:17" ht="20.100000000000001" customHeight="1">
      <c r="O10051" s="387"/>
      <c r="P10051" s="387"/>
      <c r="Q10051" s="387"/>
    </row>
    <row r="10052" spans="15:17" ht="20.100000000000001" customHeight="1">
      <c r="O10052" s="387"/>
      <c r="P10052" s="387"/>
      <c r="Q10052" s="387"/>
    </row>
    <row r="10053" spans="15:17" ht="20.100000000000001" customHeight="1">
      <c r="O10053" s="387"/>
      <c r="P10053" s="387"/>
      <c r="Q10053" s="387"/>
    </row>
    <row r="10054" spans="15:17" ht="20.100000000000001" customHeight="1">
      <c r="O10054" s="387"/>
      <c r="P10054" s="387"/>
      <c r="Q10054" s="387"/>
    </row>
    <row r="10055" spans="15:17" ht="20.100000000000001" customHeight="1">
      <c r="O10055" s="387"/>
      <c r="P10055" s="387"/>
      <c r="Q10055" s="387"/>
    </row>
    <row r="10056" spans="15:17" ht="20.100000000000001" customHeight="1">
      <c r="O10056" s="387"/>
      <c r="P10056" s="387"/>
      <c r="Q10056" s="387"/>
    </row>
    <row r="10057" spans="15:17" ht="20.100000000000001" customHeight="1">
      <c r="O10057" s="387"/>
      <c r="P10057" s="387"/>
      <c r="Q10057" s="387"/>
    </row>
    <row r="10058" spans="15:17" ht="20.100000000000001" customHeight="1">
      <c r="O10058" s="387"/>
      <c r="P10058" s="387"/>
      <c r="Q10058" s="387"/>
    </row>
    <row r="10059" spans="15:17" ht="20.100000000000001" customHeight="1">
      <c r="O10059" s="387"/>
      <c r="P10059" s="387"/>
      <c r="Q10059" s="387"/>
    </row>
    <row r="10060" spans="15:17" ht="20.100000000000001" customHeight="1">
      <c r="O10060" s="387"/>
      <c r="P10060" s="387"/>
      <c r="Q10060" s="387"/>
    </row>
    <row r="10061" spans="15:17" ht="20.100000000000001" customHeight="1">
      <c r="O10061" s="387"/>
      <c r="P10061" s="387"/>
      <c r="Q10061" s="387"/>
    </row>
    <row r="10062" spans="15:17" ht="20.100000000000001" customHeight="1">
      <c r="O10062" s="387"/>
      <c r="P10062" s="387"/>
      <c r="Q10062" s="387"/>
    </row>
    <row r="10063" spans="15:17" ht="20.100000000000001" customHeight="1">
      <c r="O10063" s="387"/>
      <c r="P10063" s="387"/>
      <c r="Q10063" s="387"/>
    </row>
    <row r="10064" spans="15:17" ht="20.100000000000001" customHeight="1">
      <c r="O10064" s="387"/>
      <c r="P10064" s="387"/>
      <c r="Q10064" s="387"/>
    </row>
    <row r="10065" spans="15:17" ht="20.100000000000001" customHeight="1">
      <c r="O10065" s="387"/>
      <c r="P10065" s="387"/>
      <c r="Q10065" s="387"/>
    </row>
    <row r="10066" spans="15:17" ht="20.100000000000001" customHeight="1">
      <c r="O10066" s="387"/>
      <c r="P10066" s="387"/>
      <c r="Q10066" s="387"/>
    </row>
    <row r="10067" spans="15:17" ht="20.100000000000001" customHeight="1">
      <c r="O10067" s="387"/>
      <c r="P10067" s="387"/>
      <c r="Q10067" s="387"/>
    </row>
    <row r="10068" spans="15:17" ht="20.100000000000001" customHeight="1">
      <c r="O10068" s="387"/>
      <c r="P10068" s="387"/>
      <c r="Q10068" s="387"/>
    </row>
    <row r="10069" spans="15:17" ht="20.100000000000001" customHeight="1">
      <c r="O10069" s="387"/>
      <c r="P10069" s="387"/>
      <c r="Q10069" s="387"/>
    </row>
    <row r="10070" spans="15:17" ht="20.100000000000001" customHeight="1">
      <c r="O10070" s="387"/>
      <c r="P10070" s="387"/>
      <c r="Q10070" s="387"/>
    </row>
    <row r="10071" spans="15:17" ht="20.100000000000001" customHeight="1">
      <c r="O10071" s="387"/>
      <c r="P10071" s="387"/>
      <c r="Q10071" s="387"/>
    </row>
    <row r="10072" spans="15:17" ht="20.100000000000001" customHeight="1">
      <c r="O10072" s="387"/>
      <c r="P10072" s="387"/>
      <c r="Q10072" s="387"/>
    </row>
    <row r="10073" spans="15:17" ht="20.100000000000001" customHeight="1">
      <c r="O10073" s="387"/>
      <c r="P10073" s="387"/>
      <c r="Q10073" s="387"/>
    </row>
    <row r="10074" spans="15:17" ht="20.100000000000001" customHeight="1">
      <c r="O10074" s="387"/>
      <c r="P10074" s="387"/>
      <c r="Q10074" s="387"/>
    </row>
    <row r="10075" spans="15:17" ht="20.100000000000001" customHeight="1">
      <c r="O10075" s="387"/>
      <c r="P10075" s="387"/>
      <c r="Q10075" s="387"/>
    </row>
    <row r="10076" spans="15:17" ht="20.100000000000001" customHeight="1">
      <c r="O10076" s="387"/>
      <c r="P10076" s="387"/>
      <c r="Q10076" s="387"/>
    </row>
    <row r="10077" spans="15:17" ht="20.100000000000001" customHeight="1">
      <c r="O10077" s="387"/>
      <c r="P10077" s="387"/>
      <c r="Q10077" s="387"/>
    </row>
    <row r="10078" spans="15:17" ht="20.100000000000001" customHeight="1">
      <c r="O10078" s="387"/>
      <c r="P10078" s="387"/>
      <c r="Q10078" s="387"/>
    </row>
    <row r="10079" spans="15:17" ht="20.100000000000001" customHeight="1">
      <c r="O10079" s="387"/>
      <c r="P10079" s="387"/>
      <c r="Q10079" s="387"/>
    </row>
    <row r="10080" spans="15:17" ht="20.100000000000001" customHeight="1">
      <c r="O10080" s="387"/>
      <c r="P10080" s="387"/>
      <c r="Q10080" s="387"/>
    </row>
    <row r="10081" spans="15:17" ht="20.100000000000001" customHeight="1">
      <c r="O10081" s="387"/>
      <c r="P10081" s="387"/>
      <c r="Q10081" s="387"/>
    </row>
    <row r="10082" spans="15:17" ht="20.100000000000001" customHeight="1">
      <c r="O10082" s="387"/>
      <c r="P10082" s="387"/>
      <c r="Q10082" s="387"/>
    </row>
    <row r="10083" spans="15:17" ht="20.100000000000001" customHeight="1">
      <c r="O10083" s="387"/>
      <c r="P10083" s="387"/>
      <c r="Q10083" s="387"/>
    </row>
    <row r="10084" spans="15:17" ht="20.100000000000001" customHeight="1">
      <c r="O10084" s="387"/>
      <c r="P10084" s="387"/>
      <c r="Q10084" s="387"/>
    </row>
    <row r="10085" spans="15:17" ht="20.100000000000001" customHeight="1">
      <c r="O10085" s="387"/>
      <c r="P10085" s="387"/>
      <c r="Q10085" s="387"/>
    </row>
    <row r="10086" spans="15:17" ht="20.100000000000001" customHeight="1">
      <c r="O10086" s="387"/>
      <c r="P10086" s="387"/>
      <c r="Q10086" s="387"/>
    </row>
    <row r="10087" spans="15:17" ht="20.100000000000001" customHeight="1">
      <c r="O10087" s="387"/>
      <c r="P10087" s="387"/>
      <c r="Q10087" s="387"/>
    </row>
    <row r="10088" spans="15:17" ht="20.100000000000001" customHeight="1">
      <c r="O10088" s="387"/>
      <c r="P10088" s="387"/>
      <c r="Q10088" s="387"/>
    </row>
    <row r="10089" spans="15:17" ht="20.100000000000001" customHeight="1">
      <c r="O10089" s="387"/>
      <c r="P10089" s="387"/>
      <c r="Q10089" s="387"/>
    </row>
    <row r="10090" spans="15:17" ht="20.100000000000001" customHeight="1">
      <c r="O10090" s="387"/>
      <c r="P10090" s="387"/>
      <c r="Q10090" s="387"/>
    </row>
    <row r="10091" spans="15:17" ht="20.100000000000001" customHeight="1">
      <c r="O10091" s="387"/>
      <c r="P10091" s="387"/>
      <c r="Q10091" s="387"/>
    </row>
    <row r="10092" spans="15:17" ht="20.100000000000001" customHeight="1">
      <c r="O10092" s="387"/>
      <c r="P10092" s="387"/>
      <c r="Q10092" s="387"/>
    </row>
    <row r="10093" spans="15:17" ht="20.100000000000001" customHeight="1">
      <c r="O10093" s="387"/>
      <c r="P10093" s="387"/>
      <c r="Q10093" s="387"/>
    </row>
    <row r="10094" spans="15:17" ht="20.100000000000001" customHeight="1">
      <c r="O10094" s="387"/>
      <c r="P10094" s="387"/>
      <c r="Q10094" s="387"/>
    </row>
    <row r="10095" spans="15:17" ht="20.100000000000001" customHeight="1">
      <c r="O10095" s="387"/>
      <c r="P10095" s="387"/>
      <c r="Q10095" s="387"/>
    </row>
    <row r="10096" spans="15:17" ht="20.100000000000001" customHeight="1">
      <c r="O10096" s="387"/>
      <c r="P10096" s="387"/>
      <c r="Q10096" s="387"/>
    </row>
    <row r="10097" spans="15:17" ht="20.100000000000001" customHeight="1">
      <c r="O10097" s="387"/>
      <c r="P10097" s="387"/>
      <c r="Q10097" s="387"/>
    </row>
    <row r="10098" spans="15:17" ht="20.100000000000001" customHeight="1">
      <c r="O10098" s="387"/>
      <c r="P10098" s="387"/>
      <c r="Q10098" s="387"/>
    </row>
    <row r="10099" spans="15:17" ht="20.100000000000001" customHeight="1">
      <c r="O10099" s="387"/>
      <c r="P10099" s="387"/>
      <c r="Q10099" s="387"/>
    </row>
    <row r="10100" spans="15:17" ht="20.100000000000001" customHeight="1">
      <c r="O10100" s="387"/>
      <c r="P10100" s="387"/>
      <c r="Q10100" s="387"/>
    </row>
    <row r="10101" spans="15:17" ht="20.100000000000001" customHeight="1">
      <c r="O10101" s="387"/>
      <c r="P10101" s="387"/>
      <c r="Q10101" s="387"/>
    </row>
    <row r="10102" spans="15:17" ht="20.100000000000001" customHeight="1">
      <c r="O10102" s="387"/>
      <c r="P10102" s="387"/>
      <c r="Q10102" s="387"/>
    </row>
    <row r="10103" spans="15:17" ht="20.100000000000001" customHeight="1">
      <c r="O10103" s="387"/>
      <c r="P10103" s="387"/>
      <c r="Q10103" s="387"/>
    </row>
    <row r="10104" spans="15:17" ht="20.100000000000001" customHeight="1">
      <c r="O10104" s="387"/>
      <c r="P10104" s="387"/>
      <c r="Q10104" s="387"/>
    </row>
    <row r="10105" spans="15:17" ht="20.100000000000001" customHeight="1">
      <c r="O10105" s="387"/>
      <c r="P10105" s="387"/>
      <c r="Q10105" s="387"/>
    </row>
    <row r="10106" spans="15:17" ht="20.100000000000001" customHeight="1">
      <c r="O10106" s="387"/>
      <c r="P10106" s="387"/>
      <c r="Q10106" s="387"/>
    </row>
    <row r="10107" spans="15:17" ht="20.100000000000001" customHeight="1">
      <c r="O10107" s="387"/>
      <c r="P10107" s="387"/>
      <c r="Q10107" s="387"/>
    </row>
    <row r="10108" spans="15:17" ht="20.100000000000001" customHeight="1">
      <c r="O10108" s="387"/>
      <c r="P10108" s="387"/>
      <c r="Q10108" s="387"/>
    </row>
    <row r="10109" spans="15:17" ht="20.100000000000001" customHeight="1">
      <c r="O10109" s="387"/>
      <c r="P10109" s="387"/>
      <c r="Q10109" s="387"/>
    </row>
    <row r="10110" spans="15:17" ht="20.100000000000001" customHeight="1">
      <c r="O10110" s="387"/>
      <c r="P10110" s="387"/>
      <c r="Q10110" s="387"/>
    </row>
    <row r="10111" spans="15:17" ht="20.100000000000001" customHeight="1">
      <c r="O10111" s="387"/>
      <c r="P10111" s="387"/>
      <c r="Q10111" s="387"/>
    </row>
    <row r="10112" spans="15:17" ht="20.100000000000001" customHeight="1">
      <c r="O10112" s="387"/>
      <c r="P10112" s="387"/>
      <c r="Q10112" s="387"/>
    </row>
    <row r="10113" spans="15:17" ht="20.100000000000001" customHeight="1">
      <c r="O10113" s="387"/>
      <c r="P10113" s="387"/>
      <c r="Q10113" s="387"/>
    </row>
    <row r="10114" spans="15:17" ht="20.100000000000001" customHeight="1">
      <c r="O10114" s="387"/>
      <c r="P10114" s="387"/>
      <c r="Q10114" s="387"/>
    </row>
    <row r="10115" spans="15:17" ht="20.100000000000001" customHeight="1">
      <c r="O10115" s="387"/>
      <c r="P10115" s="387"/>
      <c r="Q10115" s="387"/>
    </row>
    <row r="10116" spans="15:17" ht="20.100000000000001" customHeight="1">
      <c r="O10116" s="387"/>
      <c r="P10116" s="387"/>
      <c r="Q10116" s="387"/>
    </row>
    <row r="10117" spans="15:17" ht="20.100000000000001" customHeight="1">
      <c r="O10117" s="387"/>
      <c r="P10117" s="387"/>
      <c r="Q10117" s="387"/>
    </row>
    <row r="10118" spans="15:17" ht="20.100000000000001" customHeight="1">
      <c r="O10118" s="387"/>
      <c r="P10118" s="387"/>
      <c r="Q10118" s="387"/>
    </row>
    <row r="10119" spans="15:17" ht="20.100000000000001" customHeight="1">
      <c r="O10119" s="387"/>
      <c r="P10119" s="387"/>
      <c r="Q10119" s="387"/>
    </row>
    <row r="10120" spans="15:17" ht="20.100000000000001" customHeight="1">
      <c r="O10120" s="387"/>
      <c r="P10120" s="387"/>
      <c r="Q10120" s="387"/>
    </row>
    <row r="10121" spans="15:17" ht="20.100000000000001" customHeight="1">
      <c r="O10121" s="387"/>
      <c r="P10121" s="387"/>
      <c r="Q10121" s="387"/>
    </row>
    <row r="10122" spans="15:17" ht="20.100000000000001" customHeight="1">
      <c r="O10122" s="387"/>
      <c r="P10122" s="387"/>
      <c r="Q10122" s="387"/>
    </row>
    <row r="10123" spans="15:17" ht="20.100000000000001" customHeight="1">
      <c r="O10123" s="387"/>
      <c r="P10123" s="387"/>
      <c r="Q10123" s="387"/>
    </row>
    <row r="10124" spans="15:17" ht="20.100000000000001" customHeight="1">
      <c r="O10124" s="387"/>
      <c r="P10124" s="387"/>
      <c r="Q10124" s="387"/>
    </row>
    <row r="10125" spans="15:17" ht="20.100000000000001" customHeight="1">
      <c r="O10125" s="387"/>
      <c r="P10125" s="387"/>
      <c r="Q10125" s="387"/>
    </row>
    <row r="10126" spans="15:17" ht="20.100000000000001" customHeight="1">
      <c r="O10126" s="387"/>
      <c r="P10126" s="387"/>
      <c r="Q10126" s="387"/>
    </row>
    <row r="10127" spans="15:17" ht="20.100000000000001" customHeight="1">
      <c r="O10127" s="387"/>
      <c r="P10127" s="387"/>
      <c r="Q10127" s="387"/>
    </row>
    <row r="10128" spans="15:17" ht="20.100000000000001" customHeight="1">
      <c r="O10128" s="387"/>
      <c r="P10128" s="387"/>
      <c r="Q10128" s="387"/>
    </row>
    <row r="10129" spans="15:17" ht="20.100000000000001" customHeight="1">
      <c r="O10129" s="387"/>
      <c r="P10129" s="387"/>
      <c r="Q10129" s="387"/>
    </row>
    <row r="10130" spans="15:17" ht="20.100000000000001" customHeight="1">
      <c r="O10130" s="387"/>
      <c r="P10130" s="387"/>
      <c r="Q10130" s="387"/>
    </row>
    <row r="10131" spans="15:17" ht="20.100000000000001" customHeight="1">
      <c r="O10131" s="387"/>
      <c r="P10131" s="387"/>
      <c r="Q10131" s="387"/>
    </row>
    <row r="10132" spans="15:17" ht="20.100000000000001" customHeight="1">
      <c r="O10132" s="387"/>
      <c r="P10132" s="387"/>
      <c r="Q10132" s="387"/>
    </row>
    <row r="10133" spans="15:17" ht="20.100000000000001" customHeight="1">
      <c r="O10133" s="387"/>
      <c r="P10133" s="387"/>
      <c r="Q10133" s="387"/>
    </row>
    <row r="10134" spans="15:17" ht="20.100000000000001" customHeight="1">
      <c r="O10134" s="387"/>
      <c r="P10134" s="387"/>
      <c r="Q10134" s="387"/>
    </row>
    <row r="10135" spans="15:17" ht="20.100000000000001" customHeight="1">
      <c r="O10135" s="387"/>
      <c r="P10135" s="387"/>
      <c r="Q10135" s="387"/>
    </row>
    <row r="10136" spans="15:17" ht="20.100000000000001" customHeight="1">
      <c r="O10136" s="387"/>
      <c r="P10136" s="387"/>
      <c r="Q10136" s="387"/>
    </row>
    <row r="10137" spans="15:17" ht="20.100000000000001" customHeight="1">
      <c r="O10137" s="387"/>
      <c r="P10137" s="387"/>
      <c r="Q10137" s="387"/>
    </row>
    <row r="10138" spans="15:17" ht="20.100000000000001" customHeight="1">
      <c r="O10138" s="387"/>
      <c r="P10138" s="387"/>
      <c r="Q10138" s="387"/>
    </row>
    <row r="10139" spans="15:17" ht="20.100000000000001" customHeight="1">
      <c r="O10139" s="387"/>
      <c r="P10139" s="387"/>
      <c r="Q10139" s="387"/>
    </row>
    <row r="10140" spans="15:17" ht="20.100000000000001" customHeight="1">
      <c r="O10140" s="387"/>
      <c r="P10140" s="387"/>
      <c r="Q10140" s="387"/>
    </row>
    <row r="10141" spans="15:17" ht="20.100000000000001" customHeight="1">
      <c r="O10141" s="387"/>
      <c r="P10141" s="387"/>
      <c r="Q10141" s="387"/>
    </row>
    <row r="10142" spans="15:17" ht="20.100000000000001" customHeight="1">
      <c r="O10142" s="387"/>
      <c r="P10142" s="387"/>
      <c r="Q10142" s="387"/>
    </row>
    <row r="10143" spans="15:17" ht="20.100000000000001" customHeight="1">
      <c r="O10143" s="387"/>
      <c r="P10143" s="387"/>
      <c r="Q10143" s="387"/>
    </row>
    <row r="10144" spans="15:17" ht="20.100000000000001" customHeight="1">
      <c r="O10144" s="387"/>
      <c r="P10144" s="387"/>
      <c r="Q10144" s="387"/>
    </row>
    <row r="10145" spans="15:17" ht="20.100000000000001" customHeight="1">
      <c r="O10145" s="387"/>
      <c r="P10145" s="387"/>
      <c r="Q10145" s="387"/>
    </row>
    <row r="10146" spans="15:17" ht="20.100000000000001" customHeight="1">
      <c r="O10146" s="387"/>
      <c r="P10146" s="387"/>
      <c r="Q10146" s="387"/>
    </row>
    <row r="10147" spans="15:17" ht="20.100000000000001" customHeight="1">
      <c r="O10147" s="387"/>
      <c r="P10147" s="387"/>
      <c r="Q10147" s="387"/>
    </row>
    <row r="10148" spans="15:17" ht="20.100000000000001" customHeight="1">
      <c r="O10148" s="387"/>
      <c r="P10148" s="387"/>
      <c r="Q10148" s="387"/>
    </row>
    <row r="10149" spans="15:17" ht="20.100000000000001" customHeight="1">
      <c r="O10149" s="387"/>
      <c r="P10149" s="387"/>
      <c r="Q10149" s="387"/>
    </row>
    <row r="10150" spans="15:17" ht="20.100000000000001" customHeight="1">
      <c r="O10150" s="387"/>
      <c r="P10150" s="387"/>
      <c r="Q10150" s="387"/>
    </row>
    <row r="10151" spans="15:17" ht="20.100000000000001" customHeight="1">
      <c r="O10151" s="387"/>
      <c r="P10151" s="387"/>
      <c r="Q10151" s="387"/>
    </row>
    <row r="10152" spans="15:17" ht="20.100000000000001" customHeight="1">
      <c r="O10152" s="387"/>
      <c r="P10152" s="387"/>
      <c r="Q10152" s="387"/>
    </row>
    <row r="10153" spans="15:17" ht="20.100000000000001" customHeight="1">
      <c r="O10153" s="387"/>
      <c r="P10153" s="387"/>
      <c r="Q10153" s="387"/>
    </row>
    <row r="10154" spans="15:17" ht="20.100000000000001" customHeight="1">
      <c r="O10154" s="387"/>
      <c r="P10154" s="387"/>
      <c r="Q10154" s="387"/>
    </row>
    <row r="10155" spans="15:17" ht="20.100000000000001" customHeight="1">
      <c r="O10155" s="387"/>
      <c r="P10155" s="387"/>
      <c r="Q10155" s="387"/>
    </row>
    <row r="10156" spans="15:17" ht="20.100000000000001" customHeight="1">
      <c r="O10156" s="387"/>
      <c r="P10156" s="387"/>
      <c r="Q10156" s="387"/>
    </row>
    <row r="10157" spans="15:17" ht="20.100000000000001" customHeight="1">
      <c r="O10157" s="387"/>
      <c r="P10157" s="387"/>
      <c r="Q10157" s="387"/>
    </row>
    <row r="10158" spans="15:17" ht="20.100000000000001" customHeight="1">
      <c r="O10158" s="387"/>
      <c r="P10158" s="387"/>
      <c r="Q10158" s="387"/>
    </row>
    <row r="10159" spans="15:17" ht="20.100000000000001" customHeight="1">
      <c r="O10159" s="387"/>
      <c r="P10159" s="387"/>
      <c r="Q10159" s="387"/>
    </row>
    <row r="10160" spans="15:17" ht="20.100000000000001" customHeight="1">
      <c r="O10160" s="387"/>
      <c r="P10160" s="387"/>
      <c r="Q10160" s="387"/>
    </row>
    <row r="10161" spans="15:17" ht="20.100000000000001" customHeight="1">
      <c r="O10161" s="387"/>
      <c r="P10161" s="387"/>
      <c r="Q10161" s="387"/>
    </row>
    <row r="10162" spans="15:17" ht="20.100000000000001" customHeight="1">
      <c r="O10162" s="387"/>
      <c r="P10162" s="387"/>
      <c r="Q10162" s="387"/>
    </row>
    <row r="10163" spans="15:17" ht="20.100000000000001" customHeight="1">
      <c r="O10163" s="387"/>
      <c r="P10163" s="387"/>
      <c r="Q10163" s="387"/>
    </row>
    <row r="10164" spans="15:17" ht="20.100000000000001" customHeight="1">
      <c r="O10164" s="387"/>
      <c r="P10164" s="387"/>
      <c r="Q10164" s="387"/>
    </row>
    <row r="10165" spans="15:17" ht="20.100000000000001" customHeight="1">
      <c r="O10165" s="387"/>
      <c r="P10165" s="387"/>
      <c r="Q10165" s="387"/>
    </row>
    <row r="10166" spans="15:17" ht="20.100000000000001" customHeight="1">
      <c r="O10166" s="387"/>
      <c r="P10166" s="387"/>
      <c r="Q10166" s="387"/>
    </row>
    <row r="10167" spans="15:17" ht="20.100000000000001" customHeight="1">
      <c r="O10167" s="387"/>
      <c r="P10167" s="387"/>
      <c r="Q10167" s="387"/>
    </row>
    <row r="10168" spans="15:17" ht="20.100000000000001" customHeight="1">
      <c r="O10168" s="387"/>
      <c r="P10168" s="387"/>
      <c r="Q10168" s="387"/>
    </row>
    <row r="10169" spans="15:17" ht="20.100000000000001" customHeight="1">
      <c r="O10169" s="387"/>
      <c r="P10169" s="387"/>
      <c r="Q10169" s="387"/>
    </row>
    <row r="10170" spans="15:17" ht="20.100000000000001" customHeight="1">
      <c r="O10170" s="387"/>
      <c r="P10170" s="387"/>
      <c r="Q10170" s="387"/>
    </row>
    <row r="10171" spans="15:17" ht="20.100000000000001" customHeight="1">
      <c r="O10171" s="387"/>
      <c r="P10171" s="387"/>
      <c r="Q10171" s="387"/>
    </row>
    <row r="10172" spans="15:17" ht="20.100000000000001" customHeight="1">
      <c r="O10172" s="387"/>
      <c r="P10172" s="387"/>
      <c r="Q10172" s="387"/>
    </row>
    <row r="10173" spans="15:17" ht="20.100000000000001" customHeight="1">
      <c r="O10173" s="387"/>
      <c r="P10173" s="387"/>
      <c r="Q10173" s="387"/>
    </row>
    <row r="10174" spans="15:17" ht="20.100000000000001" customHeight="1">
      <c r="O10174" s="387"/>
      <c r="P10174" s="387"/>
      <c r="Q10174" s="387"/>
    </row>
    <row r="10175" spans="15:17" ht="20.100000000000001" customHeight="1">
      <c r="O10175" s="387"/>
      <c r="P10175" s="387"/>
      <c r="Q10175" s="387"/>
    </row>
    <row r="10176" spans="15:17" ht="20.100000000000001" customHeight="1">
      <c r="O10176" s="387"/>
      <c r="P10176" s="387"/>
      <c r="Q10176" s="387"/>
    </row>
    <row r="10177" spans="15:17" ht="20.100000000000001" customHeight="1">
      <c r="O10177" s="387"/>
      <c r="P10177" s="387"/>
      <c r="Q10177" s="387"/>
    </row>
    <row r="10178" spans="15:17" ht="20.100000000000001" customHeight="1">
      <c r="O10178" s="387"/>
      <c r="P10178" s="387"/>
      <c r="Q10178" s="387"/>
    </row>
    <row r="10179" spans="15:17" ht="20.100000000000001" customHeight="1">
      <c r="O10179" s="387"/>
      <c r="P10179" s="387"/>
      <c r="Q10179" s="387"/>
    </row>
    <row r="10180" spans="15:17" ht="20.100000000000001" customHeight="1">
      <c r="O10180" s="387"/>
      <c r="P10180" s="387"/>
      <c r="Q10180" s="387"/>
    </row>
    <row r="10181" spans="15:17" ht="20.100000000000001" customHeight="1">
      <c r="O10181" s="387"/>
      <c r="P10181" s="387"/>
      <c r="Q10181" s="387"/>
    </row>
    <row r="10182" spans="15:17" ht="20.100000000000001" customHeight="1">
      <c r="O10182" s="387"/>
      <c r="P10182" s="387"/>
      <c r="Q10182" s="387"/>
    </row>
    <row r="10183" spans="15:17" ht="20.100000000000001" customHeight="1">
      <c r="O10183" s="387"/>
      <c r="P10183" s="387"/>
      <c r="Q10183" s="387"/>
    </row>
    <row r="10184" spans="15:17" ht="20.100000000000001" customHeight="1">
      <c r="O10184" s="387"/>
      <c r="P10184" s="387"/>
      <c r="Q10184" s="387"/>
    </row>
    <row r="10185" spans="15:17" ht="20.100000000000001" customHeight="1">
      <c r="O10185" s="387"/>
      <c r="P10185" s="387"/>
      <c r="Q10185" s="387"/>
    </row>
    <row r="10186" spans="15:17" ht="20.100000000000001" customHeight="1">
      <c r="O10186" s="387"/>
      <c r="P10186" s="387"/>
      <c r="Q10186" s="387"/>
    </row>
    <row r="10187" spans="15:17" ht="20.100000000000001" customHeight="1">
      <c r="O10187" s="387"/>
      <c r="P10187" s="387"/>
      <c r="Q10187" s="387"/>
    </row>
    <row r="10188" spans="15:17" ht="20.100000000000001" customHeight="1">
      <c r="O10188" s="387"/>
      <c r="P10188" s="387"/>
      <c r="Q10188" s="387"/>
    </row>
    <row r="10189" spans="15:17" ht="20.100000000000001" customHeight="1">
      <c r="O10189" s="387"/>
      <c r="P10189" s="387"/>
      <c r="Q10189" s="387"/>
    </row>
    <row r="10190" spans="15:17" ht="20.100000000000001" customHeight="1">
      <c r="O10190" s="387"/>
      <c r="P10190" s="387"/>
      <c r="Q10190" s="387"/>
    </row>
    <row r="10191" spans="15:17" ht="20.100000000000001" customHeight="1">
      <c r="O10191" s="387"/>
      <c r="P10191" s="387"/>
      <c r="Q10191" s="387"/>
    </row>
    <row r="10192" spans="15:17" ht="20.100000000000001" customHeight="1">
      <c r="O10192" s="387"/>
      <c r="P10192" s="387"/>
      <c r="Q10192" s="387"/>
    </row>
    <row r="10193" spans="15:17" ht="20.100000000000001" customHeight="1">
      <c r="O10193" s="387"/>
      <c r="P10193" s="387"/>
      <c r="Q10193" s="387"/>
    </row>
    <row r="10194" spans="15:17" ht="20.100000000000001" customHeight="1">
      <c r="O10194" s="387"/>
      <c r="P10194" s="387"/>
      <c r="Q10194" s="387"/>
    </row>
    <row r="10195" spans="15:17" ht="20.100000000000001" customHeight="1">
      <c r="O10195" s="387"/>
      <c r="P10195" s="387"/>
      <c r="Q10195" s="387"/>
    </row>
    <row r="10196" spans="15:17" ht="20.100000000000001" customHeight="1">
      <c r="O10196" s="387"/>
      <c r="P10196" s="387"/>
      <c r="Q10196" s="387"/>
    </row>
    <row r="10197" spans="15:17" ht="20.100000000000001" customHeight="1">
      <c r="O10197" s="387"/>
      <c r="P10197" s="387"/>
      <c r="Q10197" s="387"/>
    </row>
    <row r="10198" spans="15:17" ht="20.100000000000001" customHeight="1">
      <c r="O10198" s="387"/>
      <c r="P10198" s="387"/>
      <c r="Q10198" s="387"/>
    </row>
    <row r="10199" spans="15:17" ht="20.100000000000001" customHeight="1">
      <c r="O10199" s="387"/>
      <c r="P10199" s="387"/>
      <c r="Q10199" s="387"/>
    </row>
    <row r="10200" spans="15:17" ht="20.100000000000001" customHeight="1">
      <c r="O10200" s="387"/>
      <c r="P10200" s="387"/>
      <c r="Q10200" s="387"/>
    </row>
    <row r="10201" spans="15:17" ht="20.100000000000001" customHeight="1">
      <c r="O10201" s="387"/>
      <c r="P10201" s="387"/>
      <c r="Q10201" s="387"/>
    </row>
    <row r="10202" spans="15:17" ht="20.100000000000001" customHeight="1">
      <c r="O10202" s="387"/>
      <c r="P10202" s="387"/>
      <c r="Q10202" s="387"/>
    </row>
    <row r="10203" spans="15:17" ht="20.100000000000001" customHeight="1">
      <c r="O10203" s="387"/>
      <c r="P10203" s="387"/>
      <c r="Q10203" s="387"/>
    </row>
    <row r="10204" spans="15:17" ht="20.100000000000001" customHeight="1">
      <c r="O10204" s="387"/>
      <c r="P10204" s="387"/>
      <c r="Q10204" s="387"/>
    </row>
    <row r="10205" spans="15:17" ht="20.100000000000001" customHeight="1">
      <c r="O10205" s="387"/>
      <c r="P10205" s="387"/>
      <c r="Q10205" s="387"/>
    </row>
    <row r="10206" spans="15:17" ht="20.100000000000001" customHeight="1">
      <c r="O10206" s="387"/>
      <c r="P10206" s="387"/>
      <c r="Q10206" s="387"/>
    </row>
    <row r="10207" spans="15:17" ht="20.100000000000001" customHeight="1">
      <c r="O10207" s="387"/>
      <c r="P10207" s="387"/>
      <c r="Q10207" s="387"/>
    </row>
    <row r="10208" spans="15:17" ht="20.100000000000001" customHeight="1">
      <c r="O10208" s="387"/>
      <c r="P10208" s="387"/>
      <c r="Q10208" s="387"/>
    </row>
    <row r="10209" spans="15:17" ht="20.100000000000001" customHeight="1">
      <c r="O10209" s="387"/>
      <c r="P10209" s="387"/>
      <c r="Q10209" s="387"/>
    </row>
    <row r="10210" spans="15:17" ht="20.100000000000001" customHeight="1">
      <c r="O10210" s="387"/>
      <c r="P10210" s="387"/>
      <c r="Q10210" s="387"/>
    </row>
    <row r="10211" spans="15:17" ht="20.100000000000001" customHeight="1">
      <c r="O10211" s="387"/>
      <c r="P10211" s="387"/>
      <c r="Q10211" s="387"/>
    </row>
    <row r="10212" spans="15:17" ht="20.100000000000001" customHeight="1">
      <c r="O10212" s="387"/>
      <c r="P10212" s="387"/>
      <c r="Q10212" s="387"/>
    </row>
    <row r="10213" spans="15:17" ht="20.100000000000001" customHeight="1">
      <c r="O10213" s="387"/>
      <c r="P10213" s="387"/>
      <c r="Q10213" s="387"/>
    </row>
    <row r="10214" spans="15:17" ht="20.100000000000001" customHeight="1">
      <c r="O10214" s="387"/>
      <c r="P10214" s="387"/>
      <c r="Q10214" s="387"/>
    </row>
    <row r="10215" spans="15:17" ht="20.100000000000001" customHeight="1">
      <c r="O10215" s="387"/>
      <c r="P10215" s="387"/>
      <c r="Q10215" s="387"/>
    </row>
    <row r="10216" spans="15:17" ht="20.100000000000001" customHeight="1">
      <c r="O10216" s="387"/>
      <c r="P10216" s="387"/>
      <c r="Q10216" s="387"/>
    </row>
    <row r="10217" spans="15:17" ht="20.100000000000001" customHeight="1">
      <c r="O10217" s="387"/>
      <c r="P10217" s="387"/>
      <c r="Q10217" s="387"/>
    </row>
    <row r="10218" spans="15:17" ht="20.100000000000001" customHeight="1">
      <c r="O10218" s="387"/>
      <c r="P10218" s="387"/>
      <c r="Q10218" s="387"/>
    </row>
    <row r="10219" spans="15:17" ht="20.100000000000001" customHeight="1">
      <c r="O10219" s="387"/>
      <c r="P10219" s="387"/>
      <c r="Q10219" s="387"/>
    </row>
    <row r="10220" spans="15:17" ht="20.100000000000001" customHeight="1">
      <c r="O10220" s="387"/>
      <c r="P10220" s="387"/>
      <c r="Q10220" s="387"/>
    </row>
    <row r="10221" spans="15:17" ht="20.100000000000001" customHeight="1">
      <c r="O10221" s="387"/>
      <c r="P10221" s="387"/>
      <c r="Q10221" s="387"/>
    </row>
    <row r="10222" spans="15:17" ht="20.100000000000001" customHeight="1">
      <c r="O10222" s="387"/>
      <c r="P10222" s="387"/>
      <c r="Q10222" s="387"/>
    </row>
    <row r="10223" spans="15:17" ht="20.100000000000001" customHeight="1">
      <c r="O10223" s="387"/>
      <c r="P10223" s="387"/>
      <c r="Q10223" s="387"/>
    </row>
    <row r="10224" spans="15:17" ht="20.100000000000001" customHeight="1">
      <c r="O10224" s="387"/>
      <c r="P10224" s="387"/>
      <c r="Q10224" s="387"/>
    </row>
    <row r="10225" spans="15:17" ht="20.100000000000001" customHeight="1">
      <c r="O10225" s="387"/>
      <c r="P10225" s="387"/>
      <c r="Q10225" s="387"/>
    </row>
    <row r="10226" spans="15:17" ht="20.100000000000001" customHeight="1">
      <c r="O10226" s="387"/>
      <c r="P10226" s="387"/>
      <c r="Q10226" s="387"/>
    </row>
    <row r="10227" spans="15:17" ht="20.100000000000001" customHeight="1">
      <c r="O10227" s="387"/>
      <c r="P10227" s="387"/>
      <c r="Q10227" s="387"/>
    </row>
    <row r="10228" spans="15:17" ht="20.100000000000001" customHeight="1">
      <c r="O10228" s="387"/>
      <c r="P10228" s="387"/>
      <c r="Q10228" s="387"/>
    </row>
    <row r="10229" spans="15:17" ht="20.100000000000001" customHeight="1">
      <c r="O10229" s="387"/>
      <c r="P10229" s="387"/>
      <c r="Q10229" s="387"/>
    </row>
    <row r="10230" spans="15:17" ht="20.100000000000001" customHeight="1">
      <c r="O10230" s="387"/>
      <c r="P10230" s="387"/>
      <c r="Q10230" s="387"/>
    </row>
    <row r="10231" spans="15:17" ht="20.100000000000001" customHeight="1">
      <c r="O10231" s="387"/>
      <c r="P10231" s="387"/>
      <c r="Q10231" s="387"/>
    </row>
    <row r="10232" spans="15:17" ht="20.100000000000001" customHeight="1">
      <c r="O10232" s="387"/>
      <c r="P10232" s="387"/>
      <c r="Q10232" s="387"/>
    </row>
    <row r="10233" spans="15:17" ht="20.100000000000001" customHeight="1">
      <c r="O10233" s="387"/>
      <c r="P10233" s="387"/>
      <c r="Q10233" s="387"/>
    </row>
    <row r="10234" spans="15:17" ht="20.100000000000001" customHeight="1">
      <c r="O10234" s="387"/>
      <c r="P10234" s="387"/>
      <c r="Q10234" s="387"/>
    </row>
    <row r="10235" spans="15:17" ht="20.100000000000001" customHeight="1">
      <c r="O10235" s="387"/>
      <c r="P10235" s="387"/>
      <c r="Q10235" s="387"/>
    </row>
    <row r="10236" spans="15:17" ht="20.100000000000001" customHeight="1">
      <c r="O10236" s="387"/>
      <c r="P10236" s="387"/>
      <c r="Q10236" s="387"/>
    </row>
    <row r="10237" spans="15:17" ht="20.100000000000001" customHeight="1">
      <c r="O10237" s="387"/>
      <c r="P10237" s="387"/>
      <c r="Q10237" s="387"/>
    </row>
    <row r="10238" spans="15:17" ht="20.100000000000001" customHeight="1">
      <c r="O10238" s="387"/>
      <c r="P10238" s="387"/>
      <c r="Q10238" s="387"/>
    </row>
    <row r="10239" spans="15:17" ht="20.100000000000001" customHeight="1">
      <c r="O10239" s="387"/>
      <c r="P10239" s="387"/>
      <c r="Q10239" s="387"/>
    </row>
    <row r="10240" spans="15:17" ht="20.100000000000001" customHeight="1">
      <c r="O10240" s="387"/>
      <c r="P10240" s="387"/>
      <c r="Q10240" s="387"/>
    </row>
    <row r="10241" spans="15:17" ht="20.100000000000001" customHeight="1">
      <c r="O10241" s="387"/>
      <c r="P10241" s="387"/>
      <c r="Q10241" s="387"/>
    </row>
    <row r="10242" spans="15:17" ht="20.100000000000001" customHeight="1">
      <c r="O10242" s="387"/>
      <c r="P10242" s="387"/>
      <c r="Q10242" s="387"/>
    </row>
    <row r="10243" spans="15:17" ht="20.100000000000001" customHeight="1">
      <c r="O10243" s="387"/>
      <c r="P10243" s="387"/>
      <c r="Q10243" s="387"/>
    </row>
    <row r="10244" spans="15:17" ht="20.100000000000001" customHeight="1">
      <c r="O10244" s="387"/>
      <c r="P10244" s="387"/>
      <c r="Q10244" s="387"/>
    </row>
    <row r="10245" spans="15:17" ht="20.100000000000001" customHeight="1">
      <c r="O10245" s="387"/>
      <c r="P10245" s="387"/>
      <c r="Q10245" s="387"/>
    </row>
    <row r="10246" spans="15:17" ht="20.100000000000001" customHeight="1">
      <c r="O10246" s="387"/>
      <c r="P10246" s="387"/>
      <c r="Q10246" s="387"/>
    </row>
    <row r="10247" spans="15:17" ht="20.100000000000001" customHeight="1">
      <c r="O10247" s="387"/>
      <c r="P10247" s="387"/>
      <c r="Q10247" s="387"/>
    </row>
    <row r="10248" spans="15:17" ht="20.100000000000001" customHeight="1">
      <c r="O10248" s="387"/>
      <c r="P10248" s="387"/>
      <c r="Q10248" s="387"/>
    </row>
    <row r="10249" spans="15:17" ht="20.100000000000001" customHeight="1">
      <c r="O10249" s="387"/>
      <c r="P10249" s="387"/>
      <c r="Q10249" s="387"/>
    </row>
    <row r="10250" spans="15:17" ht="20.100000000000001" customHeight="1">
      <c r="O10250" s="387"/>
      <c r="P10250" s="387"/>
      <c r="Q10250" s="387"/>
    </row>
    <row r="10251" spans="15:17" ht="20.100000000000001" customHeight="1">
      <c r="O10251" s="387"/>
      <c r="P10251" s="387"/>
      <c r="Q10251" s="387"/>
    </row>
    <row r="10252" spans="15:17" ht="20.100000000000001" customHeight="1">
      <c r="O10252" s="387"/>
      <c r="P10252" s="387"/>
      <c r="Q10252" s="387"/>
    </row>
    <row r="10253" spans="15:17" ht="20.100000000000001" customHeight="1">
      <c r="O10253" s="387"/>
      <c r="P10253" s="387"/>
      <c r="Q10253" s="387"/>
    </row>
    <row r="10254" spans="15:17" ht="20.100000000000001" customHeight="1">
      <c r="O10254" s="387"/>
      <c r="P10254" s="387"/>
      <c r="Q10254" s="387"/>
    </row>
    <row r="10255" spans="15:17" ht="20.100000000000001" customHeight="1">
      <c r="O10255" s="387"/>
      <c r="P10255" s="387"/>
      <c r="Q10255" s="387"/>
    </row>
    <row r="10256" spans="15:17" ht="20.100000000000001" customHeight="1">
      <c r="O10256" s="387"/>
      <c r="P10256" s="387"/>
      <c r="Q10256" s="387"/>
    </row>
    <row r="10257" spans="15:17" ht="20.100000000000001" customHeight="1">
      <c r="O10257" s="387"/>
      <c r="P10257" s="387"/>
      <c r="Q10257" s="387"/>
    </row>
    <row r="10258" spans="15:17" ht="20.100000000000001" customHeight="1">
      <c r="O10258" s="387"/>
      <c r="P10258" s="387"/>
      <c r="Q10258" s="387"/>
    </row>
    <row r="10259" spans="15:17" ht="20.100000000000001" customHeight="1">
      <c r="O10259" s="387"/>
      <c r="P10259" s="387"/>
      <c r="Q10259" s="387"/>
    </row>
    <row r="10260" spans="15:17" ht="20.100000000000001" customHeight="1">
      <c r="O10260" s="387"/>
      <c r="P10260" s="387"/>
      <c r="Q10260" s="387"/>
    </row>
    <row r="10261" spans="15:17" ht="20.100000000000001" customHeight="1">
      <c r="O10261" s="387"/>
      <c r="P10261" s="387"/>
      <c r="Q10261" s="387"/>
    </row>
    <row r="10262" spans="15:17" ht="20.100000000000001" customHeight="1">
      <c r="O10262" s="387"/>
      <c r="P10262" s="387"/>
      <c r="Q10262" s="387"/>
    </row>
    <row r="10263" spans="15:17" ht="20.100000000000001" customHeight="1">
      <c r="O10263" s="387"/>
      <c r="P10263" s="387"/>
      <c r="Q10263" s="387"/>
    </row>
    <row r="10264" spans="15:17" ht="20.100000000000001" customHeight="1">
      <c r="O10264" s="387"/>
      <c r="P10264" s="387"/>
      <c r="Q10264" s="387"/>
    </row>
    <row r="10265" spans="15:17" ht="20.100000000000001" customHeight="1">
      <c r="O10265" s="387"/>
      <c r="P10265" s="387"/>
      <c r="Q10265" s="387"/>
    </row>
    <row r="10266" spans="15:17" ht="20.100000000000001" customHeight="1">
      <c r="O10266" s="387"/>
      <c r="P10266" s="387"/>
      <c r="Q10266" s="387"/>
    </row>
    <row r="10267" spans="15:17" ht="20.100000000000001" customHeight="1">
      <c r="O10267" s="387"/>
      <c r="P10267" s="387"/>
      <c r="Q10267" s="387"/>
    </row>
    <row r="10268" spans="15:17" ht="20.100000000000001" customHeight="1">
      <c r="O10268" s="387"/>
      <c r="P10268" s="387"/>
      <c r="Q10268" s="387"/>
    </row>
    <row r="10269" spans="15:17" ht="20.100000000000001" customHeight="1">
      <c r="O10269" s="387"/>
      <c r="P10269" s="387"/>
      <c r="Q10269" s="387"/>
    </row>
    <row r="10270" spans="15:17" ht="20.100000000000001" customHeight="1">
      <c r="O10270" s="387"/>
      <c r="P10270" s="387"/>
      <c r="Q10270" s="387"/>
    </row>
    <row r="10271" spans="15:17" ht="20.100000000000001" customHeight="1">
      <c r="O10271" s="387"/>
      <c r="P10271" s="387"/>
      <c r="Q10271" s="387"/>
    </row>
    <row r="10272" spans="15:17" ht="20.100000000000001" customHeight="1">
      <c r="O10272" s="387"/>
      <c r="P10272" s="387"/>
      <c r="Q10272" s="387"/>
    </row>
    <row r="10273" spans="15:17" ht="20.100000000000001" customHeight="1">
      <c r="O10273" s="387"/>
      <c r="P10273" s="387"/>
      <c r="Q10273" s="387"/>
    </row>
    <row r="10274" spans="15:17" ht="20.100000000000001" customHeight="1">
      <c r="O10274" s="387"/>
      <c r="P10274" s="387"/>
      <c r="Q10274" s="387"/>
    </row>
    <row r="10275" spans="15:17" ht="20.100000000000001" customHeight="1">
      <c r="O10275" s="387"/>
      <c r="P10275" s="387"/>
      <c r="Q10275" s="387"/>
    </row>
    <row r="10276" spans="15:17" ht="20.100000000000001" customHeight="1">
      <c r="O10276" s="387"/>
      <c r="P10276" s="387"/>
      <c r="Q10276" s="387"/>
    </row>
    <row r="10277" spans="15:17" ht="20.100000000000001" customHeight="1">
      <c r="O10277" s="387"/>
      <c r="P10277" s="387"/>
      <c r="Q10277" s="387"/>
    </row>
    <row r="10278" spans="15:17" ht="20.100000000000001" customHeight="1">
      <c r="O10278" s="387"/>
      <c r="P10278" s="387"/>
      <c r="Q10278" s="387"/>
    </row>
    <row r="10279" spans="15:17" ht="20.100000000000001" customHeight="1">
      <c r="O10279" s="387"/>
      <c r="P10279" s="387"/>
      <c r="Q10279" s="387"/>
    </row>
    <row r="10280" spans="15:17" ht="20.100000000000001" customHeight="1">
      <c r="O10280" s="387"/>
      <c r="P10280" s="387"/>
      <c r="Q10280" s="387"/>
    </row>
    <row r="10281" spans="15:17" ht="20.100000000000001" customHeight="1">
      <c r="O10281" s="387"/>
      <c r="P10281" s="387"/>
      <c r="Q10281" s="387"/>
    </row>
    <row r="10282" spans="15:17" ht="20.100000000000001" customHeight="1">
      <c r="O10282" s="387"/>
      <c r="P10282" s="387"/>
      <c r="Q10282" s="387"/>
    </row>
    <row r="10283" spans="15:17" ht="20.100000000000001" customHeight="1">
      <c r="O10283" s="387"/>
      <c r="P10283" s="387"/>
      <c r="Q10283" s="387"/>
    </row>
    <row r="10284" spans="15:17" ht="20.100000000000001" customHeight="1">
      <c r="O10284" s="387"/>
      <c r="P10284" s="387"/>
      <c r="Q10284" s="387"/>
    </row>
    <row r="10285" spans="15:17" ht="20.100000000000001" customHeight="1">
      <c r="O10285" s="387"/>
      <c r="P10285" s="387"/>
      <c r="Q10285" s="387"/>
    </row>
    <row r="10286" spans="15:17" ht="20.100000000000001" customHeight="1">
      <c r="O10286" s="387"/>
      <c r="P10286" s="387"/>
      <c r="Q10286" s="387"/>
    </row>
    <row r="10287" spans="15:17" ht="20.100000000000001" customHeight="1">
      <c r="O10287" s="387"/>
      <c r="P10287" s="387"/>
      <c r="Q10287" s="387"/>
    </row>
    <row r="10288" spans="15:17" ht="20.100000000000001" customHeight="1">
      <c r="O10288" s="387"/>
      <c r="P10288" s="387"/>
      <c r="Q10288" s="387"/>
    </row>
    <row r="10289" spans="15:17" ht="20.100000000000001" customHeight="1">
      <c r="O10289" s="387"/>
      <c r="P10289" s="387"/>
      <c r="Q10289" s="387"/>
    </row>
    <row r="10290" spans="15:17" ht="20.100000000000001" customHeight="1">
      <c r="O10290" s="387"/>
      <c r="P10290" s="387"/>
      <c r="Q10290" s="387"/>
    </row>
    <row r="10291" spans="15:17" ht="20.100000000000001" customHeight="1">
      <c r="O10291" s="387"/>
      <c r="P10291" s="387"/>
      <c r="Q10291" s="387"/>
    </row>
    <row r="10292" spans="15:17" ht="20.100000000000001" customHeight="1">
      <c r="O10292" s="387"/>
      <c r="P10292" s="387"/>
      <c r="Q10292" s="387"/>
    </row>
    <row r="10293" spans="15:17" ht="20.100000000000001" customHeight="1">
      <c r="O10293" s="387"/>
      <c r="P10293" s="387"/>
      <c r="Q10293" s="387"/>
    </row>
    <row r="10294" spans="15:17" ht="20.100000000000001" customHeight="1">
      <c r="O10294" s="387"/>
      <c r="P10294" s="387"/>
      <c r="Q10294" s="387"/>
    </row>
    <row r="10295" spans="15:17" ht="20.100000000000001" customHeight="1">
      <c r="O10295" s="387"/>
      <c r="P10295" s="387"/>
      <c r="Q10295" s="387"/>
    </row>
    <row r="10296" spans="15:17" ht="20.100000000000001" customHeight="1">
      <c r="O10296" s="387"/>
      <c r="P10296" s="387"/>
      <c r="Q10296" s="387"/>
    </row>
    <row r="10297" spans="15:17" ht="20.100000000000001" customHeight="1">
      <c r="O10297" s="387"/>
      <c r="P10297" s="387"/>
      <c r="Q10297" s="387"/>
    </row>
    <row r="10298" spans="15:17" ht="20.100000000000001" customHeight="1">
      <c r="O10298" s="387"/>
      <c r="P10298" s="387"/>
      <c r="Q10298" s="387"/>
    </row>
    <row r="10299" spans="15:17" ht="20.100000000000001" customHeight="1">
      <c r="O10299" s="387"/>
      <c r="P10299" s="387"/>
      <c r="Q10299" s="387"/>
    </row>
    <row r="10300" spans="15:17" ht="20.100000000000001" customHeight="1">
      <c r="O10300" s="387"/>
      <c r="P10300" s="387"/>
      <c r="Q10300" s="387"/>
    </row>
    <row r="10301" spans="15:17" ht="20.100000000000001" customHeight="1">
      <c r="O10301" s="387"/>
      <c r="P10301" s="387"/>
      <c r="Q10301" s="387"/>
    </row>
    <row r="10302" spans="15:17" ht="20.100000000000001" customHeight="1">
      <c r="O10302" s="387"/>
      <c r="P10302" s="387"/>
      <c r="Q10302" s="387"/>
    </row>
    <row r="10303" spans="15:17" ht="20.100000000000001" customHeight="1">
      <c r="O10303" s="387"/>
      <c r="P10303" s="387"/>
      <c r="Q10303" s="387"/>
    </row>
    <row r="10304" spans="15:17" ht="20.100000000000001" customHeight="1">
      <c r="O10304" s="387"/>
      <c r="P10304" s="387"/>
      <c r="Q10304" s="387"/>
    </row>
    <row r="10305" spans="15:17" ht="20.100000000000001" customHeight="1">
      <c r="O10305" s="387"/>
      <c r="P10305" s="387"/>
      <c r="Q10305" s="387"/>
    </row>
    <row r="10306" spans="15:17" ht="20.100000000000001" customHeight="1">
      <c r="O10306" s="387"/>
      <c r="P10306" s="387"/>
      <c r="Q10306" s="387"/>
    </row>
    <row r="10307" spans="15:17" ht="20.100000000000001" customHeight="1">
      <c r="O10307" s="387"/>
      <c r="P10307" s="387"/>
      <c r="Q10307" s="387"/>
    </row>
    <row r="10308" spans="15:17" ht="20.100000000000001" customHeight="1">
      <c r="O10308" s="387"/>
      <c r="P10308" s="387"/>
      <c r="Q10308" s="387"/>
    </row>
    <row r="10309" spans="15:17" ht="20.100000000000001" customHeight="1">
      <c r="O10309" s="387"/>
      <c r="P10309" s="387"/>
      <c r="Q10309" s="387"/>
    </row>
    <row r="10310" spans="15:17" ht="20.100000000000001" customHeight="1">
      <c r="O10310" s="387"/>
      <c r="P10310" s="387"/>
      <c r="Q10310" s="387"/>
    </row>
    <row r="10311" spans="15:17" ht="20.100000000000001" customHeight="1">
      <c r="O10311" s="387"/>
      <c r="P10311" s="387"/>
      <c r="Q10311" s="387"/>
    </row>
    <row r="10312" spans="15:17" ht="20.100000000000001" customHeight="1">
      <c r="O10312" s="387"/>
      <c r="P10312" s="387"/>
      <c r="Q10312" s="387"/>
    </row>
    <row r="10313" spans="15:17" ht="20.100000000000001" customHeight="1">
      <c r="O10313" s="387"/>
      <c r="P10313" s="387"/>
      <c r="Q10313" s="387"/>
    </row>
    <row r="10314" spans="15:17" ht="20.100000000000001" customHeight="1">
      <c r="O10314" s="387"/>
      <c r="P10314" s="387"/>
      <c r="Q10314" s="387"/>
    </row>
    <row r="10315" spans="15:17" ht="20.100000000000001" customHeight="1">
      <c r="O10315" s="387"/>
      <c r="P10315" s="387"/>
      <c r="Q10315" s="387"/>
    </row>
    <row r="10316" spans="15:17" ht="20.100000000000001" customHeight="1">
      <c r="O10316" s="387"/>
      <c r="P10316" s="387"/>
      <c r="Q10316" s="387"/>
    </row>
    <row r="10317" spans="15:17" ht="20.100000000000001" customHeight="1">
      <c r="O10317" s="387"/>
      <c r="P10317" s="387"/>
      <c r="Q10317" s="387"/>
    </row>
    <row r="10318" spans="15:17" ht="20.100000000000001" customHeight="1">
      <c r="O10318" s="387"/>
      <c r="P10318" s="387"/>
      <c r="Q10318" s="387"/>
    </row>
    <row r="10319" spans="15:17" ht="20.100000000000001" customHeight="1">
      <c r="O10319" s="387"/>
      <c r="P10319" s="387"/>
      <c r="Q10319" s="387"/>
    </row>
    <row r="10320" spans="15:17" ht="20.100000000000001" customHeight="1">
      <c r="O10320" s="387"/>
      <c r="P10320" s="387"/>
      <c r="Q10320" s="387"/>
    </row>
    <row r="10321" spans="15:17" ht="20.100000000000001" customHeight="1">
      <c r="O10321" s="387"/>
      <c r="P10321" s="387"/>
      <c r="Q10321" s="387"/>
    </row>
    <row r="10322" spans="15:17" ht="20.100000000000001" customHeight="1">
      <c r="O10322" s="387"/>
      <c r="P10322" s="387"/>
      <c r="Q10322" s="387"/>
    </row>
    <row r="10323" spans="15:17" ht="20.100000000000001" customHeight="1">
      <c r="O10323" s="387"/>
      <c r="P10323" s="387"/>
      <c r="Q10323" s="387"/>
    </row>
    <row r="10324" spans="15:17" ht="20.100000000000001" customHeight="1">
      <c r="O10324" s="387"/>
      <c r="P10324" s="387"/>
      <c r="Q10324" s="387"/>
    </row>
    <row r="10325" spans="15:17" ht="20.100000000000001" customHeight="1">
      <c r="O10325" s="387"/>
      <c r="P10325" s="387"/>
      <c r="Q10325" s="387"/>
    </row>
    <row r="10326" spans="15:17" ht="20.100000000000001" customHeight="1">
      <c r="O10326" s="387"/>
      <c r="P10326" s="387"/>
      <c r="Q10326" s="387"/>
    </row>
    <row r="10327" spans="15:17" ht="20.100000000000001" customHeight="1">
      <c r="O10327" s="387"/>
      <c r="P10327" s="387"/>
      <c r="Q10327" s="387"/>
    </row>
    <row r="10328" spans="15:17" ht="20.100000000000001" customHeight="1">
      <c r="O10328" s="387"/>
      <c r="P10328" s="387"/>
      <c r="Q10328" s="387"/>
    </row>
    <row r="10329" spans="15:17" ht="20.100000000000001" customHeight="1">
      <c r="O10329" s="387"/>
      <c r="P10329" s="387"/>
      <c r="Q10329" s="387"/>
    </row>
    <row r="10330" spans="15:17" ht="20.100000000000001" customHeight="1">
      <c r="O10330" s="387"/>
      <c r="P10330" s="387"/>
      <c r="Q10330" s="387"/>
    </row>
    <row r="10331" spans="15:17" ht="20.100000000000001" customHeight="1">
      <c r="O10331" s="387"/>
      <c r="P10331" s="387"/>
      <c r="Q10331" s="387"/>
    </row>
    <row r="10332" spans="15:17" ht="20.100000000000001" customHeight="1">
      <c r="O10332" s="387"/>
      <c r="P10332" s="387"/>
      <c r="Q10332" s="387"/>
    </row>
    <row r="10333" spans="15:17" ht="20.100000000000001" customHeight="1">
      <c r="O10333" s="387"/>
      <c r="P10333" s="387"/>
      <c r="Q10333" s="387"/>
    </row>
    <row r="10334" spans="15:17" ht="20.100000000000001" customHeight="1">
      <c r="O10334" s="387"/>
      <c r="P10334" s="387"/>
      <c r="Q10334" s="387"/>
    </row>
    <row r="10335" spans="15:17" ht="20.100000000000001" customHeight="1">
      <c r="O10335" s="387"/>
      <c r="P10335" s="387"/>
      <c r="Q10335" s="387"/>
    </row>
    <row r="10336" spans="15:17" ht="20.100000000000001" customHeight="1">
      <c r="O10336" s="387"/>
      <c r="P10336" s="387"/>
      <c r="Q10336" s="387"/>
    </row>
    <row r="10337" spans="15:17" ht="20.100000000000001" customHeight="1">
      <c r="O10337" s="387"/>
      <c r="P10337" s="387"/>
      <c r="Q10337" s="387"/>
    </row>
    <row r="10338" spans="15:17" ht="20.100000000000001" customHeight="1">
      <c r="O10338" s="387"/>
      <c r="P10338" s="387"/>
      <c r="Q10338" s="387"/>
    </row>
    <row r="10339" spans="15:17" ht="20.100000000000001" customHeight="1">
      <c r="O10339" s="387"/>
      <c r="P10339" s="387"/>
      <c r="Q10339" s="387"/>
    </row>
    <row r="10340" spans="15:17" ht="20.100000000000001" customHeight="1">
      <c r="O10340" s="387"/>
      <c r="P10340" s="387"/>
      <c r="Q10340" s="387"/>
    </row>
    <row r="10341" spans="15:17" ht="20.100000000000001" customHeight="1">
      <c r="O10341" s="387"/>
      <c r="P10341" s="387"/>
      <c r="Q10341" s="387"/>
    </row>
    <row r="10342" spans="15:17" ht="20.100000000000001" customHeight="1">
      <c r="O10342" s="387"/>
      <c r="P10342" s="387"/>
      <c r="Q10342" s="387"/>
    </row>
    <row r="10343" spans="15:17" ht="20.100000000000001" customHeight="1">
      <c r="O10343" s="387"/>
      <c r="P10343" s="387"/>
      <c r="Q10343" s="387"/>
    </row>
    <row r="10344" spans="15:17" ht="20.100000000000001" customHeight="1">
      <c r="O10344" s="387"/>
      <c r="P10344" s="387"/>
      <c r="Q10344" s="387"/>
    </row>
    <row r="10345" spans="15:17" ht="20.100000000000001" customHeight="1">
      <c r="O10345" s="387"/>
      <c r="P10345" s="387"/>
      <c r="Q10345" s="387"/>
    </row>
    <row r="10346" spans="15:17" ht="20.100000000000001" customHeight="1">
      <c r="O10346" s="387"/>
      <c r="P10346" s="387"/>
      <c r="Q10346" s="387"/>
    </row>
    <row r="10347" spans="15:17" ht="20.100000000000001" customHeight="1">
      <c r="O10347" s="387"/>
      <c r="P10347" s="387"/>
      <c r="Q10347" s="387"/>
    </row>
    <row r="10348" spans="15:17" ht="20.100000000000001" customHeight="1">
      <c r="O10348" s="387"/>
      <c r="P10348" s="387"/>
      <c r="Q10348" s="387"/>
    </row>
    <row r="10349" spans="15:17" ht="20.100000000000001" customHeight="1">
      <c r="O10349" s="387"/>
      <c r="P10349" s="387"/>
      <c r="Q10349" s="387"/>
    </row>
    <row r="10350" spans="15:17" ht="20.100000000000001" customHeight="1">
      <c r="O10350" s="387"/>
      <c r="P10350" s="387"/>
      <c r="Q10350" s="387"/>
    </row>
    <row r="10351" spans="15:17" ht="20.100000000000001" customHeight="1">
      <c r="O10351" s="387"/>
      <c r="P10351" s="387"/>
      <c r="Q10351" s="387"/>
    </row>
    <row r="10352" spans="15:17" ht="20.100000000000001" customHeight="1">
      <c r="O10352" s="387"/>
      <c r="P10352" s="387"/>
      <c r="Q10352" s="387"/>
    </row>
    <row r="10353" spans="15:17" ht="20.100000000000001" customHeight="1">
      <c r="O10353" s="387"/>
      <c r="P10353" s="387"/>
      <c r="Q10353" s="387"/>
    </row>
    <row r="10354" spans="15:17" ht="20.100000000000001" customHeight="1">
      <c r="O10354" s="387"/>
      <c r="P10354" s="387"/>
      <c r="Q10354" s="387"/>
    </row>
    <row r="10355" spans="15:17" ht="20.100000000000001" customHeight="1">
      <c r="O10355" s="387"/>
      <c r="P10355" s="387"/>
      <c r="Q10355" s="387"/>
    </row>
    <row r="10356" spans="15:17" ht="20.100000000000001" customHeight="1">
      <c r="O10356" s="387"/>
      <c r="P10356" s="387"/>
      <c r="Q10356" s="387"/>
    </row>
    <row r="10357" spans="15:17" ht="20.100000000000001" customHeight="1">
      <c r="O10357" s="387"/>
      <c r="P10357" s="387"/>
      <c r="Q10357" s="387"/>
    </row>
    <row r="10358" spans="15:17" ht="20.100000000000001" customHeight="1">
      <c r="O10358" s="387"/>
      <c r="P10358" s="387"/>
      <c r="Q10358" s="387"/>
    </row>
    <row r="10359" spans="15:17" ht="20.100000000000001" customHeight="1">
      <c r="O10359" s="387"/>
      <c r="P10359" s="387"/>
      <c r="Q10359" s="387"/>
    </row>
    <row r="10360" spans="15:17" ht="20.100000000000001" customHeight="1">
      <c r="O10360" s="387"/>
      <c r="P10360" s="387"/>
      <c r="Q10360" s="387"/>
    </row>
    <row r="10361" spans="15:17" ht="20.100000000000001" customHeight="1">
      <c r="O10361" s="387"/>
      <c r="P10361" s="387"/>
      <c r="Q10361" s="387"/>
    </row>
    <row r="10362" spans="15:17" ht="20.100000000000001" customHeight="1">
      <c r="O10362" s="387"/>
      <c r="P10362" s="387"/>
      <c r="Q10362" s="387"/>
    </row>
    <row r="10363" spans="15:17" ht="20.100000000000001" customHeight="1">
      <c r="O10363" s="387"/>
      <c r="P10363" s="387"/>
      <c r="Q10363" s="387"/>
    </row>
    <row r="10364" spans="15:17" ht="20.100000000000001" customHeight="1">
      <c r="O10364" s="387"/>
      <c r="P10364" s="387"/>
      <c r="Q10364" s="387"/>
    </row>
    <row r="10365" spans="15:17" ht="20.100000000000001" customHeight="1">
      <c r="O10365" s="387"/>
      <c r="P10365" s="387"/>
      <c r="Q10365" s="387"/>
    </row>
    <row r="10366" spans="15:17" ht="20.100000000000001" customHeight="1">
      <c r="O10366" s="387"/>
      <c r="P10366" s="387"/>
      <c r="Q10366" s="387"/>
    </row>
    <row r="10367" spans="15:17" ht="20.100000000000001" customHeight="1">
      <c r="O10367" s="387"/>
      <c r="P10367" s="387"/>
      <c r="Q10367" s="387"/>
    </row>
    <row r="10368" spans="15:17" ht="20.100000000000001" customHeight="1">
      <c r="O10368" s="387"/>
      <c r="P10368" s="387"/>
      <c r="Q10368" s="387"/>
    </row>
    <row r="10369" spans="15:17" ht="20.100000000000001" customHeight="1">
      <c r="O10369" s="387"/>
      <c r="P10369" s="387"/>
      <c r="Q10369" s="387"/>
    </row>
    <row r="10370" spans="15:17" ht="20.100000000000001" customHeight="1">
      <c r="O10370" s="387"/>
      <c r="P10370" s="387"/>
      <c r="Q10370" s="387"/>
    </row>
    <row r="10371" spans="15:17" ht="20.100000000000001" customHeight="1">
      <c r="O10371" s="387"/>
      <c r="P10371" s="387"/>
      <c r="Q10371" s="387"/>
    </row>
    <row r="10372" spans="15:17" ht="20.100000000000001" customHeight="1">
      <c r="O10372" s="387"/>
      <c r="P10372" s="387"/>
      <c r="Q10372" s="387"/>
    </row>
    <row r="10373" spans="15:17" ht="20.100000000000001" customHeight="1">
      <c r="O10373" s="387"/>
      <c r="P10373" s="387"/>
      <c r="Q10373" s="387"/>
    </row>
    <row r="10374" spans="15:17" ht="20.100000000000001" customHeight="1">
      <c r="O10374" s="387"/>
      <c r="P10374" s="387"/>
      <c r="Q10374" s="387"/>
    </row>
    <row r="10375" spans="15:17" ht="20.100000000000001" customHeight="1">
      <c r="O10375" s="387"/>
      <c r="P10375" s="387"/>
      <c r="Q10375" s="387"/>
    </row>
    <row r="10376" spans="15:17" ht="20.100000000000001" customHeight="1">
      <c r="O10376" s="387"/>
      <c r="P10376" s="387"/>
      <c r="Q10376" s="387"/>
    </row>
    <row r="10377" spans="15:17" ht="20.100000000000001" customHeight="1">
      <c r="O10377" s="387"/>
      <c r="P10377" s="387"/>
      <c r="Q10377" s="387"/>
    </row>
    <row r="10378" spans="15:17" ht="20.100000000000001" customHeight="1">
      <c r="O10378" s="387"/>
      <c r="P10378" s="387"/>
      <c r="Q10378" s="387"/>
    </row>
    <row r="10379" spans="15:17" ht="20.100000000000001" customHeight="1">
      <c r="O10379" s="387"/>
      <c r="P10379" s="387"/>
      <c r="Q10379" s="387"/>
    </row>
    <row r="10380" spans="15:17" ht="20.100000000000001" customHeight="1">
      <c r="O10380" s="387"/>
      <c r="P10380" s="387"/>
      <c r="Q10380" s="387"/>
    </row>
    <row r="10381" spans="15:17" ht="20.100000000000001" customHeight="1">
      <c r="O10381" s="387"/>
      <c r="P10381" s="387"/>
      <c r="Q10381" s="387"/>
    </row>
    <row r="10382" spans="15:17" ht="20.100000000000001" customHeight="1">
      <c r="O10382" s="387"/>
      <c r="P10382" s="387"/>
      <c r="Q10382" s="387"/>
    </row>
    <row r="10383" spans="15:17" ht="20.100000000000001" customHeight="1">
      <c r="O10383" s="387"/>
      <c r="P10383" s="387"/>
      <c r="Q10383" s="387"/>
    </row>
    <row r="10384" spans="15:17" ht="20.100000000000001" customHeight="1">
      <c r="O10384" s="387"/>
      <c r="P10384" s="387"/>
      <c r="Q10384" s="387"/>
    </row>
    <row r="10385" spans="15:17" ht="20.100000000000001" customHeight="1">
      <c r="O10385" s="387"/>
      <c r="P10385" s="387"/>
      <c r="Q10385" s="387"/>
    </row>
    <row r="10386" spans="15:17" ht="20.100000000000001" customHeight="1">
      <c r="O10386" s="387"/>
      <c r="P10386" s="387"/>
      <c r="Q10386" s="387"/>
    </row>
    <row r="10387" spans="15:17" ht="20.100000000000001" customHeight="1">
      <c r="O10387" s="387"/>
      <c r="P10387" s="387"/>
      <c r="Q10387" s="387"/>
    </row>
    <row r="10388" spans="15:17" ht="20.100000000000001" customHeight="1">
      <c r="O10388" s="387"/>
      <c r="P10388" s="387"/>
      <c r="Q10388" s="387"/>
    </row>
    <row r="10389" spans="15:17" ht="20.100000000000001" customHeight="1">
      <c r="O10389" s="387"/>
      <c r="P10389" s="387"/>
      <c r="Q10389" s="387"/>
    </row>
    <row r="10390" spans="15:17" ht="20.100000000000001" customHeight="1">
      <c r="O10390" s="387"/>
      <c r="P10390" s="387"/>
      <c r="Q10390" s="387"/>
    </row>
    <row r="10391" spans="15:17" ht="20.100000000000001" customHeight="1">
      <c r="O10391" s="387"/>
      <c r="P10391" s="387"/>
      <c r="Q10391" s="387"/>
    </row>
    <row r="10392" spans="15:17" ht="20.100000000000001" customHeight="1">
      <c r="O10392" s="387"/>
      <c r="P10392" s="387"/>
      <c r="Q10392" s="387"/>
    </row>
    <row r="10393" spans="15:17" ht="20.100000000000001" customHeight="1">
      <c r="O10393" s="387"/>
      <c r="P10393" s="387"/>
      <c r="Q10393" s="387"/>
    </row>
    <row r="10394" spans="15:17" ht="20.100000000000001" customHeight="1">
      <c r="O10394" s="387"/>
      <c r="P10394" s="387"/>
      <c r="Q10394" s="387"/>
    </row>
    <row r="10395" spans="15:17" ht="20.100000000000001" customHeight="1">
      <c r="O10395" s="387"/>
      <c r="P10395" s="387"/>
      <c r="Q10395" s="387"/>
    </row>
    <row r="10396" spans="15:17" ht="20.100000000000001" customHeight="1">
      <c r="O10396" s="387"/>
      <c r="P10396" s="387"/>
      <c r="Q10396" s="387"/>
    </row>
    <row r="10397" spans="15:17" ht="20.100000000000001" customHeight="1">
      <c r="O10397" s="387"/>
      <c r="P10397" s="387"/>
      <c r="Q10397" s="387"/>
    </row>
    <row r="10398" spans="15:17" ht="20.100000000000001" customHeight="1">
      <c r="O10398" s="387"/>
      <c r="P10398" s="387"/>
      <c r="Q10398" s="387"/>
    </row>
    <row r="10399" spans="15:17" ht="20.100000000000001" customHeight="1">
      <c r="O10399" s="387"/>
      <c r="P10399" s="387"/>
      <c r="Q10399" s="387"/>
    </row>
    <row r="10400" spans="15:17" ht="20.100000000000001" customHeight="1">
      <c r="O10400" s="387"/>
      <c r="P10400" s="387"/>
      <c r="Q10400" s="387"/>
    </row>
    <row r="10401" spans="15:17" ht="20.100000000000001" customHeight="1">
      <c r="O10401" s="387"/>
      <c r="P10401" s="387"/>
      <c r="Q10401" s="387"/>
    </row>
    <row r="10402" spans="15:17" ht="20.100000000000001" customHeight="1">
      <c r="O10402" s="387"/>
      <c r="P10402" s="387"/>
      <c r="Q10402" s="387"/>
    </row>
    <row r="10403" spans="15:17" ht="20.100000000000001" customHeight="1">
      <c r="O10403" s="387"/>
      <c r="P10403" s="387"/>
      <c r="Q10403" s="387"/>
    </row>
    <row r="10404" spans="15:17" ht="20.100000000000001" customHeight="1">
      <c r="O10404" s="387"/>
      <c r="P10404" s="387"/>
      <c r="Q10404" s="387"/>
    </row>
    <row r="10405" spans="15:17" ht="20.100000000000001" customHeight="1">
      <c r="O10405" s="387"/>
      <c r="P10405" s="387"/>
      <c r="Q10405" s="387"/>
    </row>
    <row r="10406" spans="15:17" ht="20.100000000000001" customHeight="1">
      <c r="O10406" s="387"/>
      <c r="P10406" s="387"/>
      <c r="Q10406" s="387"/>
    </row>
    <row r="10407" spans="15:17" ht="20.100000000000001" customHeight="1">
      <c r="O10407" s="387"/>
      <c r="P10407" s="387"/>
      <c r="Q10407" s="387"/>
    </row>
    <row r="10408" spans="15:17" ht="20.100000000000001" customHeight="1">
      <c r="O10408" s="387"/>
      <c r="P10408" s="387"/>
      <c r="Q10408" s="387"/>
    </row>
    <row r="10409" spans="15:17" ht="20.100000000000001" customHeight="1">
      <c r="O10409" s="387"/>
      <c r="P10409" s="387"/>
      <c r="Q10409" s="387"/>
    </row>
    <row r="10410" spans="15:17" ht="20.100000000000001" customHeight="1">
      <c r="O10410" s="387"/>
      <c r="P10410" s="387"/>
      <c r="Q10410" s="387"/>
    </row>
    <row r="10411" spans="15:17" ht="20.100000000000001" customHeight="1">
      <c r="O10411" s="387"/>
      <c r="P10411" s="387"/>
      <c r="Q10411" s="387"/>
    </row>
    <row r="10412" spans="15:17" ht="20.100000000000001" customHeight="1">
      <c r="O10412" s="387"/>
      <c r="P10412" s="387"/>
      <c r="Q10412" s="387"/>
    </row>
    <row r="10413" spans="15:17" ht="20.100000000000001" customHeight="1">
      <c r="O10413" s="387"/>
      <c r="P10413" s="387"/>
      <c r="Q10413" s="387"/>
    </row>
    <row r="10414" spans="15:17" ht="20.100000000000001" customHeight="1">
      <c r="O10414" s="387"/>
      <c r="P10414" s="387"/>
      <c r="Q10414" s="387"/>
    </row>
    <row r="10415" spans="15:17" ht="20.100000000000001" customHeight="1">
      <c r="O10415" s="387"/>
      <c r="P10415" s="387"/>
      <c r="Q10415" s="387"/>
    </row>
    <row r="10416" spans="15:17" ht="20.100000000000001" customHeight="1">
      <c r="O10416" s="387"/>
      <c r="P10416" s="387"/>
      <c r="Q10416" s="387"/>
    </row>
    <row r="10417" spans="15:17" ht="20.100000000000001" customHeight="1">
      <c r="O10417" s="387"/>
      <c r="P10417" s="387"/>
      <c r="Q10417" s="387"/>
    </row>
    <row r="10418" spans="15:17" ht="20.100000000000001" customHeight="1">
      <c r="O10418" s="387"/>
      <c r="P10418" s="387"/>
      <c r="Q10418" s="387"/>
    </row>
    <row r="10419" spans="15:17" ht="20.100000000000001" customHeight="1">
      <c r="O10419" s="387"/>
      <c r="P10419" s="387"/>
      <c r="Q10419" s="387"/>
    </row>
    <row r="10420" spans="15:17" ht="20.100000000000001" customHeight="1">
      <c r="O10420" s="387"/>
      <c r="P10420" s="387"/>
      <c r="Q10420" s="387"/>
    </row>
    <row r="10421" spans="15:17" ht="20.100000000000001" customHeight="1">
      <c r="O10421" s="387"/>
      <c r="P10421" s="387"/>
      <c r="Q10421" s="387"/>
    </row>
    <row r="10422" spans="15:17" ht="20.100000000000001" customHeight="1">
      <c r="O10422" s="387"/>
      <c r="P10422" s="387"/>
      <c r="Q10422" s="387"/>
    </row>
    <row r="10423" spans="15:17" ht="20.100000000000001" customHeight="1">
      <c r="O10423" s="387"/>
      <c r="P10423" s="387"/>
      <c r="Q10423" s="387"/>
    </row>
    <row r="10424" spans="15:17" ht="20.100000000000001" customHeight="1">
      <c r="O10424" s="387"/>
      <c r="P10424" s="387"/>
      <c r="Q10424" s="387"/>
    </row>
    <row r="10425" spans="15:17" ht="20.100000000000001" customHeight="1">
      <c r="O10425" s="387"/>
      <c r="P10425" s="387"/>
      <c r="Q10425" s="387"/>
    </row>
    <row r="10426" spans="15:17" ht="20.100000000000001" customHeight="1">
      <c r="O10426" s="387"/>
      <c r="P10426" s="387"/>
      <c r="Q10426" s="387"/>
    </row>
    <row r="10427" spans="15:17" ht="20.100000000000001" customHeight="1">
      <c r="O10427" s="387"/>
      <c r="P10427" s="387"/>
      <c r="Q10427" s="387"/>
    </row>
    <row r="10428" spans="15:17" ht="20.100000000000001" customHeight="1">
      <c r="O10428" s="387"/>
      <c r="P10428" s="387"/>
      <c r="Q10428" s="387"/>
    </row>
    <row r="10429" spans="15:17" ht="20.100000000000001" customHeight="1">
      <c r="O10429" s="387"/>
      <c r="P10429" s="387"/>
      <c r="Q10429" s="387"/>
    </row>
    <row r="10430" spans="15:17" ht="20.100000000000001" customHeight="1">
      <c r="O10430" s="387"/>
      <c r="P10430" s="387"/>
      <c r="Q10430" s="387"/>
    </row>
    <row r="10431" spans="15:17" ht="20.100000000000001" customHeight="1">
      <c r="O10431" s="387"/>
      <c r="P10431" s="387"/>
      <c r="Q10431" s="387"/>
    </row>
    <row r="10432" spans="15:17" ht="20.100000000000001" customHeight="1">
      <c r="O10432" s="387"/>
      <c r="P10432" s="387"/>
      <c r="Q10432" s="387"/>
    </row>
    <row r="10433" spans="15:17" ht="20.100000000000001" customHeight="1">
      <c r="O10433" s="387"/>
      <c r="P10433" s="387"/>
      <c r="Q10433" s="387"/>
    </row>
    <row r="10434" spans="15:17" ht="20.100000000000001" customHeight="1">
      <c r="O10434" s="387"/>
      <c r="P10434" s="387"/>
      <c r="Q10434" s="387"/>
    </row>
    <row r="10435" spans="15:17" ht="20.100000000000001" customHeight="1">
      <c r="O10435" s="387"/>
      <c r="P10435" s="387"/>
      <c r="Q10435" s="387"/>
    </row>
    <row r="10436" spans="15:17" ht="20.100000000000001" customHeight="1">
      <c r="O10436" s="387"/>
      <c r="P10436" s="387"/>
      <c r="Q10436" s="387"/>
    </row>
    <row r="10437" spans="15:17" ht="20.100000000000001" customHeight="1">
      <c r="O10437" s="387"/>
      <c r="P10437" s="387"/>
      <c r="Q10437" s="387"/>
    </row>
    <row r="10438" spans="15:17" ht="20.100000000000001" customHeight="1">
      <c r="O10438" s="387"/>
      <c r="P10438" s="387"/>
      <c r="Q10438" s="387"/>
    </row>
    <row r="10439" spans="15:17" ht="20.100000000000001" customHeight="1">
      <c r="O10439" s="387"/>
      <c r="P10439" s="387"/>
      <c r="Q10439" s="387"/>
    </row>
    <row r="10440" spans="15:17" ht="20.100000000000001" customHeight="1">
      <c r="O10440" s="387"/>
      <c r="P10440" s="387"/>
      <c r="Q10440" s="387"/>
    </row>
    <row r="10441" spans="15:17" ht="20.100000000000001" customHeight="1">
      <c r="O10441" s="387"/>
      <c r="P10441" s="387"/>
      <c r="Q10441" s="387"/>
    </row>
    <row r="10442" spans="15:17" ht="20.100000000000001" customHeight="1">
      <c r="O10442" s="387"/>
      <c r="P10442" s="387"/>
      <c r="Q10442" s="387"/>
    </row>
    <row r="10443" spans="15:17" ht="20.100000000000001" customHeight="1">
      <c r="O10443" s="387"/>
      <c r="P10443" s="387"/>
      <c r="Q10443" s="387"/>
    </row>
    <row r="10444" spans="15:17" ht="20.100000000000001" customHeight="1">
      <c r="O10444" s="387"/>
      <c r="P10444" s="387"/>
      <c r="Q10444" s="387"/>
    </row>
    <row r="10445" spans="15:17" ht="20.100000000000001" customHeight="1">
      <c r="O10445" s="387"/>
      <c r="P10445" s="387"/>
      <c r="Q10445" s="387"/>
    </row>
    <row r="10446" spans="15:17" ht="20.100000000000001" customHeight="1">
      <c r="O10446" s="387"/>
      <c r="P10446" s="387"/>
      <c r="Q10446" s="387"/>
    </row>
    <row r="10447" spans="15:17" ht="20.100000000000001" customHeight="1">
      <c r="O10447" s="387"/>
      <c r="P10447" s="387"/>
      <c r="Q10447" s="387"/>
    </row>
    <row r="10448" spans="15:17" ht="20.100000000000001" customHeight="1">
      <c r="O10448" s="387"/>
      <c r="P10448" s="387"/>
      <c r="Q10448" s="387"/>
    </row>
    <row r="10449" spans="15:17" ht="20.100000000000001" customHeight="1">
      <c r="O10449" s="387"/>
      <c r="P10449" s="387"/>
      <c r="Q10449" s="387"/>
    </row>
    <row r="10450" spans="15:17" ht="20.100000000000001" customHeight="1">
      <c r="O10450" s="387"/>
      <c r="P10450" s="387"/>
      <c r="Q10450" s="387"/>
    </row>
    <row r="10451" spans="15:17" ht="20.100000000000001" customHeight="1">
      <c r="O10451" s="387"/>
      <c r="P10451" s="387"/>
      <c r="Q10451" s="387"/>
    </row>
    <row r="10452" spans="15:17" ht="20.100000000000001" customHeight="1">
      <c r="O10452" s="387"/>
      <c r="P10452" s="387"/>
      <c r="Q10452" s="387"/>
    </row>
    <row r="10453" spans="15:17" ht="20.100000000000001" customHeight="1">
      <c r="O10453" s="387"/>
      <c r="P10453" s="387"/>
      <c r="Q10453" s="387"/>
    </row>
    <row r="10454" spans="15:17" ht="20.100000000000001" customHeight="1">
      <c r="O10454" s="387"/>
      <c r="P10454" s="387"/>
      <c r="Q10454" s="387"/>
    </row>
    <row r="10455" spans="15:17" ht="20.100000000000001" customHeight="1">
      <c r="O10455" s="387"/>
      <c r="P10455" s="387"/>
      <c r="Q10455" s="387"/>
    </row>
    <row r="10456" spans="15:17" ht="20.100000000000001" customHeight="1">
      <c r="O10456" s="387"/>
      <c r="P10456" s="387"/>
      <c r="Q10456" s="387"/>
    </row>
    <row r="10457" spans="15:17" ht="20.100000000000001" customHeight="1">
      <c r="O10457" s="387"/>
      <c r="P10457" s="387"/>
      <c r="Q10457" s="387"/>
    </row>
    <row r="10458" spans="15:17" ht="20.100000000000001" customHeight="1">
      <c r="O10458" s="387"/>
      <c r="P10458" s="387"/>
      <c r="Q10458" s="387"/>
    </row>
    <row r="10459" spans="15:17" ht="20.100000000000001" customHeight="1">
      <c r="O10459" s="387"/>
      <c r="P10459" s="387"/>
      <c r="Q10459" s="387"/>
    </row>
    <row r="10460" spans="15:17" ht="20.100000000000001" customHeight="1">
      <c r="O10460" s="387"/>
      <c r="P10460" s="387"/>
      <c r="Q10460" s="387"/>
    </row>
    <row r="10461" spans="15:17" ht="20.100000000000001" customHeight="1">
      <c r="O10461" s="387"/>
      <c r="P10461" s="387"/>
      <c r="Q10461" s="387"/>
    </row>
    <row r="10462" spans="15:17" ht="20.100000000000001" customHeight="1">
      <c r="O10462" s="387"/>
      <c r="P10462" s="387"/>
      <c r="Q10462" s="387"/>
    </row>
    <row r="10463" spans="15:17" ht="20.100000000000001" customHeight="1">
      <c r="O10463" s="387"/>
      <c r="P10463" s="387"/>
      <c r="Q10463" s="387"/>
    </row>
    <row r="10464" spans="15:17" ht="20.100000000000001" customHeight="1">
      <c r="O10464" s="387"/>
      <c r="P10464" s="387"/>
      <c r="Q10464" s="387"/>
    </row>
    <row r="10465" spans="15:17" ht="20.100000000000001" customHeight="1">
      <c r="O10465" s="387"/>
      <c r="P10465" s="387"/>
      <c r="Q10465" s="387"/>
    </row>
    <row r="10466" spans="15:17" ht="20.100000000000001" customHeight="1">
      <c r="O10466" s="387"/>
      <c r="P10466" s="387"/>
      <c r="Q10466" s="387"/>
    </row>
    <row r="10467" spans="15:17" ht="20.100000000000001" customHeight="1">
      <c r="O10467" s="387"/>
      <c r="P10467" s="387"/>
      <c r="Q10467" s="387"/>
    </row>
    <row r="10468" spans="15:17" ht="20.100000000000001" customHeight="1">
      <c r="O10468" s="387"/>
      <c r="P10468" s="387"/>
      <c r="Q10468" s="387"/>
    </row>
    <row r="10469" spans="15:17" ht="20.100000000000001" customHeight="1">
      <c r="O10469" s="387"/>
      <c r="P10469" s="387"/>
      <c r="Q10469" s="387"/>
    </row>
    <row r="10470" spans="15:17" ht="20.100000000000001" customHeight="1">
      <c r="O10470" s="387"/>
      <c r="P10470" s="387"/>
      <c r="Q10470" s="387"/>
    </row>
    <row r="10471" spans="15:17" ht="20.100000000000001" customHeight="1">
      <c r="O10471" s="387"/>
      <c r="P10471" s="387"/>
      <c r="Q10471" s="387"/>
    </row>
    <row r="10472" spans="15:17" ht="20.100000000000001" customHeight="1">
      <c r="O10472" s="387"/>
      <c r="P10472" s="387"/>
      <c r="Q10472" s="387"/>
    </row>
    <row r="10473" spans="15:17" ht="20.100000000000001" customHeight="1">
      <c r="O10473" s="387"/>
      <c r="P10473" s="387"/>
      <c r="Q10473" s="387"/>
    </row>
    <row r="10474" spans="15:17" ht="20.100000000000001" customHeight="1">
      <c r="O10474" s="387"/>
      <c r="P10474" s="387"/>
      <c r="Q10474" s="387"/>
    </row>
    <row r="10475" spans="15:17" ht="20.100000000000001" customHeight="1">
      <c r="O10475" s="387"/>
      <c r="P10475" s="387"/>
      <c r="Q10475" s="387"/>
    </row>
    <row r="10476" spans="15:17" ht="20.100000000000001" customHeight="1">
      <c r="O10476" s="387"/>
      <c r="P10476" s="387"/>
      <c r="Q10476" s="387"/>
    </row>
    <row r="10477" spans="15:17" ht="20.100000000000001" customHeight="1">
      <c r="O10477" s="387"/>
      <c r="P10477" s="387"/>
      <c r="Q10477" s="387"/>
    </row>
    <row r="10478" spans="15:17" ht="20.100000000000001" customHeight="1">
      <c r="O10478" s="387"/>
      <c r="P10478" s="387"/>
      <c r="Q10478" s="387"/>
    </row>
    <row r="10479" spans="15:17" ht="20.100000000000001" customHeight="1">
      <c r="O10479" s="387"/>
      <c r="P10479" s="387"/>
      <c r="Q10479" s="387"/>
    </row>
    <row r="10480" spans="15:17" ht="20.100000000000001" customHeight="1">
      <c r="O10480" s="387"/>
      <c r="P10480" s="387"/>
      <c r="Q10480" s="387"/>
    </row>
    <row r="10481" spans="15:17" ht="20.100000000000001" customHeight="1">
      <c r="O10481" s="387"/>
      <c r="P10481" s="387"/>
      <c r="Q10481" s="387"/>
    </row>
    <row r="10482" spans="15:17" ht="20.100000000000001" customHeight="1">
      <c r="O10482" s="387"/>
      <c r="P10482" s="387"/>
      <c r="Q10482" s="387"/>
    </row>
    <row r="10483" spans="15:17" ht="20.100000000000001" customHeight="1">
      <c r="O10483" s="387"/>
      <c r="P10483" s="387"/>
      <c r="Q10483" s="387"/>
    </row>
    <row r="10484" spans="15:17" ht="20.100000000000001" customHeight="1">
      <c r="O10484" s="387"/>
      <c r="P10484" s="387"/>
      <c r="Q10484" s="387"/>
    </row>
    <row r="10485" spans="15:17" ht="20.100000000000001" customHeight="1">
      <c r="O10485" s="387"/>
      <c r="P10485" s="387"/>
      <c r="Q10485" s="387"/>
    </row>
    <row r="10486" spans="15:17" ht="20.100000000000001" customHeight="1">
      <c r="O10486" s="387"/>
      <c r="P10486" s="387"/>
      <c r="Q10486" s="387"/>
    </row>
    <row r="10487" spans="15:17" ht="20.100000000000001" customHeight="1">
      <c r="O10487" s="387"/>
      <c r="P10487" s="387"/>
      <c r="Q10487" s="387"/>
    </row>
    <row r="10488" spans="15:17" ht="20.100000000000001" customHeight="1">
      <c r="O10488" s="387"/>
      <c r="P10488" s="387"/>
      <c r="Q10488" s="387"/>
    </row>
    <row r="10489" spans="15:17" ht="20.100000000000001" customHeight="1">
      <c r="O10489" s="387"/>
      <c r="P10489" s="387"/>
      <c r="Q10489" s="387"/>
    </row>
    <row r="10490" spans="15:17" ht="20.100000000000001" customHeight="1">
      <c r="O10490" s="387"/>
      <c r="P10490" s="387"/>
      <c r="Q10490" s="387"/>
    </row>
    <row r="10491" spans="15:17" ht="20.100000000000001" customHeight="1">
      <c r="O10491" s="387"/>
      <c r="P10491" s="387"/>
      <c r="Q10491" s="387"/>
    </row>
    <row r="10492" spans="15:17" ht="20.100000000000001" customHeight="1">
      <c r="O10492" s="387"/>
      <c r="P10492" s="387"/>
      <c r="Q10492" s="387"/>
    </row>
    <row r="10493" spans="15:17" ht="20.100000000000001" customHeight="1">
      <c r="O10493" s="387"/>
      <c r="P10493" s="387"/>
      <c r="Q10493" s="387"/>
    </row>
    <row r="10494" spans="15:17" ht="20.100000000000001" customHeight="1">
      <c r="O10494" s="387"/>
      <c r="P10494" s="387"/>
      <c r="Q10494" s="387"/>
    </row>
    <row r="10495" spans="15:17" ht="20.100000000000001" customHeight="1">
      <c r="O10495" s="387"/>
      <c r="P10495" s="387"/>
      <c r="Q10495" s="387"/>
    </row>
    <row r="10496" spans="15:17" ht="20.100000000000001" customHeight="1">
      <c r="O10496" s="387"/>
      <c r="P10496" s="387"/>
      <c r="Q10496" s="387"/>
    </row>
    <row r="10497" spans="15:17" ht="20.100000000000001" customHeight="1">
      <c r="O10497" s="387"/>
      <c r="P10497" s="387"/>
      <c r="Q10497" s="387"/>
    </row>
    <row r="10498" spans="15:17" ht="20.100000000000001" customHeight="1">
      <c r="O10498" s="387"/>
      <c r="P10498" s="387"/>
      <c r="Q10498" s="387"/>
    </row>
    <row r="10499" spans="15:17" ht="20.100000000000001" customHeight="1">
      <c r="O10499" s="387"/>
      <c r="P10499" s="387"/>
      <c r="Q10499" s="387"/>
    </row>
    <row r="10500" spans="15:17" ht="20.100000000000001" customHeight="1">
      <c r="O10500" s="387"/>
      <c r="P10500" s="387"/>
      <c r="Q10500" s="387"/>
    </row>
    <row r="10501" spans="15:17" ht="20.100000000000001" customHeight="1">
      <c r="O10501" s="387"/>
      <c r="P10501" s="387"/>
      <c r="Q10501" s="387"/>
    </row>
    <row r="10502" spans="15:17" ht="20.100000000000001" customHeight="1">
      <c r="O10502" s="387"/>
      <c r="P10502" s="387"/>
      <c r="Q10502" s="387"/>
    </row>
    <row r="10503" spans="15:17" ht="20.100000000000001" customHeight="1">
      <c r="O10503" s="387"/>
      <c r="P10503" s="387"/>
      <c r="Q10503" s="387"/>
    </row>
    <row r="10504" spans="15:17" ht="20.100000000000001" customHeight="1">
      <c r="O10504" s="387"/>
      <c r="P10504" s="387"/>
      <c r="Q10504" s="387"/>
    </row>
    <row r="10505" spans="15:17" ht="20.100000000000001" customHeight="1">
      <c r="O10505" s="387"/>
      <c r="P10505" s="387"/>
      <c r="Q10505" s="387"/>
    </row>
    <row r="10506" spans="15:17" ht="20.100000000000001" customHeight="1">
      <c r="O10506" s="387"/>
      <c r="P10506" s="387"/>
      <c r="Q10506" s="387"/>
    </row>
    <row r="10507" spans="15:17" ht="20.100000000000001" customHeight="1">
      <c r="O10507" s="387"/>
      <c r="P10507" s="387"/>
      <c r="Q10507" s="387"/>
    </row>
    <row r="10508" spans="15:17" ht="20.100000000000001" customHeight="1">
      <c r="O10508" s="387"/>
      <c r="P10508" s="387"/>
      <c r="Q10508" s="387"/>
    </row>
    <row r="10509" spans="15:17" ht="20.100000000000001" customHeight="1">
      <c r="O10509" s="387"/>
      <c r="P10509" s="387"/>
      <c r="Q10509" s="387"/>
    </row>
    <row r="10510" spans="15:17" ht="20.100000000000001" customHeight="1">
      <c r="O10510" s="387"/>
      <c r="P10510" s="387"/>
      <c r="Q10510" s="387"/>
    </row>
    <row r="10511" spans="15:17" ht="20.100000000000001" customHeight="1">
      <c r="O10511" s="387"/>
      <c r="P10511" s="387"/>
      <c r="Q10511" s="387"/>
    </row>
    <row r="10512" spans="15:17" ht="20.100000000000001" customHeight="1">
      <c r="O10512" s="387"/>
      <c r="P10512" s="387"/>
      <c r="Q10512" s="387"/>
    </row>
    <row r="10513" spans="15:17" ht="20.100000000000001" customHeight="1">
      <c r="O10513" s="387"/>
      <c r="P10513" s="387"/>
      <c r="Q10513" s="387"/>
    </row>
    <row r="10514" spans="15:17" ht="20.100000000000001" customHeight="1">
      <c r="O10514" s="387"/>
      <c r="P10514" s="387"/>
      <c r="Q10514" s="387"/>
    </row>
    <row r="10515" spans="15:17" ht="20.100000000000001" customHeight="1">
      <c r="O10515" s="387"/>
      <c r="P10515" s="387"/>
      <c r="Q10515" s="387"/>
    </row>
    <row r="10516" spans="15:17" ht="20.100000000000001" customHeight="1">
      <c r="O10516" s="387"/>
      <c r="P10516" s="387"/>
      <c r="Q10516" s="387"/>
    </row>
    <row r="10517" spans="15:17" ht="20.100000000000001" customHeight="1">
      <c r="O10517" s="387"/>
      <c r="P10517" s="387"/>
      <c r="Q10517" s="387"/>
    </row>
    <row r="10518" spans="15:17" ht="20.100000000000001" customHeight="1">
      <c r="O10518" s="387"/>
      <c r="P10518" s="387"/>
      <c r="Q10518" s="387"/>
    </row>
    <row r="10519" spans="15:17" ht="20.100000000000001" customHeight="1">
      <c r="O10519" s="387"/>
      <c r="P10519" s="387"/>
      <c r="Q10519" s="387"/>
    </row>
    <row r="10520" spans="15:17" ht="20.100000000000001" customHeight="1">
      <c r="O10520" s="387"/>
      <c r="P10520" s="387"/>
      <c r="Q10520" s="387"/>
    </row>
    <row r="10521" spans="15:17" ht="20.100000000000001" customHeight="1">
      <c r="O10521" s="387"/>
      <c r="P10521" s="387"/>
      <c r="Q10521" s="387"/>
    </row>
    <row r="10522" spans="15:17" ht="20.100000000000001" customHeight="1">
      <c r="O10522" s="387"/>
      <c r="P10522" s="387"/>
      <c r="Q10522" s="387"/>
    </row>
    <row r="10523" spans="15:17" ht="20.100000000000001" customHeight="1">
      <c r="O10523" s="387"/>
      <c r="P10523" s="387"/>
      <c r="Q10523" s="387"/>
    </row>
    <row r="10524" spans="15:17" ht="20.100000000000001" customHeight="1">
      <c r="O10524" s="387"/>
      <c r="P10524" s="387"/>
      <c r="Q10524" s="387"/>
    </row>
    <row r="10525" spans="15:17" ht="20.100000000000001" customHeight="1">
      <c r="O10525" s="387"/>
      <c r="P10525" s="387"/>
      <c r="Q10525" s="387"/>
    </row>
    <row r="10526" spans="15:17" ht="20.100000000000001" customHeight="1">
      <c r="O10526" s="387"/>
      <c r="P10526" s="387"/>
      <c r="Q10526" s="387"/>
    </row>
    <row r="10527" spans="15:17" ht="20.100000000000001" customHeight="1">
      <c r="O10527" s="387"/>
      <c r="P10527" s="387"/>
      <c r="Q10527" s="387"/>
    </row>
    <row r="10528" spans="15:17" ht="20.100000000000001" customHeight="1">
      <c r="O10528" s="387"/>
      <c r="P10528" s="387"/>
      <c r="Q10528" s="387"/>
    </row>
    <row r="10529" spans="15:17" ht="20.100000000000001" customHeight="1">
      <c r="O10529" s="387"/>
      <c r="P10529" s="387"/>
      <c r="Q10529" s="387"/>
    </row>
    <row r="10530" spans="15:17" ht="20.100000000000001" customHeight="1">
      <c r="O10530" s="387"/>
      <c r="P10530" s="387"/>
      <c r="Q10530" s="387"/>
    </row>
    <row r="10531" spans="15:17" ht="20.100000000000001" customHeight="1">
      <c r="O10531" s="387"/>
      <c r="P10531" s="387"/>
      <c r="Q10531" s="387"/>
    </row>
    <row r="10532" spans="15:17" ht="20.100000000000001" customHeight="1">
      <c r="O10532" s="387"/>
      <c r="P10532" s="387"/>
      <c r="Q10532" s="387"/>
    </row>
    <row r="10533" spans="15:17" ht="20.100000000000001" customHeight="1">
      <c r="O10533" s="387"/>
      <c r="P10533" s="387"/>
      <c r="Q10533" s="387"/>
    </row>
    <row r="10534" spans="15:17" ht="20.100000000000001" customHeight="1">
      <c r="O10534" s="387"/>
      <c r="P10534" s="387"/>
      <c r="Q10534" s="387"/>
    </row>
    <row r="10535" spans="15:17" ht="20.100000000000001" customHeight="1">
      <c r="O10535" s="387"/>
      <c r="P10535" s="387"/>
      <c r="Q10535" s="387"/>
    </row>
    <row r="10536" spans="15:17" ht="20.100000000000001" customHeight="1">
      <c r="O10536" s="387"/>
      <c r="P10536" s="387"/>
      <c r="Q10536" s="387"/>
    </row>
    <row r="10537" spans="15:17" ht="20.100000000000001" customHeight="1">
      <c r="O10537" s="387"/>
      <c r="P10537" s="387"/>
      <c r="Q10537" s="387"/>
    </row>
    <row r="10538" spans="15:17" ht="20.100000000000001" customHeight="1">
      <c r="O10538" s="387"/>
      <c r="P10538" s="387"/>
      <c r="Q10538" s="387"/>
    </row>
    <row r="10539" spans="15:17" ht="20.100000000000001" customHeight="1">
      <c r="O10539" s="387"/>
      <c r="P10539" s="387"/>
      <c r="Q10539" s="387"/>
    </row>
    <row r="10540" spans="15:17" ht="20.100000000000001" customHeight="1">
      <c r="O10540" s="387"/>
      <c r="P10540" s="387"/>
      <c r="Q10540" s="387"/>
    </row>
    <row r="10541" spans="15:17" ht="20.100000000000001" customHeight="1">
      <c r="O10541" s="387"/>
      <c r="P10541" s="387"/>
      <c r="Q10541" s="387"/>
    </row>
    <row r="10542" spans="15:17" ht="20.100000000000001" customHeight="1">
      <c r="O10542" s="387"/>
      <c r="P10542" s="387"/>
      <c r="Q10542" s="387"/>
    </row>
    <row r="10543" spans="15:17" ht="20.100000000000001" customHeight="1">
      <c r="O10543" s="387"/>
      <c r="P10543" s="387"/>
      <c r="Q10543" s="387"/>
    </row>
    <row r="10544" spans="15:17" ht="20.100000000000001" customHeight="1">
      <c r="O10544" s="387"/>
      <c r="P10544" s="387"/>
      <c r="Q10544" s="387"/>
    </row>
    <row r="10545" spans="15:17" ht="20.100000000000001" customHeight="1">
      <c r="O10545" s="387"/>
      <c r="P10545" s="387"/>
      <c r="Q10545" s="387"/>
    </row>
    <row r="10546" spans="15:17" ht="20.100000000000001" customHeight="1">
      <c r="O10546" s="387"/>
      <c r="P10546" s="387"/>
      <c r="Q10546" s="387"/>
    </row>
    <row r="10547" spans="15:17" ht="20.100000000000001" customHeight="1">
      <c r="O10547" s="387"/>
      <c r="P10547" s="387"/>
      <c r="Q10547" s="387"/>
    </row>
    <row r="10548" spans="15:17" ht="20.100000000000001" customHeight="1">
      <c r="O10548" s="387"/>
      <c r="P10548" s="387"/>
      <c r="Q10548" s="387"/>
    </row>
    <row r="10549" spans="15:17" ht="20.100000000000001" customHeight="1">
      <c r="O10549" s="387"/>
      <c r="P10549" s="387"/>
      <c r="Q10549" s="387"/>
    </row>
    <row r="10550" spans="15:17" ht="20.100000000000001" customHeight="1">
      <c r="O10550" s="387"/>
      <c r="P10550" s="387"/>
      <c r="Q10550" s="387"/>
    </row>
    <row r="10551" spans="15:17" ht="20.100000000000001" customHeight="1">
      <c r="O10551" s="387"/>
      <c r="P10551" s="387"/>
      <c r="Q10551" s="387"/>
    </row>
    <row r="10552" spans="15:17" ht="20.100000000000001" customHeight="1">
      <c r="O10552" s="387"/>
      <c r="P10552" s="387"/>
      <c r="Q10552" s="387"/>
    </row>
    <row r="10553" spans="15:17" ht="20.100000000000001" customHeight="1">
      <c r="O10553" s="387"/>
      <c r="P10553" s="387"/>
      <c r="Q10553" s="387"/>
    </row>
    <row r="10554" spans="15:17" ht="20.100000000000001" customHeight="1">
      <c r="O10554" s="387"/>
      <c r="P10554" s="387"/>
      <c r="Q10554" s="387"/>
    </row>
    <row r="10555" spans="15:17" ht="20.100000000000001" customHeight="1">
      <c r="O10555" s="387"/>
      <c r="P10555" s="387"/>
      <c r="Q10555" s="387"/>
    </row>
    <row r="10556" spans="15:17" ht="20.100000000000001" customHeight="1">
      <c r="O10556" s="387"/>
      <c r="P10556" s="387"/>
      <c r="Q10556" s="387"/>
    </row>
    <row r="10557" spans="15:17" ht="20.100000000000001" customHeight="1">
      <c r="O10557" s="387"/>
      <c r="P10557" s="387"/>
      <c r="Q10557" s="387"/>
    </row>
    <row r="10558" spans="15:17" ht="20.100000000000001" customHeight="1">
      <c r="O10558" s="387"/>
      <c r="P10558" s="387"/>
      <c r="Q10558" s="387"/>
    </row>
    <row r="10559" spans="15:17" ht="20.100000000000001" customHeight="1">
      <c r="O10559" s="387"/>
      <c r="P10559" s="387"/>
      <c r="Q10559" s="387"/>
    </row>
    <row r="10560" spans="15:17" ht="20.100000000000001" customHeight="1">
      <c r="O10560" s="387"/>
      <c r="P10560" s="387"/>
      <c r="Q10560" s="387"/>
    </row>
    <row r="10561" spans="15:17" ht="20.100000000000001" customHeight="1">
      <c r="O10561" s="387"/>
      <c r="P10561" s="387"/>
      <c r="Q10561" s="387"/>
    </row>
    <row r="10562" spans="15:17" ht="20.100000000000001" customHeight="1">
      <c r="O10562" s="387"/>
      <c r="P10562" s="387"/>
      <c r="Q10562" s="387"/>
    </row>
    <row r="10563" spans="15:17" ht="20.100000000000001" customHeight="1">
      <c r="O10563" s="387"/>
      <c r="P10563" s="387"/>
      <c r="Q10563" s="387"/>
    </row>
    <row r="10564" spans="15:17" ht="20.100000000000001" customHeight="1">
      <c r="O10564" s="387"/>
      <c r="P10564" s="387"/>
      <c r="Q10564" s="387"/>
    </row>
    <row r="10565" spans="15:17" ht="20.100000000000001" customHeight="1">
      <c r="O10565" s="387"/>
      <c r="P10565" s="387"/>
      <c r="Q10565" s="387"/>
    </row>
    <row r="10566" spans="15:17" ht="20.100000000000001" customHeight="1">
      <c r="O10566" s="387"/>
      <c r="P10566" s="387"/>
      <c r="Q10566" s="387"/>
    </row>
    <row r="10567" spans="15:17" ht="20.100000000000001" customHeight="1">
      <c r="O10567" s="387"/>
      <c r="P10567" s="387"/>
      <c r="Q10567" s="387"/>
    </row>
    <row r="10568" spans="15:17" ht="20.100000000000001" customHeight="1">
      <c r="O10568" s="387"/>
      <c r="P10568" s="387"/>
      <c r="Q10568" s="387"/>
    </row>
    <row r="10569" spans="15:17" ht="20.100000000000001" customHeight="1">
      <c r="O10569" s="387"/>
      <c r="P10569" s="387"/>
      <c r="Q10569" s="387"/>
    </row>
    <row r="10570" spans="15:17" ht="20.100000000000001" customHeight="1">
      <c r="O10570" s="387"/>
      <c r="P10570" s="387"/>
      <c r="Q10570" s="387"/>
    </row>
    <row r="10571" spans="15:17" ht="20.100000000000001" customHeight="1">
      <c r="O10571" s="387"/>
      <c r="P10571" s="387"/>
      <c r="Q10571" s="387"/>
    </row>
    <row r="10572" spans="15:17" ht="20.100000000000001" customHeight="1">
      <c r="O10572" s="387"/>
      <c r="P10572" s="387"/>
      <c r="Q10572" s="387"/>
    </row>
    <row r="10573" spans="15:17" ht="20.100000000000001" customHeight="1">
      <c r="O10573" s="387"/>
      <c r="P10573" s="387"/>
      <c r="Q10573" s="387"/>
    </row>
    <row r="10574" spans="15:17" ht="20.100000000000001" customHeight="1">
      <c r="O10574" s="387"/>
      <c r="P10574" s="387"/>
      <c r="Q10574" s="387"/>
    </row>
    <row r="10575" spans="15:17" ht="20.100000000000001" customHeight="1">
      <c r="O10575" s="387"/>
      <c r="P10575" s="387"/>
      <c r="Q10575" s="387"/>
    </row>
    <row r="10576" spans="15:17" ht="20.100000000000001" customHeight="1">
      <c r="O10576" s="387"/>
      <c r="P10576" s="387"/>
      <c r="Q10576" s="387"/>
    </row>
    <row r="10577" spans="15:17" ht="20.100000000000001" customHeight="1">
      <c r="O10577" s="387"/>
      <c r="P10577" s="387"/>
      <c r="Q10577" s="387"/>
    </row>
    <row r="10578" spans="15:17" ht="20.100000000000001" customHeight="1">
      <c r="O10578" s="387"/>
      <c r="P10578" s="387"/>
      <c r="Q10578" s="387"/>
    </row>
    <row r="10579" spans="15:17" ht="20.100000000000001" customHeight="1">
      <c r="O10579" s="387"/>
      <c r="P10579" s="387"/>
      <c r="Q10579" s="387"/>
    </row>
    <row r="10580" spans="15:17" ht="20.100000000000001" customHeight="1">
      <c r="O10580" s="387"/>
      <c r="P10580" s="387"/>
      <c r="Q10580" s="387"/>
    </row>
    <row r="10581" spans="15:17" ht="20.100000000000001" customHeight="1">
      <c r="O10581" s="387"/>
      <c r="P10581" s="387"/>
      <c r="Q10581" s="387"/>
    </row>
    <row r="10582" spans="15:17" ht="20.100000000000001" customHeight="1">
      <c r="O10582" s="387"/>
      <c r="P10582" s="387"/>
      <c r="Q10582" s="387"/>
    </row>
    <row r="10583" spans="15:17" ht="20.100000000000001" customHeight="1">
      <c r="O10583" s="387"/>
      <c r="P10583" s="387"/>
      <c r="Q10583" s="387"/>
    </row>
    <row r="10584" spans="15:17" ht="20.100000000000001" customHeight="1">
      <c r="O10584" s="387"/>
      <c r="P10584" s="387"/>
      <c r="Q10584" s="387"/>
    </row>
    <row r="10585" spans="15:17" ht="20.100000000000001" customHeight="1">
      <c r="O10585" s="387"/>
      <c r="P10585" s="387"/>
      <c r="Q10585" s="387"/>
    </row>
    <row r="10586" spans="15:17" ht="20.100000000000001" customHeight="1">
      <c r="O10586" s="387"/>
      <c r="P10586" s="387"/>
      <c r="Q10586" s="387"/>
    </row>
    <row r="10587" spans="15:17" ht="20.100000000000001" customHeight="1">
      <c r="O10587" s="387"/>
      <c r="P10587" s="387"/>
      <c r="Q10587" s="387"/>
    </row>
    <row r="10588" spans="15:17" ht="20.100000000000001" customHeight="1">
      <c r="O10588" s="387"/>
      <c r="P10588" s="387"/>
      <c r="Q10588" s="387"/>
    </row>
    <row r="10589" spans="15:17" ht="20.100000000000001" customHeight="1">
      <c r="O10589" s="387"/>
      <c r="P10589" s="387"/>
      <c r="Q10589" s="387"/>
    </row>
    <row r="10590" spans="15:17" ht="20.100000000000001" customHeight="1">
      <c r="O10590" s="387"/>
      <c r="P10590" s="387"/>
      <c r="Q10590" s="387"/>
    </row>
    <row r="10591" spans="15:17" ht="20.100000000000001" customHeight="1">
      <c r="O10591" s="387"/>
      <c r="P10591" s="387"/>
      <c r="Q10591" s="387"/>
    </row>
    <row r="10592" spans="15:17" ht="20.100000000000001" customHeight="1">
      <c r="O10592" s="387"/>
      <c r="P10592" s="387"/>
      <c r="Q10592" s="387"/>
    </row>
    <row r="10593" spans="15:17" ht="20.100000000000001" customHeight="1">
      <c r="O10593" s="387"/>
      <c r="P10593" s="387"/>
      <c r="Q10593" s="387"/>
    </row>
    <row r="10594" spans="15:17" ht="20.100000000000001" customHeight="1">
      <c r="O10594" s="387"/>
      <c r="P10594" s="387"/>
      <c r="Q10594" s="387"/>
    </row>
    <row r="10595" spans="15:17" ht="20.100000000000001" customHeight="1">
      <c r="O10595" s="387"/>
      <c r="P10595" s="387"/>
      <c r="Q10595" s="387"/>
    </row>
    <row r="10596" spans="15:17" ht="20.100000000000001" customHeight="1">
      <c r="O10596" s="387"/>
      <c r="P10596" s="387"/>
      <c r="Q10596" s="387"/>
    </row>
    <row r="10597" spans="15:17" ht="20.100000000000001" customHeight="1">
      <c r="O10597" s="387"/>
      <c r="P10597" s="387"/>
      <c r="Q10597" s="387"/>
    </row>
    <row r="10598" spans="15:17" ht="20.100000000000001" customHeight="1">
      <c r="O10598" s="387"/>
      <c r="P10598" s="387"/>
      <c r="Q10598" s="387"/>
    </row>
    <row r="10599" spans="15:17" ht="20.100000000000001" customHeight="1">
      <c r="O10599" s="387"/>
      <c r="P10599" s="387"/>
      <c r="Q10599" s="387"/>
    </row>
    <row r="10600" spans="15:17" ht="20.100000000000001" customHeight="1">
      <c r="O10600" s="387"/>
      <c r="P10600" s="387"/>
      <c r="Q10600" s="387"/>
    </row>
    <row r="10601" spans="15:17" ht="20.100000000000001" customHeight="1">
      <c r="O10601" s="387"/>
      <c r="P10601" s="387"/>
      <c r="Q10601" s="387"/>
    </row>
    <row r="10602" spans="15:17" ht="20.100000000000001" customHeight="1">
      <c r="O10602" s="387"/>
      <c r="P10602" s="387"/>
      <c r="Q10602" s="387"/>
    </row>
    <row r="10603" spans="15:17" ht="20.100000000000001" customHeight="1">
      <c r="O10603" s="387"/>
      <c r="P10603" s="387"/>
      <c r="Q10603" s="387"/>
    </row>
    <row r="10604" spans="15:17" ht="20.100000000000001" customHeight="1">
      <c r="O10604" s="387"/>
      <c r="P10604" s="387"/>
      <c r="Q10604" s="387"/>
    </row>
    <row r="10605" spans="15:17" ht="20.100000000000001" customHeight="1">
      <c r="O10605" s="387"/>
      <c r="P10605" s="387"/>
      <c r="Q10605" s="387"/>
    </row>
    <row r="10606" spans="15:17" ht="20.100000000000001" customHeight="1">
      <c r="O10606" s="387"/>
      <c r="P10606" s="387"/>
      <c r="Q10606" s="387"/>
    </row>
    <row r="10607" spans="15:17" ht="20.100000000000001" customHeight="1">
      <c r="O10607" s="387"/>
      <c r="P10607" s="387"/>
      <c r="Q10607" s="387"/>
    </row>
    <row r="10608" spans="15:17" ht="20.100000000000001" customHeight="1">
      <c r="O10608" s="387"/>
      <c r="P10608" s="387"/>
      <c r="Q10608" s="387"/>
    </row>
    <row r="10609" spans="15:17" ht="20.100000000000001" customHeight="1">
      <c r="O10609" s="387"/>
      <c r="P10609" s="387"/>
      <c r="Q10609" s="387"/>
    </row>
    <row r="10610" spans="15:17" ht="20.100000000000001" customHeight="1">
      <c r="O10610" s="387"/>
      <c r="P10610" s="387"/>
      <c r="Q10610" s="387"/>
    </row>
    <row r="10611" spans="15:17" ht="20.100000000000001" customHeight="1">
      <c r="O10611" s="387"/>
      <c r="P10611" s="387"/>
      <c r="Q10611" s="387"/>
    </row>
    <row r="10612" spans="15:17" ht="20.100000000000001" customHeight="1">
      <c r="O10612" s="387"/>
      <c r="P10612" s="387"/>
      <c r="Q10612" s="387"/>
    </row>
    <row r="10613" spans="15:17" ht="20.100000000000001" customHeight="1">
      <c r="O10613" s="387"/>
      <c r="P10613" s="387"/>
      <c r="Q10613" s="387"/>
    </row>
    <row r="10614" spans="15:17" ht="20.100000000000001" customHeight="1">
      <c r="O10614" s="387"/>
      <c r="P10614" s="387"/>
      <c r="Q10614" s="387"/>
    </row>
    <row r="10615" spans="15:17" ht="20.100000000000001" customHeight="1">
      <c r="O10615" s="387"/>
      <c r="P10615" s="387"/>
      <c r="Q10615" s="387"/>
    </row>
    <row r="10616" spans="15:17" ht="20.100000000000001" customHeight="1">
      <c r="O10616" s="387"/>
      <c r="P10616" s="387"/>
      <c r="Q10616" s="387"/>
    </row>
    <row r="10617" spans="15:17" ht="20.100000000000001" customHeight="1">
      <c r="O10617" s="387"/>
      <c r="P10617" s="387"/>
      <c r="Q10617" s="387"/>
    </row>
    <row r="10618" spans="15:17" ht="20.100000000000001" customHeight="1">
      <c r="O10618" s="387"/>
      <c r="P10618" s="387"/>
      <c r="Q10618" s="387"/>
    </row>
    <row r="10619" spans="15:17" ht="20.100000000000001" customHeight="1">
      <c r="O10619" s="387"/>
      <c r="P10619" s="387"/>
      <c r="Q10619" s="387"/>
    </row>
    <row r="10620" spans="15:17" ht="20.100000000000001" customHeight="1">
      <c r="O10620" s="387"/>
      <c r="P10620" s="387"/>
      <c r="Q10620" s="387"/>
    </row>
    <row r="10621" spans="15:17" ht="20.100000000000001" customHeight="1">
      <c r="O10621" s="387"/>
      <c r="P10621" s="387"/>
      <c r="Q10621" s="387"/>
    </row>
    <row r="10622" spans="15:17" ht="20.100000000000001" customHeight="1">
      <c r="O10622" s="387"/>
      <c r="P10622" s="387"/>
      <c r="Q10622" s="387"/>
    </row>
    <row r="10623" spans="15:17" ht="20.100000000000001" customHeight="1">
      <c r="O10623" s="387"/>
      <c r="P10623" s="387"/>
      <c r="Q10623" s="387"/>
    </row>
    <row r="10624" spans="15:17" ht="20.100000000000001" customHeight="1">
      <c r="O10624" s="387"/>
      <c r="P10624" s="387"/>
      <c r="Q10624" s="387"/>
    </row>
    <row r="10625" spans="15:17" ht="20.100000000000001" customHeight="1">
      <c r="O10625" s="387"/>
      <c r="P10625" s="387"/>
      <c r="Q10625" s="387"/>
    </row>
    <row r="10626" spans="15:17" ht="20.100000000000001" customHeight="1">
      <c r="O10626" s="387"/>
      <c r="P10626" s="387"/>
      <c r="Q10626" s="387"/>
    </row>
    <row r="10627" spans="15:17" ht="20.100000000000001" customHeight="1">
      <c r="O10627" s="387"/>
      <c r="P10627" s="387"/>
      <c r="Q10627" s="387"/>
    </row>
    <row r="10628" spans="15:17" ht="20.100000000000001" customHeight="1">
      <c r="O10628" s="387"/>
      <c r="P10628" s="387"/>
      <c r="Q10628" s="387"/>
    </row>
    <row r="10629" spans="15:17" ht="20.100000000000001" customHeight="1">
      <c r="O10629" s="387"/>
      <c r="P10629" s="387"/>
      <c r="Q10629" s="387"/>
    </row>
    <row r="10630" spans="15:17" ht="20.100000000000001" customHeight="1">
      <c r="O10630" s="387"/>
      <c r="P10630" s="387"/>
      <c r="Q10630" s="387"/>
    </row>
    <row r="10631" spans="15:17" ht="20.100000000000001" customHeight="1">
      <c r="O10631" s="387"/>
      <c r="P10631" s="387"/>
      <c r="Q10631" s="387"/>
    </row>
    <row r="10632" spans="15:17" ht="20.100000000000001" customHeight="1">
      <c r="O10632" s="387"/>
      <c r="P10632" s="387"/>
      <c r="Q10632" s="387"/>
    </row>
    <row r="10633" spans="15:17" ht="20.100000000000001" customHeight="1">
      <c r="O10633" s="387"/>
      <c r="P10633" s="387"/>
      <c r="Q10633" s="387"/>
    </row>
    <row r="10634" spans="15:17" ht="20.100000000000001" customHeight="1">
      <c r="O10634" s="387"/>
      <c r="P10634" s="387"/>
      <c r="Q10634" s="387"/>
    </row>
    <row r="10635" spans="15:17" ht="20.100000000000001" customHeight="1">
      <c r="O10635" s="387"/>
      <c r="P10635" s="387"/>
      <c r="Q10635" s="387"/>
    </row>
    <row r="10636" spans="15:17" ht="20.100000000000001" customHeight="1">
      <c r="O10636" s="387"/>
      <c r="P10636" s="387"/>
      <c r="Q10636" s="387"/>
    </row>
    <row r="10637" spans="15:17" ht="20.100000000000001" customHeight="1">
      <c r="O10637" s="387"/>
      <c r="P10637" s="387"/>
      <c r="Q10637" s="387"/>
    </row>
    <row r="10638" spans="15:17" ht="20.100000000000001" customHeight="1">
      <c r="O10638" s="387"/>
      <c r="P10638" s="387"/>
      <c r="Q10638" s="387"/>
    </row>
    <row r="10639" spans="15:17" ht="20.100000000000001" customHeight="1">
      <c r="O10639" s="387"/>
      <c r="P10639" s="387"/>
      <c r="Q10639" s="387"/>
    </row>
    <row r="10640" spans="15:17" ht="20.100000000000001" customHeight="1">
      <c r="O10640" s="387"/>
      <c r="P10640" s="387"/>
      <c r="Q10640" s="387"/>
    </row>
    <row r="10641" spans="15:17" ht="20.100000000000001" customHeight="1">
      <c r="O10641" s="387"/>
      <c r="P10641" s="387"/>
      <c r="Q10641" s="387"/>
    </row>
    <row r="10642" spans="15:17" ht="20.100000000000001" customHeight="1">
      <c r="O10642" s="387"/>
      <c r="P10642" s="387"/>
      <c r="Q10642" s="387"/>
    </row>
    <row r="10643" spans="15:17" ht="20.100000000000001" customHeight="1">
      <c r="O10643" s="387"/>
      <c r="P10643" s="387"/>
      <c r="Q10643" s="387"/>
    </row>
    <row r="10644" spans="15:17" ht="20.100000000000001" customHeight="1">
      <c r="O10644" s="387"/>
      <c r="P10644" s="387"/>
      <c r="Q10644" s="387"/>
    </row>
    <row r="10645" spans="15:17" ht="20.100000000000001" customHeight="1">
      <c r="O10645" s="387"/>
      <c r="P10645" s="387"/>
      <c r="Q10645" s="387"/>
    </row>
    <row r="10646" spans="15:17" ht="20.100000000000001" customHeight="1">
      <c r="O10646" s="387"/>
      <c r="P10646" s="387"/>
      <c r="Q10646" s="387"/>
    </row>
    <row r="10647" spans="15:17" ht="20.100000000000001" customHeight="1">
      <c r="O10647" s="387"/>
      <c r="P10647" s="387"/>
      <c r="Q10647" s="387"/>
    </row>
    <row r="10648" spans="15:17" ht="20.100000000000001" customHeight="1">
      <c r="O10648" s="387"/>
      <c r="P10648" s="387"/>
      <c r="Q10648" s="387"/>
    </row>
    <row r="10649" spans="15:17" ht="20.100000000000001" customHeight="1">
      <c r="O10649" s="387"/>
      <c r="P10649" s="387"/>
      <c r="Q10649" s="387"/>
    </row>
    <row r="10650" spans="15:17" ht="20.100000000000001" customHeight="1">
      <c r="O10650" s="387"/>
      <c r="P10650" s="387"/>
      <c r="Q10650" s="387"/>
    </row>
    <row r="10651" spans="15:17" ht="20.100000000000001" customHeight="1">
      <c r="O10651" s="387"/>
      <c r="P10651" s="387"/>
      <c r="Q10651" s="387"/>
    </row>
    <row r="10652" spans="15:17" ht="20.100000000000001" customHeight="1">
      <c r="O10652" s="387"/>
      <c r="P10652" s="387"/>
      <c r="Q10652" s="387"/>
    </row>
    <row r="10653" spans="15:17" ht="20.100000000000001" customHeight="1">
      <c r="O10653" s="387"/>
      <c r="P10653" s="387"/>
      <c r="Q10653" s="387"/>
    </row>
    <row r="10654" spans="15:17" ht="20.100000000000001" customHeight="1">
      <c r="O10654" s="387"/>
      <c r="P10654" s="387"/>
      <c r="Q10654" s="387"/>
    </row>
    <row r="10655" spans="15:17" ht="20.100000000000001" customHeight="1">
      <c r="O10655" s="387"/>
      <c r="P10655" s="387"/>
      <c r="Q10655" s="387"/>
    </row>
    <row r="10656" spans="15:17" ht="20.100000000000001" customHeight="1">
      <c r="O10656" s="387"/>
      <c r="P10656" s="387"/>
      <c r="Q10656" s="387"/>
    </row>
    <row r="10657" spans="15:17" ht="20.100000000000001" customHeight="1">
      <c r="O10657" s="387"/>
      <c r="P10657" s="387"/>
      <c r="Q10657" s="387"/>
    </row>
    <row r="10658" spans="15:17" ht="20.100000000000001" customHeight="1">
      <c r="O10658" s="387"/>
      <c r="P10658" s="387"/>
      <c r="Q10658" s="387"/>
    </row>
    <row r="10659" spans="15:17" ht="20.100000000000001" customHeight="1">
      <c r="O10659" s="387"/>
      <c r="P10659" s="387"/>
      <c r="Q10659" s="387"/>
    </row>
    <row r="10660" spans="15:17" ht="20.100000000000001" customHeight="1">
      <c r="O10660" s="387"/>
      <c r="P10660" s="387"/>
      <c r="Q10660" s="387"/>
    </row>
    <row r="10661" spans="15:17" ht="20.100000000000001" customHeight="1">
      <c r="O10661" s="387"/>
      <c r="P10661" s="387"/>
      <c r="Q10661" s="387"/>
    </row>
    <row r="10662" spans="15:17" ht="20.100000000000001" customHeight="1">
      <c r="O10662" s="387"/>
      <c r="P10662" s="387"/>
      <c r="Q10662" s="387"/>
    </row>
    <row r="10663" spans="15:17" ht="20.100000000000001" customHeight="1">
      <c r="O10663" s="387"/>
      <c r="P10663" s="387"/>
      <c r="Q10663" s="387"/>
    </row>
    <row r="10664" spans="15:17" ht="20.100000000000001" customHeight="1">
      <c r="O10664" s="387"/>
      <c r="P10664" s="387"/>
      <c r="Q10664" s="387"/>
    </row>
    <row r="10665" spans="15:17" ht="20.100000000000001" customHeight="1">
      <c r="O10665" s="387"/>
      <c r="P10665" s="387"/>
      <c r="Q10665" s="387"/>
    </row>
    <row r="10666" spans="15:17" ht="20.100000000000001" customHeight="1">
      <c r="O10666" s="387"/>
      <c r="P10666" s="387"/>
      <c r="Q10666" s="387"/>
    </row>
    <row r="10667" spans="15:17" ht="20.100000000000001" customHeight="1">
      <c r="O10667" s="387"/>
      <c r="P10667" s="387"/>
      <c r="Q10667" s="387"/>
    </row>
    <row r="10668" spans="15:17" ht="20.100000000000001" customHeight="1">
      <c r="O10668" s="387"/>
      <c r="P10668" s="387"/>
      <c r="Q10668" s="387"/>
    </row>
    <row r="10669" spans="15:17" ht="20.100000000000001" customHeight="1">
      <c r="O10669" s="387"/>
      <c r="P10669" s="387"/>
      <c r="Q10669" s="387"/>
    </row>
    <row r="10670" spans="15:17" ht="20.100000000000001" customHeight="1">
      <c r="O10670" s="387"/>
      <c r="P10670" s="387"/>
      <c r="Q10670" s="387"/>
    </row>
    <row r="10671" spans="15:17" ht="20.100000000000001" customHeight="1">
      <c r="O10671" s="387"/>
      <c r="P10671" s="387"/>
      <c r="Q10671" s="387"/>
    </row>
    <row r="10672" spans="15:17" ht="20.100000000000001" customHeight="1">
      <c r="O10672" s="387"/>
      <c r="P10672" s="387"/>
      <c r="Q10672" s="387"/>
    </row>
    <row r="10673" spans="15:17" ht="20.100000000000001" customHeight="1">
      <c r="O10673" s="387"/>
      <c r="P10673" s="387"/>
      <c r="Q10673" s="387"/>
    </row>
    <row r="10674" spans="15:17" ht="20.100000000000001" customHeight="1">
      <c r="O10674" s="387"/>
      <c r="P10674" s="387"/>
      <c r="Q10674" s="387"/>
    </row>
    <row r="10675" spans="15:17" ht="20.100000000000001" customHeight="1">
      <c r="O10675" s="387"/>
      <c r="P10675" s="387"/>
      <c r="Q10675" s="387"/>
    </row>
    <row r="10676" spans="15:17" ht="20.100000000000001" customHeight="1">
      <c r="O10676" s="387"/>
      <c r="P10676" s="387"/>
      <c r="Q10676" s="387"/>
    </row>
    <row r="10677" spans="15:17" ht="20.100000000000001" customHeight="1">
      <c r="O10677" s="387"/>
      <c r="P10677" s="387"/>
      <c r="Q10677" s="387"/>
    </row>
    <row r="10678" spans="15:17" ht="20.100000000000001" customHeight="1">
      <c r="O10678" s="387"/>
      <c r="P10678" s="387"/>
      <c r="Q10678" s="387"/>
    </row>
    <row r="10679" spans="15:17" ht="20.100000000000001" customHeight="1">
      <c r="O10679" s="387"/>
      <c r="P10679" s="387"/>
      <c r="Q10679" s="387"/>
    </row>
    <row r="10680" spans="15:17" ht="20.100000000000001" customHeight="1">
      <c r="O10680" s="387"/>
      <c r="P10680" s="387"/>
      <c r="Q10680" s="387"/>
    </row>
    <row r="10681" spans="15:17" ht="20.100000000000001" customHeight="1">
      <c r="O10681" s="387"/>
      <c r="P10681" s="387"/>
      <c r="Q10681" s="387"/>
    </row>
    <row r="10682" spans="15:17" ht="20.100000000000001" customHeight="1">
      <c r="O10682" s="387"/>
      <c r="P10682" s="387"/>
      <c r="Q10682" s="387"/>
    </row>
    <row r="10683" spans="15:17" ht="20.100000000000001" customHeight="1">
      <c r="O10683" s="387"/>
      <c r="P10683" s="387"/>
      <c r="Q10683" s="387"/>
    </row>
    <row r="10684" spans="15:17" ht="20.100000000000001" customHeight="1">
      <c r="O10684" s="387"/>
      <c r="P10684" s="387"/>
      <c r="Q10684" s="387"/>
    </row>
    <row r="10685" spans="15:17" ht="20.100000000000001" customHeight="1">
      <c r="O10685" s="387"/>
      <c r="P10685" s="387"/>
      <c r="Q10685" s="387"/>
    </row>
    <row r="10686" spans="15:17" ht="20.100000000000001" customHeight="1">
      <c r="O10686" s="387"/>
      <c r="P10686" s="387"/>
      <c r="Q10686" s="387"/>
    </row>
    <row r="10687" spans="15:17" ht="20.100000000000001" customHeight="1">
      <c r="O10687" s="387"/>
      <c r="P10687" s="387"/>
      <c r="Q10687" s="387"/>
    </row>
    <row r="10688" spans="15:17" ht="20.100000000000001" customHeight="1">
      <c r="O10688" s="387"/>
      <c r="P10688" s="387"/>
      <c r="Q10688" s="387"/>
    </row>
    <row r="10689" spans="15:17" ht="20.100000000000001" customHeight="1">
      <c r="O10689" s="387"/>
      <c r="P10689" s="387"/>
      <c r="Q10689" s="387"/>
    </row>
    <row r="10690" spans="15:17" ht="20.100000000000001" customHeight="1">
      <c r="O10690" s="387"/>
      <c r="P10690" s="387"/>
      <c r="Q10690" s="387"/>
    </row>
    <row r="10691" spans="15:17" ht="20.100000000000001" customHeight="1">
      <c r="O10691" s="387"/>
      <c r="P10691" s="387"/>
      <c r="Q10691" s="387"/>
    </row>
    <row r="10692" spans="15:17" ht="20.100000000000001" customHeight="1">
      <c r="O10692" s="387"/>
      <c r="P10692" s="387"/>
      <c r="Q10692" s="387"/>
    </row>
    <row r="10693" spans="15:17" ht="20.100000000000001" customHeight="1">
      <c r="O10693" s="387"/>
      <c r="P10693" s="387"/>
      <c r="Q10693" s="387"/>
    </row>
    <row r="10694" spans="15:17" ht="20.100000000000001" customHeight="1">
      <c r="O10694" s="387"/>
      <c r="P10694" s="387"/>
      <c r="Q10694" s="387"/>
    </row>
    <row r="10695" spans="15:17" ht="20.100000000000001" customHeight="1">
      <c r="O10695" s="387"/>
      <c r="P10695" s="387"/>
      <c r="Q10695" s="387"/>
    </row>
    <row r="10696" spans="15:17" ht="20.100000000000001" customHeight="1">
      <c r="O10696" s="387"/>
      <c r="P10696" s="387"/>
      <c r="Q10696" s="387"/>
    </row>
    <row r="10697" spans="15:17" ht="20.100000000000001" customHeight="1">
      <c r="O10697" s="387"/>
      <c r="P10697" s="387"/>
      <c r="Q10697" s="387"/>
    </row>
    <row r="10698" spans="15:17" ht="20.100000000000001" customHeight="1">
      <c r="O10698" s="387"/>
      <c r="P10698" s="387"/>
      <c r="Q10698" s="387"/>
    </row>
    <row r="10699" spans="15:17" ht="20.100000000000001" customHeight="1">
      <c r="O10699" s="387"/>
      <c r="P10699" s="387"/>
      <c r="Q10699" s="387"/>
    </row>
    <row r="10700" spans="15:17" ht="20.100000000000001" customHeight="1">
      <c r="O10700" s="387"/>
      <c r="P10700" s="387"/>
      <c r="Q10700" s="387"/>
    </row>
    <row r="10701" spans="15:17" ht="20.100000000000001" customHeight="1">
      <c r="O10701" s="387"/>
      <c r="P10701" s="387"/>
      <c r="Q10701" s="387"/>
    </row>
    <row r="10702" spans="15:17" ht="20.100000000000001" customHeight="1">
      <c r="O10702" s="387"/>
      <c r="P10702" s="387"/>
      <c r="Q10702" s="387"/>
    </row>
    <row r="10703" spans="15:17" ht="20.100000000000001" customHeight="1">
      <c r="O10703" s="387"/>
      <c r="P10703" s="387"/>
      <c r="Q10703" s="387"/>
    </row>
    <row r="10704" spans="15:17" ht="20.100000000000001" customHeight="1">
      <c r="O10704" s="387"/>
      <c r="P10704" s="387"/>
      <c r="Q10704" s="387"/>
    </row>
    <row r="10705" spans="15:17" ht="20.100000000000001" customHeight="1">
      <c r="O10705" s="387"/>
      <c r="P10705" s="387"/>
      <c r="Q10705" s="387"/>
    </row>
    <row r="10706" spans="15:17" ht="20.100000000000001" customHeight="1">
      <c r="O10706" s="387"/>
      <c r="P10706" s="387"/>
      <c r="Q10706" s="387"/>
    </row>
    <row r="10707" spans="15:17" ht="20.100000000000001" customHeight="1">
      <c r="O10707" s="387"/>
      <c r="P10707" s="387"/>
      <c r="Q10707" s="387"/>
    </row>
    <row r="10708" spans="15:17" ht="20.100000000000001" customHeight="1">
      <c r="O10708" s="387"/>
      <c r="P10708" s="387"/>
      <c r="Q10708" s="387"/>
    </row>
    <row r="10709" spans="15:17" ht="20.100000000000001" customHeight="1">
      <c r="O10709" s="387"/>
      <c r="P10709" s="387"/>
      <c r="Q10709" s="387"/>
    </row>
    <row r="10710" spans="15:17" ht="20.100000000000001" customHeight="1">
      <c r="O10710" s="387"/>
      <c r="P10710" s="387"/>
      <c r="Q10710" s="387"/>
    </row>
    <row r="10711" spans="15:17" ht="20.100000000000001" customHeight="1">
      <c r="O10711" s="387"/>
      <c r="P10711" s="387"/>
      <c r="Q10711" s="387"/>
    </row>
    <row r="10712" spans="15:17" ht="20.100000000000001" customHeight="1">
      <c r="O10712" s="387"/>
      <c r="P10712" s="387"/>
      <c r="Q10712" s="387"/>
    </row>
    <row r="10713" spans="15:17" ht="20.100000000000001" customHeight="1">
      <c r="O10713" s="387"/>
      <c r="P10713" s="387"/>
      <c r="Q10713" s="387"/>
    </row>
    <row r="10714" spans="15:17" ht="20.100000000000001" customHeight="1">
      <c r="O10714" s="387"/>
      <c r="P10714" s="387"/>
      <c r="Q10714" s="387"/>
    </row>
    <row r="10715" spans="15:17" ht="20.100000000000001" customHeight="1">
      <c r="O10715" s="387"/>
      <c r="P10715" s="387"/>
      <c r="Q10715" s="387"/>
    </row>
    <row r="10716" spans="15:17" ht="20.100000000000001" customHeight="1">
      <c r="O10716" s="387"/>
      <c r="P10716" s="387"/>
      <c r="Q10716" s="387"/>
    </row>
    <row r="10717" spans="15:17" ht="20.100000000000001" customHeight="1">
      <c r="O10717" s="387"/>
      <c r="P10717" s="387"/>
      <c r="Q10717" s="387"/>
    </row>
    <row r="10718" spans="15:17" ht="20.100000000000001" customHeight="1">
      <c r="O10718" s="387"/>
      <c r="P10718" s="387"/>
      <c r="Q10718" s="387"/>
    </row>
    <row r="10719" spans="15:17" ht="20.100000000000001" customHeight="1">
      <c r="O10719" s="387"/>
      <c r="P10719" s="387"/>
      <c r="Q10719" s="387"/>
    </row>
    <row r="10720" spans="15:17" ht="20.100000000000001" customHeight="1">
      <c r="O10720" s="387"/>
      <c r="P10720" s="387"/>
      <c r="Q10720" s="387"/>
    </row>
    <row r="10721" spans="15:17" ht="20.100000000000001" customHeight="1">
      <c r="O10721" s="387"/>
      <c r="P10721" s="387"/>
      <c r="Q10721" s="387"/>
    </row>
    <row r="10722" spans="15:17" ht="20.100000000000001" customHeight="1">
      <c r="O10722" s="387"/>
      <c r="P10722" s="387"/>
      <c r="Q10722" s="387"/>
    </row>
    <row r="10723" spans="15:17" ht="20.100000000000001" customHeight="1">
      <c r="O10723" s="387"/>
      <c r="P10723" s="387"/>
      <c r="Q10723" s="387"/>
    </row>
    <row r="10724" spans="15:17" ht="20.100000000000001" customHeight="1">
      <c r="O10724" s="387"/>
      <c r="P10724" s="387"/>
      <c r="Q10724" s="387"/>
    </row>
    <row r="10725" spans="15:17" ht="20.100000000000001" customHeight="1">
      <c r="O10725" s="387"/>
      <c r="P10725" s="387"/>
      <c r="Q10725" s="387"/>
    </row>
    <row r="10726" spans="15:17" ht="20.100000000000001" customHeight="1">
      <c r="O10726" s="387"/>
      <c r="P10726" s="387"/>
      <c r="Q10726" s="387"/>
    </row>
    <row r="10727" spans="15:17" ht="20.100000000000001" customHeight="1">
      <c r="O10727" s="387"/>
      <c r="P10727" s="387"/>
      <c r="Q10727" s="387"/>
    </row>
    <row r="10728" spans="15:17" ht="20.100000000000001" customHeight="1">
      <c r="O10728" s="387"/>
      <c r="P10728" s="387"/>
      <c r="Q10728" s="387"/>
    </row>
    <row r="10729" spans="15:17" ht="20.100000000000001" customHeight="1">
      <c r="O10729" s="387"/>
      <c r="P10729" s="387"/>
      <c r="Q10729" s="387"/>
    </row>
    <row r="10730" spans="15:17" ht="20.100000000000001" customHeight="1">
      <c r="O10730" s="387"/>
      <c r="P10730" s="387"/>
      <c r="Q10730" s="387"/>
    </row>
    <row r="10731" spans="15:17" ht="20.100000000000001" customHeight="1">
      <c r="O10731" s="387"/>
      <c r="P10731" s="387"/>
      <c r="Q10731" s="387"/>
    </row>
    <row r="10732" spans="15:17" ht="20.100000000000001" customHeight="1">
      <c r="O10732" s="387"/>
      <c r="P10732" s="387"/>
      <c r="Q10732" s="387"/>
    </row>
    <row r="10733" spans="15:17" ht="20.100000000000001" customHeight="1">
      <c r="O10733" s="387"/>
      <c r="P10733" s="387"/>
      <c r="Q10733" s="387"/>
    </row>
    <row r="10734" spans="15:17" ht="20.100000000000001" customHeight="1">
      <c r="O10734" s="387"/>
      <c r="P10734" s="387"/>
      <c r="Q10734" s="387"/>
    </row>
    <row r="10735" spans="15:17" ht="20.100000000000001" customHeight="1">
      <c r="O10735" s="387"/>
      <c r="P10735" s="387"/>
      <c r="Q10735" s="387"/>
    </row>
    <row r="10736" spans="15:17" ht="20.100000000000001" customHeight="1">
      <c r="O10736" s="387"/>
      <c r="P10736" s="387"/>
      <c r="Q10736" s="387"/>
    </row>
    <row r="10737" spans="15:17" ht="20.100000000000001" customHeight="1">
      <c r="O10737" s="387"/>
      <c r="P10737" s="387"/>
      <c r="Q10737" s="387"/>
    </row>
    <row r="10738" spans="15:17" ht="20.100000000000001" customHeight="1">
      <c r="O10738" s="387"/>
      <c r="P10738" s="387"/>
      <c r="Q10738" s="387"/>
    </row>
    <row r="10739" spans="15:17" ht="20.100000000000001" customHeight="1">
      <c r="O10739" s="387"/>
      <c r="P10739" s="387"/>
      <c r="Q10739" s="387"/>
    </row>
    <row r="10740" spans="15:17" ht="20.100000000000001" customHeight="1">
      <c r="O10740" s="387"/>
      <c r="P10740" s="387"/>
      <c r="Q10740" s="387"/>
    </row>
    <row r="10741" spans="15:17" ht="20.100000000000001" customHeight="1">
      <c r="O10741" s="387"/>
      <c r="P10741" s="387"/>
      <c r="Q10741" s="387"/>
    </row>
    <row r="10742" spans="15:17" ht="20.100000000000001" customHeight="1">
      <c r="O10742" s="387"/>
      <c r="P10742" s="387"/>
      <c r="Q10742" s="387"/>
    </row>
    <row r="10743" spans="15:17" ht="20.100000000000001" customHeight="1">
      <c r="O10743" s="387"/>
      <c r="P10743" s="387"/>
      <c r="Q10743" s="387"/>
    </row>
    <row r="10744" spans="15:17" ht="20.100000000000001" customHeight="1">
      <c r="O10744" s="387"/>
      <c r="P10744" s="387"/>
      <c r="Q10744" s="387"/>
    </row>
    <row r="10745" spans="15:17" ht="20.100000000000001" customHeight="1">
      <c r="O10745" s="387"/>
      <c r="P10745" s="387"/>
      <c r="Q10745" s="387"/>
    </row>
    <row r="10746" spans="15:17" ht="20.100000000000001" customHeight="1">
      <c r="O10746" s="387"/>
      <c r="P10746" s="387"/>
      <c r="Q10746" s="387"/>
    </row>
    <row r="10747" spans="15:17" ht="20.100000000000001" customHeight="1">
      <c r="O10747" s="387"/>
      <c r="P10747" s="387"/>
      <c r="Q10747" s="387"/>
    </row>
    <row r="10748" spans="15:17" ht="20.100000000000001" customHeight="1">
      <c r="O10748" s="387"/>
      <c r="P10748" s="387"/>
      <c r="Q10748" s="387"/>
    </row>
    <row r="10749" spans="15:17" ht="20.100000000000001" customHeight="1">
      <c r="O10749" s="387"/>
      <c r="P10749" s="387"/>
      <c r="Q10749" s="387"/>
    </row>
    <row r="10750" spans="15:17" ht="20.100000000000001" customHeight="1">
      <c r="O10750" s="387"/>
      <c r="P10750" s="387"/>
      <c r="Q10750" s="387"/>
    </row>
    <row r="10751" spans="15:17" ht="20.100000000000001" customHeight="1">
      <c r="O10751" s="387"/>
      <c r="P10751" s="387"/>
      <c r="Q10751" s="387"/>
    </row>
    <row r="10752" spans="15:17" ht="20.100000000000001" customHeight="1">
      <c r="O10752" s="387"/>
      <c r="P10752" s="387"/>
      <c r="Q10752" s="387"/>
    </row>
    <row r="10753" spans="15:17" ht="20.100000000000001" customHeight="1">
      <c r="O10753" s="387"/>
      <c r="P10753" s="387"/>
      <c r="Q10753" s="387"/>
    </row>
    <row r="10754" spans="15:17" ht="20.100000000000001" customHeight="1">
      <c r="O10754" s="387"/>
      <c r="P10754" s="387"/>
      <c r="Q10754" s="387"/>
    </row>
    <row r="10755" spans="15:17" ht="20.100000000000001" customHeight="1">
      <c r="O10755" s="387"/>
      <c r="P10755" s="387"/>
      <c r="Q10755" s="387"/>
    </row>
    <row r="10756" spans="15:17" ht="20.100000000000001" customHeight="1">
      <c r="O10756" s="387"/>
      <c r="P10756" s="387"/>
      <c r="Q10756" s="387"/>
    </row>
    <row r="10757" spans="15:17" ht="20.100000000000001" customHeight="1">
      <c r="O10757" s="387"/>
      <c r="P10757" s="387"/>
      <c r="Q10757" s="387"/>
    </row>
    <row r="10758" spans="15:17" ht="20.100000000000001" customHeight="1">
      <c r="O10758" s="387"/>
      <c r="P10758" s="387"/>
      <c r="Q10758" s="387"/>
    </row>
    <row r="10759" spans="15:17" ht="20.100000000000001" customHeight="1">
      <c r="O10759" s="387"/>
      <c r="P10759" s="387"/>
      <c r="Q10759" s="387"/>
    </row>
    <row r="10760" spans="15:17" ht="20.100000000000001" customHeight="1">
      <c r="O10760" s="387"/>
      <c r="P10760" s="387"/>
      <c r="Q10760" s="387"/>
    </row>
    <row r="10761" spans="15:17" ht="20.100000000000001" customHeight="1">
      <c r="O10761" s="387"/>
      <c r="P10761" s="387"/>
      <c r="Q10761" s="387"/>
    </row>
    <row r="10762" spans="15:17" ht="20.100000000000001" customHeight="1">
      <c r="O10762" s="387"/>
      <c r="P10762" s="387"/>
      <c r="Q10762" s="387"/>
    </row>
    <row r="10763" spans="15:17" ht="20.100000000000001" customHeight="1">
      <c r="O10763" s="387"/>
      <c r="P10763" s="387"/>
      <c r="Q10763" s="387"/>
    </row>
    <row r="10764" spans="15:17" ht="20.100000000000001" customHeight="1">
      <c r="O10764" s="387"/>
      <c r="P10764" s="387"/>
      <c r="Q10764" s="387"/>
    </row>
    <row r="10765" spans="15:17" ht="20.100000000000001" customHeight="1">
      <c r="O10765" s="387"/>
      <c r="P10765" s="387"/>
      <c r="Q10765" s="387"/>
    </row>
    <row r="10766" spans="15:17" ht="20.100000000000001" customHeight="1">
      <c r="O10766" s="387"/>
      <c r="P10766" s="387"/>
      <c r="Q10766" s="387"/>
    </row>
    <row r="10767" spans="15:17" ht="20.100000000000001" customHeight="1">
      <c r="O10767" s="387"/>
      <c r="P10767" s="387"/>
      <c r="Q10767" s="387"/>
    </row>
    <row r="10768" spans="15:17" ht="20.100000000000001" customHeight="1">
      <c r="O10768" s="387"/>
      <c r="P10768" s="387"/>
      <c r="Q10768" s="387"/>
    </row>
    <row r="10769" spans="15:17" ht="20.100000000000001" customHeight="1">
      <c r="O10769" s="387"/>
      <c r="P10769" s="387"/>
      <c r="Q10769" s="387"/>
    </row>
    <row r="10770" spans="15:17" ht="20.100000000000001" customHeight="1">
      <c r="O10770" s="387"/>
      <c r="P10770" s="387"/>
      <c r="Q10770" s="387"/>
    </row>
    <row r="10771" spans="15:17" ht="20.100000000000001" customHeight="1">
      <c r="O10771" s="387"/>
      <c r="P10771" s="387"/>
      <c r="Q10771" s="387"/>
    </row>
    <row r="10772" spans="15:17" ht="20.100000000000001" customHeight="1">
      <c r="O10772" s="387"/>
      <c r="P10772" s="387"/>
      <c r="Q10772" s="387"/>
    </row>
    <row r="10773" spans="15:17" ht="20.100000000000001" customHeight="1">
      <c r="O10773" s="387"/>
      <c r="P10773" s="387"/>
      <c r="Q10773" s="387"/>
    </row>
    <row r="10774" spans="15:17" ht="20.100000000000001" customHeight="1">
      <c r="O10774" s="387"/>
      <c r="P10774" s="387"/>
      <c r="Q10774" s="387"/>
    </row>
    <row r="10775" spans="15:17" ht="20.100000000000001" customHeight="1">
      <c r="O10775" s="387"/>
      <c r="P10775" s="387"/>
      <c r="Q10775" s="387"/>
    </row>
    <row r="10776" spans="15:17" ht="20.100000000000001" customHeight="1">
      <c r="O10776" s="387"/>
      <c r="P10776" s="387"/>
      <c r="Q10776" s="387"/>
    </row>
    <row r="10777" spans="15:17" ht="20.100000000000001" customHeight="1">
      <c r="O10777" s="387"/>
      <c r="P10777" s="387"/>
      <c r="Q10777" s="387"/>
    </row>
    <row r="10778" spans="15:17" ht="20.100000000000001" customHeight="1">
      <c r="O10778" s="387"/>
      <c r="P10778" s="387"/>
      <c r="Q10778" s="387"/>
    </row>
    <row r="10779" spans="15:17" ht="20.100000000000001" customHeight="1">
      <c r="O10779" s="387"/>
      <c r="P10779" s="387"/>
      <c r="Q10779" s="387"/>
    </row>
    <row r="10780" spans="15:17" ht="20.100000000000001" customHeight="1">
      <c r="O10780" s="387"/>
      <c r="P10780" s="387"/>
      <c r="Q10780" s="387"/>
    </row>
    <row r="10781" spans="15:17" ht="20.100000000000001" customHeight="1">
      <c r="O10781" s="387"/>
      <c r="P10781" s="387"/>
      <c r="Q10781" s="387"/>
    </row>
    <row r="10782" spans="15:17" ht="20.100000000000001" customHeight="1">
      <c r="O10782" s="387"/>
      <c r="P10782" s="387"/>
      <c r="Q10782" s="387"/>
    </row>
    <row r="10783" spans="15:17" ht="20.100000000000001" customHeight="1">
      <c r="O10783" s="387"/>
      <c r="P10783" s="387"/>
      <c r="Q10783" s="387"/>
    </row>
    <row r="10784" spans="15:17" ht="20.100000000000001" customHeight="1">
      <c r="O10784" s="387"/>
      <c r="P10784" s="387"/>
      <c r="Q10784" s="387"/>
    </row>
    <row r="10785" spans="15:17" ht="20.100000000000001" customHeight="1">
      <c r="O10785" s="387"/>
      <c r="P10785" s="387"/>
      <c r="Q10785" s="387"/>
    </row>
    <row r="10786" spans="15:17" ht="20.100000000000001" customHeight="1">
      <c r="O10786" s="387"/>
      <c r="P10786" s="387"/>
      <c r="Q10786" s="387"/>
    </row>
    <row r="10787" spans="15:17" ht="20.100000000000001" customHeight="1">
      <c r="O10787" s="387"/>
      <c r="P10787" s="387"/>
      <c r="Q10787" s="387"/>
    </row>
    <row r="10788" spans="15:17" ht="20.100000000000001" customHeight="1">
      <c r="O10788" s="387"/>
      <c r="P10788" s="387"/>
      <c r="Q10788" s="387"/>
    </row>
    <row r="10789" spans="15:17" ht="20.100000000000001" customHeight="1">
      <c r="O10789" s="387"/>
      <c r="P10789" s="387"/>
      <c r="Q10789" s="387"/>
    </row>
    <row r="10790" spans="15:17" ht="20.100000000000001" customHeight="1">
      <c r="O10790" s="387"/>
      <c r="P10790" s="387"/>
      <c r="Q10790" s="387"/>
    </row>
    <row r="10791" spans="15:17" ht="20.100000000000001" customHeight="1">
      <c r="O10791" s="387"/>
      <c r="P10791" s="387"/>
      <c r="Q10791" s="387"/>
    </row>
    <row r="10792" spans="15:17" ht="20.100000000000001" customHeight="1">
      <c r="O10792" s="387"/>
      <c r="P10792" s="387"/>
      <c r="Q10792" s="387"/>
    </row>
    <row r="10793" spans="15:17" ht="20.100000000000001" customHeight="1">
      <c r="O10793" s="387"/>
      <c r="P10793" s="387"/>
      <c r="Q10793" s="387"/>
    </row>
    <row r="10794" spans="15:17" ht="20.100000000000001" customHeight="1">
      <c r="O10794" s="387"/>
      <c r="P10794" s="387"/>
      <c r="Q10794" s="387"/>
    </row>
    <row r="10795" spans="15:17" ht="20.100000000000001" customHeight="1">
      <c r="O10795" s="387"/>
      <c r="P10795" s="387"/>
      <c r="Q10795" s="387"/>
    </row>
    <row r="10796" spans="15:17" ht="20.100000000000001" customHeight="1">
      <c r="O10796" s="387"/>
      <c r="P10796" s="387"/>
      <c r="Q10796" s="387"/>
    </row>
    <row r="10797" spans="15:17" ht="20.100000000000001" customHeight="1">
      <c r="O10797" s="387"/>
      <c r="P10797" s="387"/>
      <c r="Q10797" s="387"/>
    </row>
    <row r="10798" spans="15:17" ht="20.100000000000001" customHeight="1">
      <c r="O10798" s="387"/>
      <c r="P10798" s="387"/>
      <c r="Q10798" s="387"/>
    </row>
    <row r="10799" spans="15:17" ht="20.100000000000001" customHeight="1">
      <c r="O10799" s="387"/>
      <c r="P10799" s="387"/>
      <c r="Q10799" s="387"/>
    </row>
    <row r="10800" spans="15:17" ht="20.100000000000001" customHeight="1">
      <c r="O10800" s="387"/>
      <c r="P10800" s="387"/>
      <c r="Q10800" s="387"/>
    </row>
    <row r="10801" spans="15:17" ht="20.100000000000001" customHeight="1">
      <c r="O10801" s="387"/>
      <c r="P10801" s="387"/>
      <c r="Q10801" s="387"/>
    </row>
    <row r="10802" spans="15:17" ht="20.100000000000001" customHeight="1">
      <c r="O10802" s="387"/>
      <c r="P10802" s="387"/>
      <c r="Q10802" s="387"/>
    </row>
    <row r="10803" spans="15:17" ht="20.100000000000001" customHeight="1">
      <c r="O10803" s="387"/>
      <c r="P10803" s="387"/>
      <c r="Q10803" s="387"/>
    </row>
    <row r="10804" spans="15:17" ht="20.100000000000001" customHeight="1">
      <c r="O10804" s="387"/>
      <c r="P10804" s="387"/>
      <c r="Q10804" s="387"/>
    </row>
    <row r="10805" spans="15:17" ht="20.100000000000001" customHeight="1">
      <c r="O10805" s="387"/>
      <c r="P10805" s="387"/>
      <c r="Q10805" s="387"/>
    </row>
    <row r="10806" spans="15:17" ht="20.100000000000001" customHeight="1">
      <c r="O10806" s="387"/>
      <c r="P10806" s="387"/>
      <c r="Q10806" s="387"/>
    </row>
    <row r="10807" spans="15:17" ht="20.100000000000001" customHeight="1">
      <c r="O10807" s="387"/>
      <c r="P10807" s="387"/>
      <c r="Q10807" s="387"/>
    </row>
    <row r="10808" spans="15:17" ht="20.100000000000001" customHeight="1">
      <c r="O10808" s="387"/>
      <c r="P10808" s="387"/>
      <c r="Q10808" s="387"/>
    </row>
    <row r="10809" spans="15:17" ht="20.100000000000001" customHeight="1">
      <c r="O10809" s="387"/>
      <c r="P10809" s="387"/>
      <c r="Q10809" s="387"/>
    </row>
    <row r="10810" spans="15:17" ht="20.100000000000001" customHeight="1">
      <c r="O10810" s="387"/>
      <c r="P10810" s="387"/>
      <c r="Q10810" s="387"/>
    </row>
    <row r="10811" spans="15:17" ht="20.100000000000001" customHeight="1">
      <c r="O10811" s="387"/>
      <c r="P10811" s="387"/>
      <c r="Q10811" s="387"/>
    </row>
    <row r="10812" spans="15:17" ht="20.100000000000001" customHeight="1">
      <c r="O10812" s="387"/>
      <c r="P10812" s="387"/>
      <c r="Q10812" s="387"/>
    </row>
    <row r="10813" spans="15:17" ht="20.100000000000001" customHeight="1">
      <c r="O10813" s="387"/>
      <c r="P10813" s="387"/>
      <c r="Q10813" s="387"/>
    </row>
    <row r="10814" spans="15:17" ht="20.100000000000001" customHeight="1">
      <c r="O10814" s="387"/>
      <c r="P10814" s="387"/>
      <c r="Q10814" s="387"/>
    </row>
    <row r="10815" spans="15:17" ht="20.100000000000001" customHeight="1">
      <c r="O10815" s="387"/>
      <c r="P10815" s="387"/>
      <c r="Q10815" s="387"/>
    </row>
    <row r="10816" spans="15:17" ht="20.100000000000001" customHeight="1">
      <c r="O10816" s="387"/>
      <c r="P10816" s="387"/>
      <c r="Q10816" s="387"/>
    </row>
    <row r="10817" spans="15:17" ht="20.100000000000001" customHeight="1">
      <c r="O10817" s="387"/>
      <c r="P10817" s="387"/>
      <c r="Q10817" s="387"/>
    </row>
    <row r="10818" spans="15:17" ht="20.100000000000001" customHeight="1">
      <c r="O10818" s="387"/>
      <c r="P10818" s="387"/>
      <c r="Q10818" s="387"/>
    </row>
    <row r="10819" spans="15:17" ht="20.100000000000001" customHeight="1">
      <c r="O10819" s="387"/>
      <c r="P10819" s="387"/>
      <c r="Q10819" s="387"/>
    </row>
    <row r="10820" spans="15:17" ht="20.100000000000001" customHeight="1">
      <c r="O10820" s="387"/>
      <c r="P10820" s="387"/>
      <c r="Q10820" s="387"/>
    </row>
    <row r="10821" spans="15:17" ht="20.100000000000001" customHeight="1">
      <c r="O10821" s="387"/>
      <c r="P10821" s="387"/>
      <c r="Q10821" s="387"/>
    </row>
    <row r="10822" spans="15:17" ht="20.100000000000001" customHeight="1">
      <c r="O10822" s="387"/>
      <c r="P10822" s="387"/>
      <c r="Q10822" s="387"/>
    </row>
    <row r="10823" spans="15:17" ht="20.100000000000001" customHeight="1">
      <c r="O10823" s="387"/>
      <c r="P10823" s="387"/>
      <c r="Q10823" s="387"/>
    </row>
    <row r="10824" spans="15:17" ht="20.100000000000001" customHeight="1">
      <c r="O10824" s="387"/>
      <c r="P10824" s="387"/>
      <c r="Q10824" s="387"/>
    </row>
    <row r="10825" spans="15:17" ht="20.100000000000001" customHeight="1">
      <c r="O10825" s="387"/>
      <c r="P10825" s="387"/>
      <c r="Q10825" s="387"/>
    </row>
    <row r="10826" spans="15:17" ht="20.100000000000001" customHeight="1">
      <c r="O10826" s="387"/>
      <c r="P10826" s="387"/>
      <c r="Q10826" s="387"/>
    </row>
    <row r="10827" spans="15:17" ht="20.100000000000001" customHeight="1">
      <c r="O10827" s="387"/>
      <c r="P10827" s="387"/>
      <c r="Q10827" s="387"/>
    </row>
    <row r="10828" spans="15:17" ht="20.100000000000001" customHeight="1">
      <c r="O10828" s="387"/>
      <c r="P10828" s="387"/>
      <c r="Q10828" s="387"/>
    </row>
    <row r="10829" spans="15:17" ht="20.100000000000001" customHeight="1">
      <c r="O10829" s="387"/>
      <c r="P10829" s="387"/>
      <c r="Q10829" s="387"/>
    </row>
    <row r="10830" spans="15:17" ht="20.100000000000001" customHeight="1">
      <c r="O10830" s="387"/>
      <c r="P10830" s="387"/>
      <c r="Q10830" s="387"/>
    </row>
    <row r="10831" spans="15:17" ht="20.100000000000001" customHeight="1">
      <c r="O10831" s="387"/>
      <c r="P10831" s="387"/>
      <c r="Q10831" s="387"/>
    </row>
    <row r="10832" spans="15:17" ht="20.100000000000001" customHeight="1">
      <c r="O10832" s="387"/>
      <c r="P10832" s="387"/>
      <c r="Q10832" s="387"/>
    </row>
    <row r="10833" spans="15:17" ht="20.100000000000001" customHeight="1">
      <c r="O10833" s="387"/>
      <c r="P10833" s="387"/>
      <c r="Q10833" s="387"/>
    </row>
    <row r="10834" spans="15:17" ht="20.100000000000001" customHeight="1">
      <c r="O10834" s="387"/>
      <c r="P10834" s="387"/>
      <c r="Q10834" s="387"/>
    </row>
    <row r="10835" spans="15:17" ht="20.100000000000001" customHeight="1">
      <c r="O10835" s="387"/>
      <c r="P10835" s="387"/>
      <c r="Q10835" s="387"/>
    </row>
    <row r="10836" spans="15:17" ht="20.100000000000001" customHeight="1">
      <c r="O10836" s="387"/>
      <c r="P10836" s="387"/>
      <c r="Q10836" s="387"/>
    </row>
    <row r="10837" spans="15:17" ht="20.100000000000001" customHeight="1">
      <c r="O10837" s="387"/>
      <c r="P10837" s="387"/>
      <c r="Q10837" s="387"/>
    </row>
    <row r="10838" spans="15:17" ht="20.100000000000001" customHeight="1">
      <c r="O10838" s="387"/>
      <c r="P10838" s="387"/>
      <c r="Q10838" s="387"/>
    </row>
    <row r="10839" spans="15:17" ht="20.100000000000001" customHeight="1">
      <c r="O10839" s="387"/>
      <c r="P10839" s="387"/>
      <c r="Q10839" s="387"/>
    </row>
    <row r="10840" spans="15:17" ht="20.100000000000001" customHeight="1">
      <c r="O10840" s="387"/>
      <c r="P10840" s="387"/>
      <c r="Q10840" s="387"/>
    </row>
    <row r="10841" spans="15:17" ht="20.100000000000001" customHeight="1">
      <c r="O10841" s="387"/>
      <c r="P10841" s="387"/>
      <c r="Q10841" s="387"/>
    </row>
    <row r="10842" spans="15:17" ht="20.100000000000001" customHeight="1">
      <c r="O10842" s="387"/>
      <c r="P10842" s="387"/>
      <c r="Q10842" s="387"/>
    </row>
    <row r="10843" spans="15:17" ht="20.100000000000001" customHeight="1">
      <c r="O10843" s="387"/>
      <c r="P10843" s="387"/>
      <c r="Q10843" s="387"/>
    </row>
    <row r="10844" spans="15:17" ht="20.100000000000001" customHeight="1">
      <c r="O10844" s="387"/>
      <c r="P10844" s="387"/>
      <c r="Q10844" s="387"/>
    </row>
    <row r="10845" spans="15:17" ht="20.100000000000001" customHeight="1">
      <c r="O10845" s="387"/>
      <c r="P10845" s="387"/>
      <c r="Q10845" s="387"/>
    </row>
    <row r="10846" spans="15:17" ht="20.100000000000001" customHeight="1">
      <c r="O10846" s="387"/>
      <c r="P10846" s="387"/>
      <c r="Q10846" s="387"/>
    </row>
    <row r="10847" spans="15:17" ht="20.100000000000001" customHeight="1">
      <c r="O10847" s="387"/>
      <c r="P10847" s="387"/>
      <c r="Q10847" s="387"/>
    </row>
    <row r="10848" spans="15:17" ht="20.100000000000001" customHeight="1">
      <c r="O10848" s="387"/>
      <c r="P10848" s="387"/>
      <c r="Q10848" s="387"/>
    </row>
    <row r="10849" spans="15:17" ht="20.100000000000001" customHeight="1">
      <c r="O10849" s="387"/>
      <c r="P10849" s="387"/>
      <c r="Q10849" s="387"/>
    </row>
    <row r="10850" spans="15:17" ht="20.100000000000001" customHeight="1">
      <c r="O10850" s="387"/>
      <c r="P10850" s="387"/>
      <c r="Q10850" s="387"/>
    </row>
    <row r="10851" spans="15:17" ht="20.100000000000001" customHeight="1">
      <c r="O10851" s="387"/>
      <c r="P10851" s="387"/>
      <c r="Q10851" s="387"/>
    </row>
    <row r="10852" spans="15:17" ht="20.100000000000001" customHeight="1">
      <c r="O10852" s="387"/>
      <c r="P10852" s="387"/>
      <c r="Q10852" s="387"/>
    </row>
    <row r="10853" spans="15:17" ht="20.100000000000001" customHeight="1">
      <c r="O10853" s="387"/>
      <c r="P10853" s="387"/>
      <c r="Q10853" s="387"/>
    </row>
    <row r="10854" spans="15:17" ht="20.100000000000001" customHeight="1">
      <c r="O10854" s="387"/>
      <c r="P10854" s="387"/>
      <c r="Q10854" s="387"/>
    </row>
    <row r="10855" spans="15:17" ht="20.100000000000001" customHeight="1">
      <c r="O10855" s="387"/>
      <c r="P10855" s="387"/>
      <c r="Q10855" s="387"/>
    </row>
    <row r="10856" spans="15:17" ht="20.100000000000001" customHeight="1">
      <c r="O10856" s="387"/>
      <c r="P10856" s="387"/>
      <c r="Q10856" s="387"/>
    </row>
    <row r="10857" spans="15:17" ht="20.100000000000001" customHeight="1">
      <c r="O10857" s="387"/>
      <c r="P10857" s="387"/>
      <c r="Q10857" s="387"/>
    </row>
    <row r="10858" spans="15:17" ht="20.100000000000001" customHeight="1">
      <c r="O10858" s="387"/>
      <c r="P10858" s="387"/>
      <c r="Q10858" s="387"/>
    </row>
    <row r="10859" spans="15:17" ht="20.100000000000001" customHeight="1">
      <c r="O10859" s="387"/>
      <c r="P10859" s="387"/>
      <c r="Q10859" s="387"/>
    </row>
    <row r="10860" spans="15:17" ht="20.100000000000001" customHeight="1">
      <c r="O10860" s="387"/>
      <c r="P10860" s="387"/>
      <c r="Q10860" s="387"/>
    </row>
    <row r="10861" spans="15:17" ht="20.100000000000001" customHeight="1">
      <c r="O10861" s="387"/>
      <c r="P10861" s="387"/>
      <c r="Q10861" s="387"/>
    </row>
    <row r="10862" spans="15:17" ht="20.100000000000001" customHeight="1">
      <c r="O10862" s="387"/>
      <c r="P10862" s="387"/>
      <c r="Q10862" s="387"/>
    </row>
    <row r="10863" spans="15:17" ht="20.100000000000001" customHeight="1">
      <c r="O10863" s="387"/>
      <c r="P10863" s="387"/>
      <c r="Q10863" s="387"/>
    </row>
    <row r="10864" spans="15:17" ht="20.100000000000001" customHeight="1">
      <c r="O10864" s="387"/>
      <c r="P10864" s="387"/>
      <c r="Q10864" s="387"/>
    </row>
    <row r="10865" spans="15:17" ht="20.100000000000001" customHeight="1">
      <c r="O10865" s="387"/>
      <c r="P10865" s="387"/>
      <c r="Q10865" s="387"/>
    </row>
    <row r="10866" spans="15:17" ht="20.100000000000001" customHeight="1">
      <c r="O10866" s="387"/>
      <c r="P10866" s="387"/>
      <c r="Q10866" s="387"/>
    </row>
    <row r="10867" spans="15:17" ht="20.100000000000001" customHeight="1">
      <c r="O10867" s="387"/>
      <c r="P10867" s="387"/>
      <c r="Q10867" s="387"/>
    </row>
    <row r="10868" spans="15:17" ht="20.100000000000001" customHeight="1">
      <c r="O10868" s="387"/>
      <c r="P10868" s="387"/>
      <c r="Q10868" s="387"/>
    </row>
    <row r="10869" spans="15:17" ht="20.100000000000001" customHeight="1">
      <c r="O10869" s="387"/>
      <c r="P10869" s="387"/>
      <c r="Q10869" s="387"/>
    </row>
    <row r="10870" spans="15:17" ht="20.100000000000001" customHeight="1">
      <c r="O10870" s="387"/>
      <c r="P10870" s="387"/>
      <c r="Q10870" s="387"/>
    </row>
    <row r="10871" spans="15:17" ht="20.100000000000001" customHeight="1">
      <c r="O10871" s="387"/>
      <c r="P10871" s="387"/>
      <c r="Q10871" s="387"/>
    </row>
    <row r="10872" spans="15:17" ht="20.100000000000001" customHeight="1">
      <c r="O10872" s="387"/>
      <c r="P10872" s="387"/>
      <c r="Q10872" s="387"/>
    </row>
    <row r="10873" spans="15:17" ht="20.100000000000001" customHeight="1">
      <c r="O10873" s="387"/>
      <c r="P10873" s="387"/>
      <c r="Q10873" s="387"/>
    </row>
    <row r="10874" spans="15:17" ht="20.100000000000001" customHeight="1">
      <c r="O10874" s="387"/>
      <c r="P10874" s="387"/>
      <c r="Q10874" s="387"/>
    </row>
    <row r="10875" spans="15:17" ht="20.100000000000001" customHeight="1">
      <c r="O10875" s="387"/>
      <c r="P10875" s="387"/>
      <c r="Q10875" s="387"/>
    </row>
    <row r="10876" spans="15:17" ht="20.100000000000001" customHeight="1">
      <c r="O10876" s="387"/>
      <c r="P10876" s="387"/>
      <c r="Q10876" s="387"/>
    </row>
    <row r="10877" spans="15:17" ht="20.100000000000001" customHeight="1">
      <c r="O10877" s="387"/>
      <c r="P10877" s="387"/>
      <c r="Q10877" s="387"/>
    </row>
    <row r="10878" spans="15:17" ht="20.100000000000001" customHeight="1">
      <c r="O10878" s="387"/>
      <c r="P10878" s="387"/>
      <c r="Q10878" s="387"/>
    </row>
    <row r="10879" spans="15:17" ht="20.100000000000001" customHeight="1">
      <c r="O10879" s="387"/>
      <c r="P10879" s="387"/>
      <c r="Q10879" s="387"/>
    </row>
    <row r="10880" spans="15:17" ht="20.100000000000001" customHeight="1">
      <c r="O10880" s="387"/>
      <c r="P10880" s="387"/>
      <c r="Q10880" s="387"/>
    </row>
    <row r="10881" spans="15:17" ht="20.100000000000001" customHeight="1">
      <c r="O10881" s="387"/>
      <c r="P10881" s="387"/>
      <c r="Q10881" s="387"/>
    </row>
    <row r="10882" spans="15:17" ht="20.100000000000001" customHeight="1">
      <c r="O10882" s="387"/>
      <c r="P10882" s="387"/>
      <c r="Q10882" s="387"/>
    </row>
    <row r="10883" spans="15:17" ht="20.100000000000001" customHeight="1">
      <c r="O10883" s="387"/>
      <c r="P10883" s="387"/>
      <c r="Q10883" s="387"/>
    </row>
    <row r="10884" spans="15:17" ht="20.100000000000001" customHeight="1">
      <c r="O10884" s="387"/>
      <c r="P10884" s="387"/>
      <c r="Q10884" s="387"/>
    </row>
    <row r="10885" spans="15:17" ht="20.100000000000001" customHeight="1">
      <c r="O10885" s="387"/>
      <c r="P10885" s="387"/>
      <c r="Q10885" s="387"/>
    </row>
    <row r="10886" spans="15:17" ht="20.100000000000001" customHeight="1">
      <c r="O10886" s="387"/>
      <c r="P10886" s="387"/>
      <c r="Q10886" s="387"/>
    </row>
    <row r="10887" spans="15:17" ht="20.100000000000001" customHeight="1">
      <c r="O10887" s="387"/>
      <c r="P10887" s="387"/>
      <c r="Q10887" s="387"/>
    </row>
    <row r="10888" spans="15:17" ht="20.100000000000001" customHeight="1">
      <c r="O10888" s="387"/>
      <c r="P10888" s="387"/>
      <c r="Q10888" s="387"/>
    </row>
    <row r="10889" spans="15:17" ht="20.100000000000001" customHeight="1">
      <c r="O10889" s="387"/>
      <c r="P10889" s="387"/>
      <c r="Q10889" s="387"/>
    </row>
    <row r="10890" spans="15:17" ht="20.100000000000001" customHeight="1">
      <c r="O10890" s="387"/>
      <c r="P10890" s="387"/>
      <c r="Q10890" s="387"/>
    </row>
    <row r="10891" spans="15:17" ht="20.100000000000001" customHeight="1">
      <c r="O10891" s="387"/>
      <c r="P10891" s="387"/>
      <c r="Q10891" s="387"/>
    </row>
    <row r="10892" spans="15:17" ht="20.100000000000001" customHeight="1">
      <c r="O10892" s="387"/>
      <c r="P10892" s="387"/>
      <c r="Q10892" s="387"/>
    </row>
    <row r="10893" spans="15:17" ht="20.100000000000001" customHeight="1">
      <c r="O10893" s="387"/>
      <c r="P10893" s="387"/>
      <c r="Q10893" s="387"/>
    </row>
    <row r="10894" spans="15:17" ht="20.100000000000001" customHeight="1">
      <c r="O10894" s="387"/>
      <c r="P10894" s="387"/>
      <c r="Q10894" s="387"/>
    </row>
    <row r="10895" spans="15:17" ht="20.100000000000001" customHeight="1">
      <c r="O10895" s="387"/>
      <c r="P10895" s="387"/>
      <c r="Q10895" s="387"/>
    </row>
    <row r="10896" spans="15:17" ht="20.100000000000001" customHeight="1">
      <c r="O10896" s="387"/>
      <c r="P10896" s="387"/>
      <c r="Q10896" s="387"/>
    </row>
    <row r="10897" spans="15:17" ht="20.100000000000001" customHeight="1">
      <c r="O10897" s="387"/>
      <c r="P10897" s="387"/>
      <c r="Q10897" s="387"/>
    </row>
    <row r="10898" spans="15:17" ht="20.100000000000001" customHeight="1">
      <c r="O10898" s="387"/>
      <c r="P10898" s="387"/>
      <c r="Q10898" s="387"/>
    </row>
    <row r="10899" spans="15:17" ht="20.100000000000001" customHeight="1">
      <c r="O10899" s="387"/>
      <c r="P10899" s="387"/>
      <c r="Q10899" s="387"/>
    </row>
    <row r="10900" spans="15:17" ht="20.100000000000001" customHeight="1">
      <c r="O10900" s="387"/>
      <c r="P10900" s="387"/>
      <c r="Q10900" s="387"/>
    </row>
    <row r="10901" spans="15:17" ht="20.100000000000001" customHeight="1">
      <c r="O10901" s="387"/>
      <c r="P10901" s="387"/>
      <c r="Q10901" s="387"/>
    </row>
    <row r="10902" spans="15:17" ht="20.100000000000001" customHeight="1">
      <c r="O10902" s="387"/>
      <c r="P10902" s="387"/>
      <c r="Q10902" s="387"/>
    </row>
    <row r="10903" spans="15:17" ht="20.100000000000001" customHeight="1">
      <c r="O10903" s="387"/>
      <c r="P10903" s="387"/>
      <c r="Q10903" s="387"/>
    </row>
    <row r="10904" spans="15:17" ht="20.100000000000001" customHeight="1">
      <c r="O10904" s="387"/>
      <c r="P10904" s="387"/>
      <c r="Q10904" s="387"/>
    </row>
    <row r="10905" spans="15:17" ht="20.100000000000001" customHeight="1">
      <c r="O10905" s="387"/>
      <c r="P10905" s="387"/>
      <c r="Q10905" s="387"/>
    </row>
    <row r="10906" spans="15:17" ht="20.100000000000001" customHeight="1">
      <c r="O10906" s="387"/>
      <c r="P10906" s="387"/>
      <c r="Q10906" s="387"/>
    </row>
    <row r="10907" spans="15:17" ht="20.100000000000001" customHeight="1">
      <c r="O10907" s="387"/>
      <c r="P10907" s="387"/>
      <c r="Q10907" s="387"/>
    </row>
    <row r="10908" spans="15:17" ht="20.100000000000001" customHeight="1">
      <c r="O10908" s="387"/>
      <c r="P10908" s="387"/>
      <c r="Q10908" s="387"/>
    </row>
    <row r="10909" spans="15:17" ht="20.100000000000001" customHeight="1">
      <c r="O10909" s="387"/>
      <c r="P10909" s="387"/>
      <c r="Q10909" s="387"/>
    </row>
    <row r="10910" spans="15:17" ht="20.100000000000001" customHeight="1">
      <c r="O10910" s="387"/>
      <c r="P10910" s="387"/>
      <c r="Q10910" s="387"/>
    </row>
    <row r="10911" spans="15:17" ht="20.100000000000001" customHeight="1">
      <c r="O10911" s="387"/>
      <c r="P10911" s="387"/>
      <c r="Q10911" s="387"/>
    </row>
    <row r="10912" spans="15:17" ht="20.100000000000001" customHeight="1">
      <c r="O10912" s="387"/>
      <c r="P10912" s="387"/>
      <c r="Q10912" s="387"/>
    </row>
    <row r="10913" spans="15:17" ht="20.100000000000001" customHeight="1">
      <c r="O10913" s="387"/>
      <c r="P10913" s="387"/>
      <c r="Q10913" s="387"/>
    </row>
    <row r="10914" spans="15:17" ht="20.100000000000001" customHeight="1">
      <c r="O10914" s="387"/>
      <c r="P10914" s="387"/>
      <c r="Q10914" s="387"/>
    </row>
    <row r="10915" spans="15:17" ht="20.100000000000001" customHeight="1">
      <c r="O10915" s="387"/>
      <c r="P10915" s="387"/>
      <c r="Q10915" s="387"/>
    </row>
    <row r="10916" spans="15:17" ht="20.100000000000001" customHeight="1">
      <c r="O10916" s="387"/>
      <c r="P10916" s="387"/>
      <c r="Q10916" s="387"/>
    </row>
    <row r="10917" spans="15:17" ht="20.100000000000001" customHeight="1">
      <c r="O10917" s="387"/>
      <c r="P10917" s="387"/>
      <c r="Q10917" s="387"/>
    </row>
    <row r="10918" spans="15:17" ht="20.100000000000001" customHeight="1">
      <c r="O10918" s="387"/>
      <c r="P10918" s="387"/>
      <c r="Q10918" s="387"/>
    </row>
    <row r="10919" spans="15:17" ht="20.100000000000001" customHeight="1">
      <c r="O10919" s="387"/>
      <c r="P10919" s="387"/>
      <c r="Q10919" s="387"/>
    </row>
    <row r="10920" spans="15:17" ht="20.100000000000001" customHeight="1">
      <c r="O10920" s="387"/>
      <c r="P10920" s="387"/>
      <c r="Q10920" s="387"/>
    </row>
    <row r="10921" spans="15:17" ht="20.100000000000001" customHeight="1">
      <c r="O10921" s="387"/>
      <c r="P10921" s="387"/>
      <c r="Q10921" s="387"/>
    </row>
    <row r="10922" spans="15:17" ht="20.100000000000001" customHeight="1">
      <c r="O10922" s="387"/>
      <c r="P10922" s="387"/>
      <c r="Q10922" s="387"/>
    </row>
    <row r="10923" spans="15:17" ht="20.100000000000001" customHeight="1">
      <c r="O10923" s="387"/>
      <c r="P10923" s="387"/>
      <c r="Q10923" s="387"/>
    </row>
    <row r="10924" spans="15:17" ht="20.100000000000001" customHeight="1">
      <c r="O10924" s="387"/>
      <c r="P10924" s="387"/>
      <c r="Q10924" s="387"/>
    </row>
    <row r="10925" spans="15:17" ht="20.100000000000001" customHeight="1">
      <c r="O10925" s="387"/>
      <c r="P10925" s="387"/>
      <c r="Q10925" s="387"/>
    </row>
    <row r="10926" spans="15:17" ht="20.100000000000001" customHeight="1">
      <c r="O10926" s="387"/>
      <c r="P10926" s="387"/>
      <c r="Q10926" s="387"/>
    </row>
    <row r="10927" spans="15:17" ht="20.100000000000001" customHeight="1">
      <c r="O10927" s="387"/>
      <c r="P10927" s="387"/>
      <c r="Q10927" s="387"/>
    </row>
    <row r="10928" spans="15:17" ht="20.100000000000001" customHeight="1">
      <c r="O10928" s="387"/>
      <c r="P10928" s="387"/>
      <c r="Q10928" s="387"/>
    </row>
    <row r="10929" spans="15:17" ht="20.100000000000001" customHeight="1">
      <c r="O10929" s="387"/>
      <c r="P10929" s="387"/>
      <c r="Q10929" s="387"/>
    </row>
    <row r="10930" spans="15:17" ht="20.100000000000001" customHeight="1">
      <c r="O10930" s="387"/>
      <c r="P10930" s="387"/>
      <c r="Q10930" s="387"/>
    </row>
    <row r="10931" spans="15:17" ht="20.100000000000001" customHeight="1">
      <c r="O10931" s="387"/>
      <c r="P10931" s="387"/>
      <c r="Q10931" s="387"/>
    </row>
    <row r="10932" spans="15:17" ht="20.100000000000001" customHeight="1">
      <c r="O10932" s="387"/>
      <c r="P10932" s="387"/>
      <c r="Q10932" s="387"/>
    </row>
    <row r="10933" spans="15:17" ht="20.100000000000001" customHeight="1">
      <c r="O10933" s="387"/>
      <c r="P10933" s="387"/>
      <c r="Q10933" s="387"/>
    </row>
    <row r="10934" spans="15:17" ht="20.100000000000001" customHeight="1">
      <c r="O10934" s="387"/>
      <c r="P10934" s="387"/>
      <c r="Q10934" s="387"/>
    </row>
    <row r="10935" spans="15:17" ht="20.100000000000001" customHeight="1">
      <c r="O10935" s="387"/>
      <c r="P10935" s="387"/>
      <c r="Q10935" s="387"/>
    </row>
    <row r="10936" spans="15:17" ht="20.100000000000001" customHeight="1">
      <c r="O10936" s="387"/>
      <c r="P10936" s="387"/>
      <c r="Q10936" s="387"/>
    </row>
    <row r="10937" spans="15:17" ht="20.100000000000001" customHeight="1">
      <c r="O10937" s="387"/>
      <c r="P10937" s="387"/>
      <c r="Q10937" s="387"/>
    </row>
    <row r="10938" spans="15:17" ht="20.100000000000001" customHeight="1">
      <c r="O10938" s="387"/>
      <c r="P10938" s="387"/>
      <c r="Q10938" s="387"/>
    </row>
    <row r="10939" spans="15:17" ht="20.100000000000001" customHeight="1">
      <c r="O10939" s="387"/>
      <c r="P10939" s="387"/>
      <c r="Q10939" s="387"/>
    </row>
    <row r="10940" spans="15:17" ht="20.100000000000001" customHeight="1">
      <c r="O10940" s="387"/>
      <c r="P10940" s="387"/>
      <c r="Q10940" s="387"/>
    </row>
    <row r="10941" spans="15:17" ht="20.100000000000001" customHeight="1">
      <c r="O10941" s="387"/>
      <c r="P10941" s="387"/>
      <c r="Q10941" s="387"/>
    </row>
    <row r="10942" spans="15:17" ht="20.100000000000001" customHeight="1">
      <c r="O10942" s="387"/>
      <c r="P10942" s="387"/>
      <c r="Q10942" s="387"/>
    </row>
    <row r="10943" spans="15:17" ht="20.100000000000001" customHeight="1">
      <c r="O10943" s="387"/>
      <c r="P10943" s="387"/>
      <c r="Q10943" s="387"/>
    </row>
    <row r="10944" spans="15:17" ht="20.100000000000001" customHeight="1">
      <c r="O10944" s="387"/>
      <c r="P10944" s="387"/>
      <c r="Q10944" s="387"/>
    </row>
    <row r="10945" spans="15:17" ht="20.100000000000001" customHeight="1">
      <c r="O10945" s="387"/>
      <c r="P10945" s="387"/>
      <c r="Q10945" s="387"/>
    </row>
    <row r="10946" spans="15:17" ht="20.100000000000001" customHeight="1">
      <c r="O10946" s="387"/>
      <c r="P10946" s="387"/>
      <c r="Q10946" s="387"/>
    </row>
    <row r="10947" spans="15:17" ht="20.100000000000001" customHeight="1">
      <c r="O10947" s="387"/>
      <c r="P10947" s="387"/>
      <c r="Q10947" s="387"/>
    </row>
    <row r="10948" spans="15:17" ht="20.100000000000001" customHeight="1">
      <c r="O10948" s="387"/>
      <c r="P10948" s="387"/>
      <c r="Q10948" s="387"/>
    </row>
    <row r="10949" spans="15:17" ht="20.100000000000001" customHeight="1">
      <c r="O10949" s="387"/>
      <c r="P10949" s="387"/>
      <c r="Q10949" s="387"/>
    </row>
    <row r="10950" spans="15:17" ht="20.100000000000001" customHeight="1">
      <c r="O10950" s="387"/>
      <c r="P10950" s="387"/>
      <c r="Q10950" s="387"/>
    </row>
    <row r="10951" spans="15:17" ht="20.100000000000001" customHeight="1">
      <c r="O10951" s="387"/>
      <c r="P10951" s="387"/>
      <c r="Q10951" s="387"/>
    </row>
    <row r="10952" spans="15:17" ht="20.100000000000001" customHeight="1">
      <c r="O10952" s="387"/>
      <c r="P10952" s="387"/>
      <c r="Q10952" s="387"/>
    </row>
    <row r="10953" spans="15:17" ht="20.100000000000001" customHeight="1">
      <c r="O10953" s="387"/>
      <c r="P10953" s="387"/>
      <c r="Q10953" s="387"/>
    </row>
    <row r="10954" spans="15:17" ht="20.100000000000001" customHeight="1">
      <c r="O10954" s="387"/>
      <c r="P10954" s="387"/>
      <c r="Q10954" s="387"/>
    </row>
    <row r="10955" spans="15:17" ht="20.100000000000001" customHeight="1">
      <c r="O10955" s="387"/>
      <c r="P10955" s="387"/>
      <c r="Q10955" s="387"/>
    </row>
    <row r="10956" spans="15:17" ht="20.100000000000001" customHeight="1">
      <c r="O10956" s="387"/>
      <c r="P10956" s="387"/>
      <c r="Q10956" s="387"/>
    </row>
    <row r="10957" spans="15:17" ht="20.100000000000001" customHeight="1">
      <c r="O10957" s="387"/>
      <c r="P10957" s="387"/>
      <c r="Q10957" s="387"/>
    </row>
    <row r="10958" spans="15:17" ht="20.100000000000001" customHeight="1">
      <c r="O10958" s="387"/>
      <c r="P10958" s="387"/>
      <c r="Q10958" s="387"/>
    </row>
    <row r="10959" spans="15:17" ht="20.100000000000001" customHeight="1">
      <c r="O10959" s="387"/>
      <c r="P10959" s="387"/>
      <c r="Q10959" s="387"/>
    </row>
    <row r="10960" spans="15:17" ht="20.100000000000001" customHeight="1">
      <c r="O10960" s="387"/>
      <c r="P10960" s="387"/>
      <c r="Q10960" s="387"/>
    </row>
    <row r="10961" spans="15:17" ht="20.100000000000001" customHeight="1">
      <c r="O10961" s="387"/>
      <c r="P10961" s="387"/>
      <c r="Q10961" s="387"/>
    </row>
    <row r="10962" spans="15:17" ht="20.100000000000001" customHeight="1">
      <c r="O10962" s="387"/>
      <c r="P10962" s="387"/>
      <c r="Q10962" s="387"/>
    </row>
    <row r="10963" spans="15:17" ht="20.100000000000001" customHeight="1">
      <c r="O10963" s="387"/>
      <c r="P10963" s="387"/>
      <c r="Q10963" s="387"/>
    </row>
    <row r="10964" spans="15:17" ht="20.100000000000001" customHeight="1">
      <c r="O10964" s="387"/>
      <c r="P10964" s="387"/>
      <c r="Q10964" s="387"/>
    </row>
    <row r="10965" spans="15:17" ht="20.100000000000001" customHeight="1">
      <c r="O10965" s="387"/>
      <c r="P10965" s="387"/>
      <c r="Q10965" s="387"/>
    </row>
    <row r="10966" spans="15:17" ht="20.100000000000001" customHeight="1">
      <c r="O10966" s="387"/>
      <c r="P10966" s="387"/>
      <c r="Q10966" s="387"/>
    </row>
    <row r="10967" spans="15:17" ht="20.100000000000001" customHeight="1">
      <c r="O10967" s="387"/>
      <c r="P10967" s="387"/>
      <c r="Q10967" s="387"/>
    </row>
    <row r="10968" spans="15:17" ht="20.100000000000001" customHeight="1">
      <c r="O10968" s="387"/>
      <c r="P10968" s="387"/>
      <c r="Q10968" s="387"/>
    </row>
    <row r="10969" spans="15:17" ht="20.100000000000001" customHeight="1">
      <c r="O10969" s="387"/>
      <c r="P10969" s="387"/>
      <c r="Q10969" s="387"/>
    </row>
    <row r="10970" spans="15:17" ht="20.100000000000001" customHeight="1">
      <c r="O10970" s="387"/>
      <c r="P10970" s="387"/>
      <c r="Q10970" s="387"/>
    </row>
    <row r="10971" spans="15:17" ht="20.100000000000001" customHeight="1">
      <c r="O10971" s="387"/>
      <c r="P10971" s="387"/>
      <c r="Q10971" s="387"/>
    </row>
    <row r="10972" spans="15:17" ht="20.100000000000001" customHeight="1">
      <c r="O10972" s="387"/>
      <c r="P10972" s="387"/>
      <c r="Q10972" s="387"/>
    </row>
    <row r="10973" spans="15:17" ht="20.100000000000001" customHeight="1">
      <c r="O10973" s="387"/>
      <c r="P10973" s="387"/>
      <c r="Q10973" s="387"/>
    </row>
    <row r="10974" spans="15:17" ht="20.100000000000001" customHeight="1">
      <c r="O10974" s="387"/>
      <c r="P10974" s="387"/>
      <c r="Q10974" s="387"/>
    </row>
    <row r="10975" spans="15:17" ht="20.100000000000001" customHeight="1">
      <c r="O10975" s="387"/>
      <c r="P10975" s="387"/>
      <c r="Q10975" s="387"/>
    </row>
    <row r="10976" spans="15:17" ht="20.100000000000001" customHeight="1">
      <c r="O10976" s="387"/>
      <c r="P10976" s="387"/>
      <c r="Q10976" s="387"/>
    </row>
    <row r="10977" spans="15:17" ht="20.100000000000001" customHeight="1">
      <c r="O10977" s="387"/>
      <c r="P10977" s="387"/>
      <c r="Q10977" s="387"/>
    </row>
    <row r="10978" spans="15:17" ht="20.100000000000001" customHeight="1">
      <c r="O10978" s="387"/>
      <c r="P10978" s="387"/>
      <c r="Q10978" s="387"/>
    </row>
    <row r="10979" spans="15:17" ht="20.100000000000001" customHeight="1">
      <c r="O10979" s="387"/>
      <c r="P10979" s="387"/>
      <c r="Q10979" s="387"/>
    </row>
    <row r="10980" spans="15:17" ht="20.100000000000001" customHeight="1">
      <c r="O10980" s="387"/>
      <c r="P10980" s="387"/>
      <c r="Q10980" s="387"/>
    </row>
    <row r="10981" spans="15:17" ht="20.100000000000001" customHeight="1">
      <c r="O10981" s="387"/>
      <c r="P10981" s="387"/>
      <c r="Q10981" s="387"/>
    </row>
    <row r="10982" spans="15:17" ht="20.100000000000001" customHeight="1">
      <c r="O10982" s="387"/>
      <c r="P10982" s="387"/>
      <c r="Q10982" s="387"/>
    </row>
    <row r="10983" spans="15:17" ht="20.100000000000001" customHeight="1">
      <c r="O10983" s="387"/>
      <c r="P10983" s="387"/>
      <c r="Q10983" s="387"/>
    </row>
    <row r="10984" spans="15:17" ht="20.100000000000001" customHeight="1">
      <c r="O10984" s="387"/>
      <c r="P10984" s="387"/>
      <c r="Q10984" s="387"/>
    </row>
    <row r="10985" spans="15:17" ht="20.100000000000001" customHeight="1">
      <c r="O10985" s="387"/>
      <c r="P10985" s="387"/>
      <c r="Q10985" s="387"/>
    </row>
    <row r="10986" spans="15:17" ht="20.100000000000001" customHeight="1">
      <c r="O10986" s="387"/>
      <c r="P10986" s="387"/>
      <c r="Q10986" s="387"/>
    </row>
    <row r="10987" spans="15:17" ht="20.100000000000001" customHeight="1">
      <c r="O10987" s="387"/>
      <c r="P10987" s="387"/>
      <c r="Q10987" s="387"/>
    </row>
    <row r="10988" spans="15:17" ht="20.100000000000001" customHeight="1">
      <c r="O10988" s="387"/>
      <c r="P10988" s="387"/>
      <c r="Q10988" s="387"/>
    </row>
    <row r="10989" spans="15:17" ht="20.100000000000001" customHeight="1">
      <c r="O10989" s="387"/>
      <c r="P10989" s="387"/>
      <c r="Q10989" s="387"/>
    </row>
    <row r="10990" spans="15:17" ht="20.100000000000001" customHeight="1">
      <c r="O10990" s="387"/>
      <c r="P10990" s="387"/>
      <c r="Q10990" s="387"/>
    </row>
    <row r="10991" spans="15:17" ht="20.100000000000001" customHeight="1">
      <c r="O10991" s="387"/>
      <c r="P10991" s="387"/>
      <c r="Q10991" s="387"/>
    </row>
    <row r="10992" spans="15:17" ht="20.100000000000001" customHeight="1">
      <c r="O10992" s="387"/>
      <c r="P10992" s="387"/>
      <c r="Q10992" s="387"/>
    </row>
    <row r="10993" spans="15:17" ht="20.100000000000001" customHeight="1">
      <c r="O10993" s="387"/>
      <c r="P10993" s="387"/>
      <c r="Q10993" s="387"/>
    </row>
    <row r="10994" spans="15:17" ht="20.100000000000001" customHeight="1">
      <c r="O10994" s="387"/>
      <c r="P10994" s="387"/>
      <c r="Q10994" s="387"/>
    </row>
    <row r="10995" spans="15:17" ht="20.100000000000001" customHeight="1">
      <c r="O10995" s="387"/>
      <c r="P10995" s="387"/>
      <c r="Q10995" s="387"/>
    </row>
    <row r="10996" spans="15:17" ht="20.100000000000001" customHeight="1">
      <c r="O10996" s="387"/>
      <c r="P10996" s="387"/>
      <c r="Q10996" s="387"/>
    </row>
    <row r="10997" spans="15:17" ht="20.100000000000001" customHeight="1">
      <c r="O10997" s="387"/>
      <c r="P10997" s="387"/>
      <c r="Q10997" s="387"/>
    </row>
    <row r="10998" spans="15:17" ht="20.100000000000001" customHeight="1">
      <c r="O10998" s="387"/>
      <c r="P10998" s="387"/>
      <c r="Q10998" s="387"/>
    </row>
    <row r="10999" spans="15:17" ht="20.100000000000001" customHeight="1">
      <c r="O10999" s="387"/>
      <c r="P10999" s="387"/>
      <c r="Q10999" s="387"/>
    </row>
    <row r="11000" spans="15:17" ht="20.100000000000001" customHeight="1">
      <c r="O11000" s="387"/>
      <c r="P11000" s="387"/>
      <c r="Q11000" s="387"/>
    </row>
    <row r="11001" spans="15:17" ht="20.100000000000001" customHeight="1">
      <c r="O11001" s="387"/>
      <c r="P11001" s="387"/>
      <c r="Q11001" s="387"/>
    </row>
    <row r="11002" spans="15:17" ht="20.100000000000001" customHeight="1">
      <c r="O11002" s="387"/>
      <c r="P11002" s="387"/>
      <c r="Q11002" s="387"/>
    </row>
    <row r="11003" spans="15:17" ht="20.100000000000001" customHeight="1">
      <c r="O11003" s="387"/>
      <c r="P11003" s="387"/>
      <c r="Q11003" s="387"/>
    </row>
    <row r="11004" spans="15:17" ht="20.100000000000001" customHeight="1">
      <c r="O11004" s="387"/>
      <c r="P11004" s="387"/>
      <c r="Q11004" s="387"/>
    </row>
    <row r="11005" spans="15:17" ht="20.100000000000001" customHeight="1">
      <c r="O11005" s="387"/>
      <c r="P11005" s="387"/>
      <c r="Q11005" s="387"/>
    </row>
    <row r="11006" spans="15:17" ht="20.100000000000001" customHeight="1">
      <c r="O11006" s="387"/>
      <c r="P11006" s="387"/>
      <c r="Q11006" s="387"/>
    </row>
    <row r="11007" spans="15:17" ht="20.100000000000001" customHeight="1">
      <c r="O11007" s="387"/>
      <c r="P11007" s="387"/>
      <c r="Q11007" s="387"/>
    </row>
    <row r="11008" spans="15:17" ht="20.100000000000001" customHeight="1">
      <c r="O11008" s="387"/>
      <c r="P11008" s="387"/>
      <c r="Q11008" s="387"/>
    </row>
    <row r="11009" spans="15:17" ht="20.100000000000001" customHeight="1">
      <c r="O11009" s="387"/>
      <c r="P11009" s="387"/>
      <c r="Q11009" s="387"/>
    </row>
    <row r="11010" spans="15:17" ht="20.100000000000001" customHeight="1">
      <c r="O11010" s="387"/>
      <c r="P11010" s="387"/>
      <c r="Q11010" s="387"/>
    </row>
    <row r="11011" spans="15:17" ht="20.100000000000001" customHeight="1">
      <c r="O11011" s="387"/>
      <c r="P11011" s="387"/>
      <c r="Q11011" s="387"/>
    </row>
    <row r="11012" spans="15:17" ht="20.100000000000001" customHeight="1">
      <c r="O11012" s="387"/>
      <c r="P11012" s="387"/>
      <c r="Q11012" s="387"/>
    </row>
    <row r="11013" spans="15:17" ht="20.100000000000001" customHeight="1">
      <c r="O11013" s="387"/>
      <c r="P11013" s="387"/>
      <c r="Q11013" s="387"/>
    </row>
    <row r="11014" spans="15:17" ht="20.100000000000001" customHeight="1">
      <c r="O11014" s="387"/>
      <c r="P11014" s="387"/>
      <c r="Q11014" s="387"/>
    </row>
    <row r="11015" spans="15:17" ht="20.100000000000001" customHeight="1">
      <c r="O11015" s="387"/>
      <c r="P11015" s="387"/>
      <c r="Q11015" s="387"/>
    </row>
    <row r="11016" spans="15:17" ht="20.100000000000001" customHeight="1">
      <c r="O11016" s="387"/>
      <c r="P11016" s="387"/>
      <c r="Q11016" s="387"/>
    </row>
    <row r="11017" spans="15:17" ht="20.100000000000001" customHeight="1">
      <c r="O11017" s="387"/>
      <c r="P11017" s="387"/>
      <c r="Q11017" s="387"/>
    </row>
    <row r="11018" spans="15:17" ht="20.100000000000001" customHeight="1">
      <c r="O11018" s="387"/>
      <c r="P11018" s="387"/>
      <c r="Q11018" s="387"/>
    </row>
    <row r="11019" spans="15:17" ht="20.100000000000001" customHeight="1">
      <c r="O11019" s="387"/>
      <c r="P11019" s="387"/>
      <c r="Q11019" s="387"/>
    </row>
    <row r="11020" spans="15:17" ht="20.100000000000001" customHeight="1">
      <c r="O11020" s="387"/>
      <c r="P11020" s="387"/>
      <c r="Q11020" s="387"/>
    </row>
    <row r="11021" spans="15:17" ht="20.100000000000001" customHeight="1">
      <c r="O11021" s="387"/>
      <c r="P11021" s="387"/>
      <c r="Q11021" s="387"/>
    </row>
    <row r="11022" spans="15:17" ht="20.100000000000001" customHeight="1">
      <c r="O11022" s="387"/>
      <c r="P11022" s="387"/>
      <c r="Q11022" s="387"/>
    </row>
    <row r="11023" spans="15:17" ht="20.100000000000001" customHeight="1">
      <c r="O11023" s="387"/>
      <c r="P11023" s="387"/>
      <c r="Q11023" s="387"/>
    </row>
    <row r="11024" spans="15:17" ht="20.100000000000001" customHeight="1">
      <c r="O11024" s="387"/>
      <c r="P11024" s="387"/>
      <c r="Q11024" s="387"/>
    </row>
    <row r="11025" spans="15:17" ht="20.100000000000001" customHeight="1">
      <c r="O11025" s="387"/>
      <c r="P11025" s="387"/>
      <c r="Q11025" s="387"/>
    </row>
    <row r="11026" spans="15:17" ht="20.100000000000001" customHeight="1">
      <c r="O11026" s="387"/>
      <c r="P11026" s="387"/>
      <c r="Q11026" s="387"/>
    </row>
    <row r="11027" spans="15:17" ht="20.100000000000001" customHeight="1">
      <c r="O11027" s="387"/>
      <c r="P11027" s="387"/>
      <c r="Q11027" s="387"/>
    </row>
    <row r="11028" spans="15:17" ht="20.100000000000001" customHeight="1">
      <c r="O11028" s="387"/>
      <c r="P11028" s="387"/>
      <c r="Q11028" s="387"/>
    </row>
    <row r="11029" spans="15:17" ht="20.100000000000001" customHeight="1">
      <c r="O11029" s="387"/>
      <c r="P11029" s="387"/>
      <c r="Q11029" s="387"/>
    </row>
    <row r="11030" spans="15:17" ht="20.100000000000001" customHeight="1">
      <c r="O11030" s="387"/>
      <c r="P11030" s="387"/>
      <c r="Q11030" s="387"/>
    </row>
    <row r="11031" spans="15:17" ht="20.100000000000001" customHeight="1">
      <c r="O11031" s="387"/>
      <c r="P11031" s="387"/>
      <c r="Q11031" s="387"/>
    </row>
    <row r="11032" spans="15:17" ht="20.100000000000001" customHeight="1">
      <c r="O11032" s="387"/>
      <c r="P11032" s="387"/>
      <c r="Q11032" s="387"/>
    </row>
    <row r="11033" spans="15:17" ht="20.100000000000001" customHeight="1">
      <c r="O11033" s="387"/>
      <c r="P11033" s="387"/>
      <c r="Q11033" s="387"/>
    </row>
    <row r="11034" spans="15:17" ht="20.100000000000001" customHeight="1">
      <c r="O11034" s="387"/>
      <c r="P11034" s="387"/>
      <c r="Q11034" s="387"/>
    </row>
    <row r="11035" spans="15:17" ht="20.100000000000001" customHeight="1">
      <c r="O11035" s="387"/>
      <c r="P11035" s="387"/>
      <c r="Q11035" s="387"/>
    </row>
    <row r="11036" spans="15:17" ht="20.100000000000001" customHeight="1">
      <c r="O11036" s="387"/>
      <c r="P11036" s="387"/>
      <c r="Q11036" s="387"/>
    </row>
    <row r="11037" spans="15:17" ht="20.100000000000001" customHeight="1">
      <c r="O11037" s="387"/>
      <c r="P11037" s="387"/>
      <c r="Q11037" s="387"/>
    </row>
    <row r="11038" spans="15:17" ht="20.100000000000001" customHeight="1">
      <c r="O11038" s="387"/>
      <c r="P11038" s="387"/>
      <c r="Q11038" s="387"/>
    </row>
    <row r="11039" spans="15:17" ht="20.100000000000001" customHeight="1">
      <c r="O11039" s="387"/>
      <c r="P11039" s="387"/>
      <c r="Q11039" s="387"/>
    </row>
    <row r="11040" spans="15:17" ht="20.100000000000001" customHeight="1">
      <c r="O11040" s="387"/>
      <c r="P11040" s="387"/>
      <c r="Q11040" s="387"/>
    </row>
    <row r="11041" spans="15:17" ht="20.100000000000001" customHeight="1">
      <c r="O11041" s="387"/>
      <c r="P11041" s="387"/>
      <c r="Q11041" s="387"/>
    </row>
    <row r="11042" spans="15:17" ht="20.100000000000001" customHeight="1">
      <c r="O11042" s="387"/>
      <c r="P11042" s="387"/>
      <c r="Q11042" s="387"/>
    </row>
    <row r="11043" spans="15:17" ht="20.100000000000001" customHeight="1">
      <c r="O11043" s="387"/>
      <c r="P11043" s="387"/>
      <c r="Q11043" s="387"/>
    </row>
    <row r="11044" spans="15:17" ht="20.100000000000001" customHeight="1">
      <c r="O11044" s="387"/>
      <c r="P11044" s="387"/>
      <c r="Q11044" s="387"/>
    </row>
    <row r="11045" spans="15:17" ht="20.100000000000001" customHeight="1">
      <c r="O11045" s="387"/>
      <c r="P11045" s="387"/>
      <c r="Q11045" s="387"/>
    </row>
    <row r="11046" spans="15:17" ht="20.100000000000001" customHeight="1">
      <c r="O11046" s="387"/>
      <c r="P11046" s="387"/>
      <c r="Q11046" s="387"/>
    </row>
    <row r="11047" spans="15:17" ht="20.100000000000001" customHeight="1">
      <c r="O11047" s="387"/>
      <c r="P11047" s="387"/>
      <c r="Q11047" s="387"/>
    </row>
    <row r="11048" spans="15:17" ht="20.100000000000001" customHeight="1">
      <c r="O11048" s="387"/>
      <c r="P11048" s="387"/>
      <c r="Q11048" s="387"/>
    </row>
    <row r="11049" spans="15:17" ht="20.100000000000001" customHeight="1">
      <c r="O11049" s="387"/>
      <c r="P11049" s="387"/>
      <c r="Q11049" s="387"/>
    </row>
    <row r="11050" spans="15:17" ht="20.100000000000001" customHeight="1">
      <c r="O11050" s="387"/>
      <c r="P11050" s="387"/>
      <c r="Q11050" s="387"/>
    </row>
    <row r="11051" spans="15:17" ht="20.100000000000001" customHeight="1">
      <c r="O11051" s="387"/>
      <c r="P11051" s="387"/>
      <c r="Q11051" s="387"/>
    </row>
    <row r="11052" spans="15:17" ht="20.100000000000001" customHeight="1">
      <c r="O11052" s="387"/>
      <c r="P11052" s="387"/>
      <c r="Q11052" s="387"/>
    </row>
    <row r="11053" spans="15:17" ht="20.100000000000001" customHeight="1">
      <c r="O11053" s="387"/>
      <c r="P11053" s="387"/>
      <c r="Q11053" s="387"/>
    </row>
    <row r="11054" spans="15:17" ht="20.100000000000001" customHeight="1">
      <c r="O11054" s="387"/>
      <c r="P11054" s="387"/>
      <c r="Q11054" s="387"/>
    </row>
    <row r="11055" spans="15:17" ht="20.100000000000001" customHeight="1">
      <c r="O11055" s="387"/>
      <c r="P11055" s="387"/>
      <c r="Q11055" s="387"/>
    </row>
    <row r="11056" spans="15:17" ht="20.100000000000001" customHeight="1">
      <c r="O11056" s="387"/>
      <c r="P11056" s="387"/>
      <c r="Q11056" s="387"/>
    </row>
    <row r="11057" spans="15:17" ht="20.100000000000001" customHeight="1">
      <c r="O11057" s="387"/>
      <c r="P11057" s="387"/>
      <c r="Q11057" s="387"/>
    </row>
    <row r="11058" spans="15:17" ht="20.100000000000001" customHeight="1">
      <c r="O11058" s="387"/>
      <c r="P11058" s="387"/>
      <c r="Q11058" s="387"/>
    </row>
    <row r="11059" spans="15:17" ht="20.100000000000001" customHeight="1">
      <c r="O11059" s="387"/>
      <c r="P11059" s="387"/>
      <c r="Q11059" s="387"/>
    </row>
    <row r="11060" spans="15:17" ht="20.100000000000001" customHeight="1">
      <c r="O11060" s="387"/>
      <c r="P11060" s="387"/>
      <c r="Q11060" s="387"/>
    </row>
    <row r="11061" spans="15:17" ht="20.100000000000001" customHeight="1">
      <c r="O11061" s="387"/>
      <c r="P11061" s="387"/>
      <c r="Q11061" s="387"/>
    </row>
    <row r="11062" spans="15:17" ht="20.100000000000001" customHeight="1">
      <c r="O11062" s="387"/>
      <c r="P11062" s="387"/>
      <c r="Q11062" s="387"/>
    </row>
    <row r="11063" spans="15:17" ht="20.100000000000001" customHeight="1">
      <c r="O11063" s="387"/>
      <c r="P11063" s="387"/>
      <c r="Q11063" s="387"/>
    </row>
    <row r="11064" spans="15:17" ht="20.100000000000001" customHeight="1">
      <c r="O11064" s="387"/>
      <c r="P11064" s="387"/>
      <c r="Q11064" s="387"/>
    </row>
    <row r="11065" spans="15:17" ht="20.100000000000001" customHeight="1">
      <c r="O11065" s="387"/>
      <c r="P11065" s="387"/>
      <c r="Q11065" s="387"/>
    </row>
    <row r="11066" spans="15:17" ht="20.100000000000001" customHeight="1">
      <c r="O11066" s="387"/>
      <c r="P11066" s="387"/>
      <c r="Q11066" s="387"/>
    </row>
    <row r="11067" spans="15:17" ht="20.100000000000001" customHeight="1">
      <c r="O11067" s="387"/>
      <c r="P11067" s="387"/>
      <c r="Q11067" s="387"/>
    </row>
    <row r="11068" spans="15:17" ht="20.100000000000001" customHeight="1">
      <c r="O11068" s="387"/>
      <c r="P11068" s="387"/>
      <c r="Q11068" s="387"/>
    </row>
    <row r="11069" spans="15:17" ht="20.100000000000001" customHeight="1">
      <c r="O11069" s="387"/>
      <c r="P11069" s="387"/>
      <c r="Q11069" s="387"/>
    </row>
    <row r="11070" spans="15:17" ht="20.100000000000001" customHeight="1">
      <c r="O11070" s="387"/>
      <c r="P11070" s="387"/>
      <c r="Q11070" s="387"/>
    </row>
    <row r="11071" spans="15:17" ht="20.100000000000001" customHeight="1">
      <c r="O11071" s="387"/>
      <c r="P11071" s="387"/>
      <c r="Q11071" s="387"/>
    </row>
    <row r="11072" spans="15:17" ht="20.100000000000001" customHeight="1">
      <c r="O11072" s="387"/>
      <c r="P11072" s="387"/>
      <c r="Q11072" s="387"/>
    </row>
    <row r="11073" spans="15:17" ht="20.100000000000001" customHeight="1">
      <c r="O11073" s="387"/>
      <c r="P11073" s="387"/>
      <c r="Q11073" s="387"/>
    </row>
    <row r="11074" spans="15:17" ht="20.100000000000001" customHeight="1">
      <c r="O11074" s="387"/>
      <c r="P11074" s="387"/>
      <c r="Q11074" s="387"/>
    </row>
    <row r="11075" spans="15:17" ht="20.100000000000001" customHeight="1">
      <c r="O11075" s="387"/>
      <c r="P11075" s="387"/>
      <c r="Q11075" s="387"/>
    </row>
    <row r="11076" spans="15:17" ht="20.100000000000001" customHeight="1">
      <c r="O11076" s="387"/>
      <c r="P11076" s="387"/>
      <c r="Q11076" s="387"/>
    </row>
    <row r="11077" spans="15:17" ht="20.100000000000001" customHeight="1">
      <c r="O11077" s="387"/>
      <c r="P11077" s="387"/>
      <c r="Q11077" s="387"/>
    </row>
    <row r="11078" spans="15:17" ht="20.100000000000001" customHeight="1">
      <c r="O11078" s="387"/>
      <c r="P11078" s="387"/>
      <c r="Q11078" s="387"/>
    </row>
    <row r="11079" spans="15:17" ht="20.100000000000001" customHeight="1">
      <c r="O11079" s="387"/>
      <c r="P11079" s="387"/>
      <c r="Q11079" s="387"/>
    </row>
    <row r="11080" spans="15:17" ht="20.100000000000001" customHeight="1">
      <c r="O11080" s="387"/>
      <c r="P11080" s="387"/>
      <c r="Q11080" s="387"/>
    </row>
    <row r="11081" spans="15:17" ht="20.100000000000001" customHeight="1">
      <c r="O11081" s="387"/>
      <c r="P11081" s="387"/>
      <c r="Q11081" s="387"/>
    </row>
    <row r="11082" spans="15:17" ht="20.100000000000001" customHeight="1">
      <c r="O11082" s="387"/>
      <c r="P11082" s="387"/>
      <c r="Q11082" s="387"/>
    </row>
    <row r="11083" spans="15:17" ht="20.100000000000001" customHeight="1">
      <c r="O11083" s="387"/>
      <c r="P11083" s="387"/>
      <c r="Q11083" s="387"/>
    </row>
    <row r="11084" spans="15:17" ht="20.100000000000001" customHeight="1">
      <c r="O11084" s="387"/>
      <c r="P11084" s="387"/>
      <c r="Q11084" s="387"/>
    </row>
    <row r="11085" spans="15:17" ht="20.100000000000001" customHeight="1">
      <c r="O11085" s="387"/>
      <c r="P11085" s="387"/>
      <c r="Q11085" s="387"/>
    </row>
    <row r="11086" spans="15:17" ht="20.100000000000001" customHeight="1">
      <c r="O11086" s="387"/>
      <c r="P11086" s="387"/>
      <c r="Q11086" s="387"/>
    </row>
    <row r="11087" spans="15:17" ht="20.100000000000001" customHeight="1">
      <c r="O11087" s="387"/>
      <c r="P11087" s="387"/>
      <c r="Q11087" s="387"/>
    </row>
    <row r="11088" spans="15:17" ht="20.100000000000001" customHeight="1">
      <c r="O11088" s="387"/>
      <c r="P11088" s="387"/>
      <c r="Q11088" s="387"/>
    </row>
    <row r="11089" spans="15:17" ht="20.100000000000001" customHeight="1">
      <c r="O11089" s="387"/>
      <c r="P11089" s="387"/>
      <c r="Q11089" s="387"/>
    </row>
    <row r="11090" spans="15:17" ht="20.100000000000001" customHeight="1">
      <c r="O11090" s="387"/>
      <c r="P11090" s="387"/>
      <c r="Q11090" s="387"/>
    </row>
    <row r="11091" spans="15:17" ht="20.100000000000001" customHeight="1">
      <c r="O11091" s="387"/>
      <c r="P11091" s="387"/>
      <c r="Q11091" s="387"/>
    </row>
    <row r="11092" spans="15:17" ht="20.100000000000001" customHeight="1">
      <c r="O11092" s="387"/>
      <c r="P11092" s="387"/>
      <c r="Q11092" s="387"/>
    </row>
    <row r="11093" spans="15:17" ht="20.100000000000001" customHeight="1">
      <c r="O11093" s="387"/>
      <c r="P11093" s="387"/>
      <c r="Q11093" s="387"/>
    </row>
    <row r="11094" spans="15:17" ht="20.100000000000001" customHeight="1">
      <c r="O11094" s="387"/>
      <c r="P11094" s="387"/>
      <c r="Q11094" s="387"/>
    </row>
    <row r="11095" spans="15:17" ht="20.100000000000001" customHeight="1">
      <c r="O11095" s="387"/>
      <c r="P11095" s="387"/>
      <c r="Q11095" s="387"/>
    </row>
    <row r="11096" spans="15:17" ht="20.100000000000001" customHeight="1">
      <c r="O11096" s="387"/>
      <c r="P11096" s="387"/>
      <c r="Q11096" s="387"/>
    </row>
    <row r="11097" spans="15:17" ht="20.100000000000001" customHeight="1">
      <c r="O11097" s="387"/>
      <c r="P11097" s="387"/>
      <c r="Q11097" s="387"/>
    </row>
    <row r="11098" spans="15:17" ht="20.100000000000001" customHeight="1">
      <c r="O11098" s="387"/>
      <c r="P11098" s="387"/>
      <c r="Q11098" s="387"/>
    </row>
    <row r="11099" spans="15:17" ht="20.100000000000001" customHeight="1">
      <c r="O11099" s="387"/>
      <c r="P11099" s="387"/>
      <c r="Q11099" s="387"/>
    </row>
    <row r="11100" spans="15:17" ht="20.100000000000001" customHeight="1">
      <c r="O11100" s="387"/>
      <c r="P11100" s="387"/>
      <c r="Q11100" s="387"/>
    </row>
    <row r="11101" spans="15:17" ht="20.100000000000001" customHeight="1">
      <c r="O11101" s="387"/>
      <c r="P11101" s="387"/>
      <c r="Q11101" s="387"/>
    </row>
    <row r="11102" spans="15:17" ht="20.100000000000001" customHeight="1">
      <c r="O11102" s="387"/>
      <c r="P11102" s="387"/>
      <c r="Q11102" s="387"/>
    </row>
    <row r="11103" spans="15:17" ht="20.100000000000001" customHeight="1">
      <c r="O11103" s="387"/>
      <c r="P11103" s="387"/>
      <c r="Q11103" s="387"/>
    </row>
    <row r="11104" spans="15:17" ht="20.100000000000001" customHeight="1">
      <c r="O11104" s="387"/>
      <c r="P11104" s="387"/>
      <c r="Q11104" s="387"/>
    </row>
    <row r="11105" spans="15:17" ht="20.100000000000001" customHeight="1">
      <c r="O11105" s="387"/>
      <c r="P11105" s="387"/>
      <c r="Q11105" s="387"/>
    </row>
    <row r="11106" spans="15:17" ht="20.100000000000001" customHeight="1">
      <c r="O11106" s="387"/>
      <c r="P11106" s="387"/>
      <c r="Q11106" s="387"/>
    </row>
    <row r="11107" spans="15:17" ht="20.100000000000001" customHeight="1">
      <c r="O11107" s="387"/>
      <c r="P11107" s="387"/>
      <c r="Q11107" s="387"/>
    </row>
    <row r="11108" spans="15:17" ht="20.100000000000001" customHeight="1">
      <c r="O11108" s="387"/>
      <c r="P11108" s="387"/>
      <c r="Q11108" s="387"/>
    </row>
    <row r="11109" spans="15:17" ht="20.100000000000001" customHeight="1">
      <c r="O11109" s="387"/>
      <c r="P11109" s="387"/>
      <c r="Q11109" s="387"/>
    </row>
    <row r="11110" spans="15:17" ht="20.100000000000001" customHeight="1">
      <c r="O11110" s="387"/>
      <c r="P11110" s="387"/>
      <c r="Q11110" s="387"/>
    </row>
    <row r="11111" spans="15:17" ht="20.100000000000001" customHeight="1">
      <c r="O11111" s="387"/>
      <c r="P11111" s="387"/>
      <c r="Q11111" s="387"/>
    </row>
    <row r="11112" spans="15:17" ht="20.100000000000001" customHeight="1">
      <c r="O11112" s="387"/>
      <c r="P11112" s="387"/>
      <c r="Q11112" s="387"/>
    </row>
    <row r="11113" spans="15:17" ht="20.100000000000001" customHeight="1">
      <c r="O11113" s="387"/>
      <c r="P11113" s="387"/>
      <c r="Q11113" s="387"/>
    </row>
    <row r="11114" spans="15:17" ht="20.100000000000001" customHeight="1">
      <c r="O11114" s="387"/>
      <c r="P11114" s="387"/>
      <c r="Q11114" s="387"/>
    </row>
    <row r="11115" spans="15:17" ht="20.100000000000001" customHeight="1">
      <c r="O11115" s="387"/>
      <c r="P11115" s="387"/>
      <c r="Q11115" s="387"/>
    </row>
    <row r="11116" spans="15:17" ht="20.100000000000001" customHeight="1">
      <c r="O11116" s="387"/>
      <c r="P11116" s="387"/>
      <c r="Q11116" s="387"/>
    </row>
    <row r="11117" spans="15:17" ht="20.100000000000001" customHeight="1">
      <c r="O11117" s="387"/>
      <c r="P11117" s="387"/>
      <c r="Q11117" s="387"/>
    </row>
    <row r="11118" spans="15:17" ht="20.100000000000001" customHeight="1">
      <c r="O11118" s="387"/>
      <c r="P11118" s="387"/>
      <c r="Q11118" s="387"/>
    </row>
    <row r="11119" spans="15:17" ht="20.100000000000001" customHeight="1">
      <c r="O11119" s="387"/>
      <c r="P11119" s="387"/>
      <c r="Q11119" s="387"/>
    </row>
    <row r="11120" spans="15:17" ht="20.100000000000001" customHeight="1">
      <c r="O11120" s="387"/>
      <c r="P11120" s="387"/>
      <c r="Q11120" s="387"/>
    </row>
    <row r="11121" spans="15:17" ht="20.100000000000001" customHeight="1">
      <c r="O11121" s="387"/>
      <c r="P11121" s="387"/>
      <c r="Q11121" s="387"/>
    </row>
    <row r="11122" spans="15:17" ht="20.100000000000001" customHeight="1">
      <c r="O11122" s="387"/>
      <c r="P11122" s="387"/>
      <c r="Q11122" s="387"/>
    </row>
    <row r="11123" spans="15:17" ht="20.100000000000001" customHeight="1">
      <c r="O11123" s="387"/>
      <c r="P11123" s="387"/>
      <c r="Q11123" s="387"/>
    </row>
    <row r="11124" spans="15:17" ht="20.100000000000001" customHeight="1">
      <c r="O11124" s="387"/>
      <c r="P11124" s="387"/>
      <c r="Q11124" s="387"/>
    </row>
    <row r="11125" spans="15:17" ht="20.100000000000001" customHeight="1">
      <c r="O11125" s="387"/>
      <c r="P11125" s="387"/>
      <c r="Q11125" s="387"/>
    </row>
    <row r="11126" spans="15:17" ht="20.100000000000001" customHeight="1">
      <c r="O11126" s="387"/>
      <c r="P11126" s="387"/>
      <c r="Q11126" s="387"/>
    </row>
    <row r="11127" spans="15:17" ht="20.100000000000001" customHeight="1">
      <c r="O11127" s="387"/>
      <c r="P11127" s="387"/>
      <c r="Q11127" s="387"/>
    </row>
    <row r="11128" spans="15:17" ht="20.100000000000001" customHeight="1">
      <c r="O11128" s="387"/>
      <c r="P11128" s="387"/>
      <c r="Q11128" s="387"/>
    </row>
    <row r="11129" spans="15:17" ht="20.100000000000001" customHeight="1">
      <c r="O11129" s="387"/>
      <c r="P11129" s="387"/>
      <c r="Q11129" s="387"/>
    </row>
    <row r="11130" spans="15:17" ht="20.100000000000001" customHeight="1">
      <c r="O11130" s="387"/>
      <c r="P11130" s="387"/>
      <c r="Q11130" s="387"/>
    </row>
    <row r="11131" spans="15:17" ht="20.100000000000001" customHeight="1">
      <c r="O11131" s="387"/>
      <c r="P11131" s="387"/>
      <c r="Q11131" s="387"/>
    </row>
    <row r="11132" spans="15:17" ht="20.100000000000001" customHeight="1">
      <c r="O11132" s="387"/>
      <c r="P11132" s="387"/>
      <c r="Q11132" s="387"/>
    </row>
    <row r="11133" spans="15:17" ht="20.100000000000001" customHeight="1">
      <c r="O11133" s="387"/>
      <c r="P11133" s="387"/>
      <c r="Q11133" s="387"/>
    </row>
    <row r="11134" spans="15:17" ht="20.100000000000001" customHeight="1">
      <c r="O11134" s="387"/>
      <c r="P11134" s="387"/>
      <c r="Q11134" s="387"/>
    </row>
    <row r="11135" spans="15:17" ht="20.100000000000001" customHeight="1">
      <c r="O11135" s="387"/>
      <c r="P11135" s="387"/>
      <c r="Q11135" s="387"/>
    </row>
    <row r="11136" spans="15:17" ht="20.100000000000001" customHeight="1">
      <c r="O11136" s="387"/>
      <c r="P11136" s="387"/>
      <c r="Q11136" s="387"/>
    </row>
    <row r="11137" spans="15:17" ht="20.100000000000001" customHeight="1">
      <c r="O11137" s="387"/>
      <c r="P11137" s="387"/>
      <c r="Q11137" s="387"/>
    </row>
    <row r="11138" spans="15:17" ht="20.100000000000001" customHeight="1">
      <c r="O11138" s="387"/>
      <c r="P11138" s="387"/>
      <c r="Q11138" s="387"/>
    </row>
    <row r="11139" spans="15:17" ht="20.100000000000001" customHeight="1">
      <c r="O11139" s="387"/>
      <c r="P11139" s="387"/>
      <c r="Q11139" s="387"/>
    </row>
    <row r="11140" spans="15:17" ht="20.100000000000001" customHeight="1">
      <c r="O11140" s="387"/>
      <c r="P11140" s="387"/>
      <c r="Q11140" s="387"/>
    </row>
    <row r="11141" spans="15:17" ht="20.100000000000001" customHeight="1">
      <c r="O11141" s="387"/>
      <c r="P11141" s="387"/>
      <c r="Q11141" s="387"/>
    </row>
    <row r="11142" spans="15:17" ht="20.100000000000001" customHeight="1">
      <c r="O11142" s="387"/>
      <c r="P11142" s="387"/>
      <c r="Q11142" s="387"/>
    </row>
    <row r="11143" spans="15:17" ht="20.100000000000001" customHeight="1">
      <c r="O11143" s="387"/>
      <c r="P11143" s="387"/>
      <c r="Q11143" s="387"/>
    </row>
    <row r="11144" spans="15:17" ht="20.100000000000001" customHeight="1">
      <c r="O11144" s="387"/>
      <c r="P11144" s="387"/>
      <c r="Q11144" s="387"/>
    </row>
    <row r="11145" spans="15:17" ht="20.100000000000001" customHeight="1">
      <c r="O11145" s="387"/>
      <c r="P11145" s="387"/>
      <c r="Q11145" s="387"/>
    </row>
    <row r="11146" spans="15:17" ht="20.100000000000001" customHeight="1">
      <c r="O11146" s="387"/>
      <c r="P11146" s="387"/>
      <c r="Q11146" s="387"/>
    </row>
    <row r="11147" spans="15:17" ht="20.100000000000001" customHeight="1">
      <c r="O11147" s="387"/>
      <c r="P11147" s="387"/>
      <c r="Q11147" s="387"/>
    </row>
    <row r="11148" spans="15:17" ht="20.100000000000001" customHeight="1">
      <c r="O11148" s="387"/>
      <c r="P11148" s="387"/>
      <c r="Q11148" s="387"/>
    </row>
    <row r="11149" spans="15:17" ht="20.100000000000001" customHeight="1">
      <c r="O11149" s="387"/>
      <c r="P11149" s="387"/>
      <c r="Q11149" s="387"/>
    </row>
    <row r="11150" spans="15:17" ht="20.100000000000001" customHeight="1">
      <c r="O11150" s="387"/>
      <c r="P11150" s="387"/>
      <c r="Q11150" s="387"/>
    </row>
    <row r="11151" spans="15:17" ht="20.100000000000001" customHeight="1">
      <c r="O11151" s="387"/>
      <c r="P11151" s="387"/>
      <c r="Q11151" s="387"/>
    </row>
    <row r="11152" spans="15:17" ht="20.100000000000001" customHeight="1">
      <c r="O11152" s="387"/>
      <c r="P11152" s="387"/>
      <c r="Q11152" s="387"/>
    </row>
    <row r="11153" spans="15:17" ht="20.100000000000001" customHeight="1">
      <c r="O11153" s="387"/>
      <c r="P11153" s="387"/>
      <c r="Q11153" s="387"/>
    </row>
    <row r="11154" spans="15:17" ht="20.100000000000001" customHeight="1">
      <c r="O11154" s="387"/>
      <c r="P11154" s="387"/>
      <c r="Q11154" s="387"/>
    </row>
    <row r="11155" spans="15:17" ht="20.100000000000001" customHeight="1">
      <c r="O11155" s="387"/>
      <c r="P11155" s="387"/>
      <c r="Q11155" s="387"/>
    </row>
    <row r="11156" spans="15:17" ht="20.100000000000001" customHeight="1">
      <c r="O11156" s="387"/>
      <c r="P11156" s="387"/>
      <c r="Q11156" s="387"/>
    </row>
    <row r="11157" spans="15:17" ht="20.100000000000001" customHeight="1">
      <c r="O11157" s="387"/>
      <c r="P11157" s="387"/>
      <c r="Q11157" s="387"/>
    </row>
    <row r="11158" spans="15:17" ht="20.100000000000001" customHeight="1">
      <c r="O11158" s="387"/>
      <c r="P11158" s="387"/>
      <c r="Q11158" s="387"/>
    </row>
    <row r="11159" spans="15:17" ht="20.100000000000001" customHeight="1">
      <c r="O11159" s="387"/>
      <c r="P11159" s="387"/>
      <c r="Q11159" s="387"/>
    </row>
    <row r="11160" spans="15:17" ht="20.100000000000001" customHeight="1">
      <c r="O11160" s="387"/>
      <c r="P11160" s="387"/>
      <c r="Q11160" s="387"/>
    </row>
    <row r="11161" spans="15:17" ht="20.100000000000001" customHeight="1">
      <c r="O11161" s="387"/>
      <c r="P11161" s="387"/>
      <c r="Q11161" s="387"/>
    </row>
    <row r="11162" spans="15:17" ht="20.100000000000001" customHeight="1">
      <c r="O11162" s="387"/>
      <c r="P11162" s="387"/>
      <c r="Q11162" s="387"/>
    </row>
    <row r="11163" spans="15:17" ht="20.100000000000001" customHeight="1">
      <c r="O11163" s="387"/>
      <c r="P11163" s="387"/>
      <c r="Q11163" s="387"/>
    </row>
    <row r="11164" spans="15:17" ht="20.100000000000001" customHeight="1">
      <c r="O11164" s="387"/>
      <c r="P11164" s="387"/>
      <c r="Q11164" s="387"/>
    </row>
    <row r="11165" spans="15:17" ht="20.100000000000001" customHeight="1">
      <c r="O11165" s="387"/>
      <c r="P11165" s="387"/>
      <c r="Q11165" s="387"/>
    </row>
    <row r="11166" spans="15:17" ht="20.100000000000001" customHeight="1">
      <c r="O11166" s="387"/>
      <c r="P11166" s="387"/>
      <c r="Q11166" s="387"/>
    </row>
    <row r="11167" spans="15:17" ht="20.100000000000001" customHeight="1">
      <c r="O11167" s="387"/>
      <c r="P11167" s="387"/>
      <c r="Q11167" s="387"/>
    </row>
    <row r="11168" spans="15:17" ht="20.100000000000001" customHeight="1">
      <c r="O11168" s="387"/>
      <c r="P11168" s="387"/>
      <c r="Q11168" s="387"/>
    </row>
    <row r="11169" spans="15:17" ht="20.100000000000001" customHeight="1">
      <c r="O11169" s="387"/>
      <c r="P11169" s="387"/>
      <c r="Q11169" s="387"/>
    </row>
    <row r="11170" spans="15:17" ht="20.100000000000001" customHeight="1">
      <c r="O11170" s="387"/>
      <c r="P11170" s="387"/>
      <c r="Q11170" s="387"/>
    </row>
    <row r="11171" spans="15:17" ht="20.100000000000001" customHeight="1">
      <c r="O11171" s="387"/>
      <c r="P11171" s="387"/>
      <c r="Q11171" s="387"/>
    </row>
    <row r="11172" spans="15:17" ht="20.100000000000001" customHeight="1">
      <c r="O11172" s="387"/>
      <c r="P11172" s="387"/>
      <c r="Q11172" s="387"/>
    </row>
    <row r="11173" spans="15:17" ht="20.100000000000001" customHeight="1">
      <c r="O11173" s="387"/>
      <c r="P11173" s="387"/>
      <c r="Q11173" s="387"/>
    </row>
    <row r="11174" spans="15:17" ht="20.100000000000001" customHeight="1">
      <c r="O11174" s="387"/>
      <c r="P11174" s="387"/>
      <c r="Q11174" s="387"/>
    </row>
    <row r="11175" spans="15:17" ht="20.100000000000001" customHeight="1">
      <c r="O11175" s="387"/>
      <c r="P11175" s="387"/>
      <c r="Q11175" s="387"/>
    </row>
    <row r="11176" spans="15:17" ht="20.100000000000001" customHeight="1">
      <c r="O11176" s="387"/>
      <c r="P11176" s="387"/>
      <c r="Q11176" s="387"/>
    </row>
    <row r="11177" spans="15:17" ht="20.100000000000001" customHeight="1">
      <c r="O11177" s="387"/>
      <c r="P11177" s="387"/>
      <c r="Q11177" s="387"/>
    </row>
    <row r="11178" spans="15:17" ht="20.100000000000001" customHeight="1">
      <c r="O11178" s="387"/>
      <c r="P11178" s="387"/>
      <c r="Q11178" s="387"/>
    </row>
    <row r="11179" spans="15:17" ht="20.100000000000001" customHeight="1">
      <c r="O11179" s="387"/>
      <c r="P11179" s="387"/>
      <c r="Q11179" s="387"/>
    </row>
    <row r="11180" spans="15:17" ht="20.100000000000001" customHeight="1">
      <c r="O11180" s="387"/>
      <c r="P11180" s="387"/>
      <c r="Q11180" s="387"/>
    </row>
    <row r="11181" spans="15:17" ht="20.100000000000001" customHeight="1">
      <c r="O11181" s="387"/>
      <c r="P11181" s="387"/>
      <c r="Q11181" s="387"/>
    </row>
    <row r="11182" spans="15:17" ht="20.100000000000001" customHeight="1">
      <c r="O11182" s="387"/>
      <c r="P11182" s="387"/>
      <c r="Q11182" s="387"/>
    </row>
    <row r="11183" spans="15:17" ht="20.100000000000001" customHeight="1">
      <c r="O11183" s="387"/>
      <c r="P11183" s="387"/>
      <c r="Q11183" s="387"/>
    </row>
    <row r="11184" spans="15:17" ht="20.100000000000001" customHeight="1">
      <c r="O11184" s="387"/>
      <c r="P11184" s="387"/>
      <c r="Q11184" s="387"/>
    </row>
    <row r="11185" spans="15:17" ht="20.100000000000001" customHeight="1">
      <c r="O11185" s="387"/>
      <c r="P11185" s="387"/>
      <c r="Q11185" s="387"/>
    </row>
    <row r="11186" spans="15:17" ht="20.100000000000001" customHeight="1">
      <c r="O11186" s="387"/>
      <c r="P11186" s="387"/>
      <c r="Q11186" s="387"/>
    </row>
    <row r="11187" spans="15:17" ht="20.100000000000001" customHeight="1">
      <c r="O11187" s="387"/>
      <c r="P11187" s="387"/>
      <c r="Q11187" s="387"/>
    </row>
    <row r="11188" spans="15:17" ht="20.100000000000001" customHeight="1">
      <c r="O11188" s="387"/>
      <c r="P11188" s="387"/>
      <c r="Q11188" s="387"/>
    </row>
    <row r="11189" spans="15:17" ht="20.100000000000001" customHeight="1">
      <c r="O11189" s="387"/>
      <c r="P11189" s="387"/>
      <c r="Q11189" s="387"/>
    </row>
    <row r="11190" spans="15:17" ht="20.100000000000001" customHeight="1">
      <c r="O11190" s="387"/>
      <c r="P11190" s="387"/>
      <c r="Q11190" s="387"/>
    </row>
    <row r="11191" spans="15:17" ht="20.100000000000001" customHeight="1">
      <c r="O11191" s="387"/>
      <c r="P11191" s="387"/>
      <c r="Q11191" s="387"/>
    </row>
    <row r="11192" spans="15:17" ht="20.100000000000001" customHeight="1">
      <c r="O11192" s="387"/>
      <c r="P11192" s="387"/>
      <c r="Q11192" s="387"/>
    </row>
    <row r="11193" spans="15:17" ht="20.100000000000001" customHeight="1">
      <c r="O11193" s="387"/>
      <c r="P11193" s="387"/>
      <c r="Q11193" s="387"/>
    </row>
    <row r="11194" spans="15:17" ht="20.100000000000001" customHeight="1">
      <c r="O11194" s="387"/>
      <c r="P11194" s="387"/>
      <c r="Q11194" s="387"/>
    </row>
    <row r="11195" spans="15:17" ht="20.100000000000001" customHeight="1">
      <c r="O11195" s="387"/>
      <c r="P11195" s="387"/>
      <c r="Q11195" s="387"/>
    </row>
    <row r="11196" spans="15:17" ht="20.100000000000001" customHeight="1">
      <c r="O11196" s="387"/>
      <c r="P11196" s="387"/>
      <c r="Q11196" s="387"/>
    </row>
    <row r="11197" spans="15:17" ht="20.100000000000001" customHeight="1">
      <c r="O11197" s="387"/>
      <c r="P11197" s="387"/>
      <c r="Q11197" s="387"/>
    </row>
    <row r="11198" spans="15:17" ht="20.100000000000001" customHeight="1">
      <c r="O11198" s="387"/>
      <c r="P11198" s="387"/>
      <c r="Q11198" s="387"/>
    </row>
    <row r="11199" spans="15:17" ht="20.100000000000001" customHeight="1">
      <c r="O11199" s="387"/>
      <c r="P11199" s="387"/>
      <c r="Q11199" s="387"/>
    </row>
    <row r="11200" spans="15:17" ht="20.100000000000001" customHeight="1">
      <c r="O11200" s="387"/>
      <c r="P11200" s="387"/>
      <c r="Q11200" s="387"/>
    </row>
    <row r="11201" spans="15:17" ht="20.100000000000001" customHeight="1">
      <c r="O11201" s="387"/>
      <c r="P11201" s="387"/>
      <c r="Q11201" s="387"/>
    </row>
    <row r="11202" spans="15:17" ht="20.100000000000001" customHeight="1">
      <c r="O11202" s="387"/>
      <c r="P11202" s="387"/>
      <c r="Q11202" s="387"/>
    </row>
    <row r="11203" spans="15:17" ht="20.100000000000001" customHeight="1">
      <c r="O11203" s="387"/>
      <c r="P11203" s="387"/>
      <c r="Q11203" s="387"/>
    </row>
    <row r="11204" spans="15:17" ht="20.100000000000001" customHeight="1">
      <c r="O11204" s="387"/>
      <c r="P11204" s="387"/>
      <c r="Q11204" s="387"/>
    </row>
    <row r="11205" spans="15:17" ht="20.100000000000001" customHeight="1">
      <c r="O11205" s="387"/>
      <c r="P11205" s="387"/>
      <c r="Q11205" s="387"/>
    </row>
    <row r="11206" spans="15:17" ht="20.100000000000001" customHeight="1">
      <c r="O11206" s="387"/>
      <c r="P11206" s="387"/>
      <c r="Q11206" s="387"/>
    </row>
    <row r="11207" spans="15:17" ht="20.100000000000001" customHeight="1">
      <c r="O11207" s="387"/>
      <c r="P11207" s="387"/>
      <c r="Q11207" s="387"/>
    </row>
    <row r="11208" spans="15:17" ht="20.100000000000001" customHeight="1">
      <c r="O11208" s="387"/>
      <c r="P11208" s="387"/>
      <c r="Q11208" s="387"/>
    </row>
    <row r="11209" spans="15:17" ht="20.100000000000001" customHeight="1">
      <c r="O11209" s="387"/>
      <c r="P11209" s="387"/>
      <c r="Q11209" s="387"/>
    </row>
    <row r="11210" spans="15:17" ht="20.100000000000001" customHeight="1">
      <c r="O11210" s="387"/>
      <c r="P11210" s="387"/>
      <c r="Q11210" s="387"/>
    </row>
    <row r="11211" spans="15:17" ht="20.100000000000001" customHeight="1">
      <c r="O11211" s="387"/>
      <c r="P11211" s="387"/>
      <c r="Q11211" s="387"/>
    </row>
    <row r="11212" spans="15:17" ht="20.100000000000001" customHeight="1">
      <c r="O11212" s="387"/>
      <c r="P11212" s="387"/>
      <c r="Q11212" s="387"/>
    </row>
    <row r="11213" spans="15:17" ht="20.100000000000001" customHeight="1">
      <c r="O11213" s="387"/>
      <c r="P11213" s="387"/>
      <c r="Q11213" s="387"/>
    </row>
    <row r="11214" spans="15:17" ht="20.100000000000001" customHeight="1">
      <c r="O11214" s="387"/>
      <c r="P11214" s="387"/>
      <c r="Q11214" s="387"/>
    </row>
    <row r="11215" spans="15:17" ht="20.100000000000001" customHeight="1">
      <c r="O11215" s="387"/>
      <c r="P11215" s="387"/>
      <c r="Q11215" s="387"/>
    </row>
    <row r="11216" spans="15:17" ht="20.100000000000001" customHeight="1">
      <c r="O11216" s="387"/>
      <c r="P11216" s="387"/>
      <c r="Q11216" s="387"/>
    </row>
    <row r="11217" spans="15:17" ht="20.100000000000001" customHeight="1">
      <c r="O11217" s="387"/>
      <c r="P11217" s="387"/>
      <c r="Q11217" s="387"/>
    </row>
    <row r="11218" spans="15:17" ht="20.100000000000001" customHeight="1">
      <c r="O11218" s="387"/>
      <c r="P11218" s="387"/>
      <c r="Q11218" s="387"/>
    </row>
    <row r="11219" spans="15:17" ht="20.100000000000001" customHeight="1">
      <c r="O11219" s="387"/>
      <c r="P11219" s="387"/>
      <c r="Q11219" s="387"/>
    </row>
    <row r="11220" spans="15:17" ht="20.100000000000001" customHeight="1">
      <c r="O11220" s="387"/>
      <c r="P11220" s="387"/>
      <c r="Q11220" s="387"/>
    </row>
    <row r="11221" spans="15:17" ht="20.100000000000001" customHeight="1">
      <c r="O11221" s="387"/>
      <c r="P11221" s="387"/>
      <c r="Q11221" s="387"/>
    </row>
    <row r="11222" spans="15:17" ht="20.100000000000001" customHeight="1">
      <c r="O11222" s="387"/>
      <c r="P11222" s="387"/>
      <c r="Q11222" s="387"/>
    </row>
    <row r="11223" spans="15:17" ht="20.100000000000001" customHeight="1">
      <c r="O11223" s="387"/>
      <c r="P11223" s="387"/>
      <c r="Q11223" s="387"/>
    </row>
    <row r="11224" spans="15:17" ht="20.100000000000001" customHeight="1">
      <c r="O11224" s="387"/>
      <c r="P11224" s="387"/>
      <c r="Q11224" s="387"/>
    </row>
    <row r="11225" spans="15:17" ht="20.100000000000001" customHeight="1">
      <c r="O11225" s="387"/>
      <c r="P11225" s="387"/>
      <c r="Q11225" s="387"/>
    </row>
    <row r="11226" spans="15:17" ht="20.100000000000001" customHeight="1">
      <c r="O11226" s="387"/>
      <c r="P11226" s="387"/>
      <c r="Q11226" s="387"/>
    </row>
    <row r="11227" spans="15:17" ht="20.100000000000001" customHeight="1">
      <c r="O11227" s="387"/>
      <c r="P11227" s="387"/>
      <c r="Q11227" s="387"/>
    </row>
    <row r="11228" spans="15:17" ht="20.100000000000001" customHeight="1">
      <c r="O11228" s="387"/>
      <c r="P11228" s="387"/>
      <c r="Q11228" s="387"/>
    </row>
    <row r="11229" spans="15:17" ht="20.100000000000001" customHeight="1">
      <c r="O11229" s="387"/>
      <c r="P11229" s="387"/>
      <c r="Q11229" s="387"/>
    </row>
    <row r="11230" spans="15:17" ht="20.100000000000001" customHeight="1">
      <c r="O11230" s="387"/>
      <c r="P11230" s="387"/>
      <c r="Q11230" s="387"/>
    </row>
    <row r="11231" spans="15:17" ht="20.100000000000001" customHeight="1">
      <c r="O11231" s="387"/>
      <c r="P11231" s="387"/>
      <c r="Q11231" s="387"/>
    </row>
    <row r="11232" spans="15:17" ht="20.100000000000001" customHeight="1">
      <c r="O11232" s="387"/>
      <c r="P11232" s="387"/>
      <c r="Q11232" s="387"/>
    </row>
    <row r="11233" spans="15:17" ht="20.100000000000001" customHeight="1">
      <c r="O11233" s="387"/>
      <c r="P11233" s="387"/>
      <c r="Q11233" s="387"/>
    </row>
    <row r="11234" spans="15:17" ht="20.100000000000001" customHeight="1">
      <c r="O11234" s="387"/>
      <c r="P11234" s="387"/>
      <c r="Q11234" s="387"/>
    </row>
    <row r="11235" spans="15:17" ht="20.100000000000001" customHeight="1">
      <c r="O11235" s="387"/>
      <c r="P11235" s="387"/>
      <c r="Q11235" s="387"/>
    </row>
    <row r="11236" spans="15:17" ht="20.100000000000001" customHeight="1">
      <c r="O11236" s="387"/>
      <c r="P11236" s="387"/>
      <c r="Q11236" s="387"/>
    </row>
    <row r="11237" spans="15:17" ht="20.100000000000001" customHeight="1">
      <c r="O11237" s="387"/>
      <c r="P11237" s="387"/>
      <c r="Q11237" s="387"/>
    </row>
    <row r="11238" spans="15:17" ht="20.100000000000001" customHeight="1">
      <c r="O11238" s="387"/>
      <c r="P11238" s="387"/>
      <c r="Q11238" s="387"/>
    </row>
    <row r="11239" spans="15:17" ht="20.100000000000001" customHeight="1">
      <c r="O11239" s="387"/>
      <c r="P11239" s="387"/>
      <c r="Q11239" s="387"/>
    </row>
    <row r="11240" spans="15:17" ht="20.100000000000001" customHeight="1">
      <c r="O11240" s="387"/>
      <c r="P11240" s="387"/>
      <c r="Q11240" s="387"/>
    </row>
    <row r="11241" spans="15:17" ht="20.100000000000001" customHeight="1">
      <c r="O11241" s="387"/>
      <c r="P11241" s="387"/>
      <c r="Q11241" s="387"/>
    </row>
    <row r="11242" spans="15:17" ht="20.100000000000001" customHeight="1">
      <c r="O11242" s="387"/>
      <c r="P11242" s="387"/>
      <c r="Q11242" s="387"/>
    </row>
    <row r="11243" spans="15:17" ht="20.100000000000001" customHeight="1">
      <c r="O11243" s="387"/>
      <c r="P11243" s="387"/>
      <c r="Q11243" s="387"/>
    </row>
    <row r="11244" spans="15:17" ht="20.100000000000001" customHeight="1">
      <c r="O11244" s="387"/>
      <c r="P11244" s="387"/>
      <c r="Q11244" s="387"/>
    </row>
    <row r="11245" spans="15:17" ht="20.100000000000001" customHeight="1">
      <c r="O11245" s="387"/>
      <c r="P11245" s="387"/>
      <c r="Q11245" s="387"/>
    </row>
    <row r="11246" spans="15:17" ht="20.100000000000001" customHeight="1">
      <c r="O11246" s="387"/>
      <c r="P11246" s="387"/>
      <c r="Q11246" s="387"/>
    </row>
    <row r="11247" spans="15:17" ht="20.100000000000001" customHeight="1">
      <c r="O11247" s="387"/>
      <c r="P11247" s="387"/>
      <c r="Q11247" s="387"/>
    </row>
    <row r="11248" spans="15:17" ht="20.100000000000001" customHeight="1">
      <c r="O11248" s="387"/>
      <c r="P11248" s="387"/>
      <c r="Q11248" s="387"/>
    </row>
    <row r="11249" spans="15:17" ht="20.100000000000001" customHeight="1">
      <c r="O11249" s="387"/>
      <c r="P11249" s="387"/>
      <c r="Q11249" s="387"/>
    </row>
    <row r="11250" spans="15:17" ht="20.100000000000001" customHeight="1">
      <c r="O11250" s="387"/>
      <c r="P11250" s="387"/>
      <c r="Q11250" s="387"/>
    </row>
    <row r="11251" spans="15:17" ht="20.100000000000001" customHeight="1">
      <c r="O11251" s="387"/>
      <c r="P11251" s="387"/>
      <c r="Q11251" s="387"/>
    </row>
    <row r="11252" spans="15:17" ht="20.100000000000001" customHeight="1">
      <c r="O11252" s="387"/>
      <c r="P11252" s="387"/>
      <c r="Q11252" s="387"/>
    </row>
    <row r="11253" spans="15:17" ht="20.100000000000001" customHeight="1">
      <c r="O11253" s="387"/>
      <c r="P11253" s="387"/>
      <c r="Q11253" s="387"/>
    </row>
    <row r="11254" spans="15:17" ht="20.100000000000001" customHeight="1">
      <c r="O11254" s="387"/>
      <c r="P11254" s="387"/>
      <c r="Q11254" s="387"/>
    </row>
    <row r="11255" spans="15:17" ht="20.100000000000001" customHeight="1">
      <c r="O11255" s="387"/>
      <c r="P11255" s="387"/>
      <c r="Q11255" s="387"/>
    </row>
    <row r="11256" spans="15:17" ht="20.100000000000001" customHeight="1">
      <c r="O11256" s="387"/>
      <c r="P11256" s="387"/>
      <c r="Q11256" s="387"/>
    </row>
    <row r="11257" spans="15:17" ht="20.100000000000001" customHeight="1">
      <c r="O11257" s="387"/>
      <c r="P11257" s="387"/>
      <c r="Q11257" s="387"/>
    </row>
    <row r="11258" spans="15:17" ht="20.100000000000001" customHeight="1">
      <c r="O11258" s="387"/>
      <c r="P11258" s="387"/>
      <c r="Q11258" s="387"/>
    </row>
    <row r="11259" spans="15:17" ht="20.100000000000001" customHeight="1">
      <c r="O11259" s="387"/>
      <c r="P11259" s="387"/>
      <c r="Q11259" s="387"/>
    </row>
    <row r="11260" spans="15:17" ht="20.100000000000001" customHeight="1">
      <c r="O11260" s="387"/>
      <c r="P11260" s="387"/>
      <c r="Q11260" s="387"/>
    </row>
    <row r="11261" spans="15:17" ht="20.100000000000001" customHeight="1">
      <c r="O11261" s="387"/>
      <c r="P11261" s="387"/>
      <c r="Q11261" s="387"/>
    </row>
    <row r="11262" spans="15:17" ht="20.100000000000001" customHeight="1">
      <c r="O11262" s="387"/>
      <c r="P11262" s="387"/>
      <c r="Q11262" s="387"/>
    </row>
    <row r="11263" spans="15:17" ht="20.100000000000001" customHeight="1">
      <c r="O11263" s="387"/>
      <c r="P11263" s="387"/>
      <c r="Q11263" s="387"/>
    </row>
    <row r="11264" spans="15:17" ht="20.100000000000001" customHeight="1">
      <c r="O11264" s="387"/>
      <c r="P11264" s="387"/>
      <c r="Q11264" s="387"/>
    </row>
    <row r="11265" spans="15:17" ht="20.100000000000001" customHeight="1">
      <c r="O11265" s="387"/>
      <c r="P11265" s="387"/>
      <c r="Q11265" s="387"/>
    </row>
    <row r="11266" spans="15:17" ht="20.100000000000001" customHeight="1">
      <c r="O11266" s="387"/>
      <c r="P11266" s="387"/>
      <c r="Q11266" s="387"/>
    </row>
    <row r="11267" spans="15:17" ht="20.100000000000001" customHeight="1">
      <c r="O11267" s="387"/>
      <c r="P11267" s="387"/>
      <c r="Q11267" s="387"/>
    </row>
    <row r="11268" spans="15:17" ht="20.100000000000001" customHeight="1">
      <c r="O11268" s="387"/>
      <c r="P11268" s="387"/>
      <c r="Q11268" s="387"/>
    </row>
    <row r="11269" spans="15:17" ht="20.100000000000001" customHeight="1">
      <c r="O11269" s="387"/>
      <c r="P11269" s="387"/>
      <c r="Q11269" s="387"/>
    </row>
    <row r="11270" spans="15:17" ht="20.100000000000001" customHeight="1">
      <c r="O11270" s="387"/>
      <c r="P11270" s="387"/>
      <c r="Q11270" s="387"/>
    </row>
    <row r="11271" spans="15:17" ht="20.100000000000001" customHeight="1">
      <c r="O11271" s="387"/>
      <c r="P11271" s="387"/>
      <c r="Q11271" s="387"/>
    </row>
    <row r="11272" spans="15:17" ht="20.100000000000001" customHeight="1">
      <c r="O11272" s="387"/>
      <c r="P11272" s="387"/>
      <c r="Q11272" s="387"/>
    </row>
    <row r="11273" spans="15:17" ht="20.100000000000001" customHeight="1">
      <c r="O11273" s="387"/>
      <c r="P11273" s="387"/>
      <c r="Q11273" s="387"/>
    </row>
    <row r="11274" spans="15:17" ht="20.100000000000001" customHeight="1">
      <c r="O11274" s="387"/>
      <c r="P11274" s="387"/>
      <c r="Q11274" s="387"/>
    </row>
    <row r="11275" spans="15:17" ht="20.100000000000001" customHeight="1">
      <c r="O11275" s="387"/>
      <c r="P11275" s="387"/>
      <c r="Q11275" s="387"/>
    </row>
    <row r="11276" spans="15:17" ht="20.100000000000001" customHeight="1">
      <c r="O11276" s="387"/>
      <c r="P11276" s="387"/>
      <c r="Q11276" s="387"/>
    </row>
    <row r="11277" spans="15:17" ht="20.100000000000001" customHeight="1">
      <c r="O11277" s="387"/>
      <c r="P11277" s="387"/>
      <c r="Q11277" s="387"/>
    </row>
    <row r="11278" spans="15:17" ht="20.100000000000001" customHeight="1">
      <c r="O11278" s="387"/>
      <c r="P11278" s="387"/>
      <c r="Q11278" s="387"/>
    </row>
    <row r="11279" spans="15:17" ht="20.100000000000001" customHeight="1">
      <c r="O11279" s="387"/>
      <c r="P11279" s="387"/>
      <c r="Q11279" s="387"/>
    </row>
    <row r="11280" spans="15:17" ht="20.100000000000001" customHeight="1">
      <c r="O11280" s="387"/>
      <c r="P11280" s="387"/>
      <c r="Q11280" s="387"/>
    </row>
    <row r="11281" spans="15:17" ht="20.100000000000001" customHeight="1">
      <c r="O11281" s="387"/>
      <c r="P11281" s="387"/>
      <c r="Q11281" s="387"/>
    </row>
    <row r="11282" spans="15:17" ht="20.100000000000001" customHeight="1">
      <c r="O11282" s="387"/>
      <c r="P11282" s="387"/>
      <c r="Q11282" s="387"/>
    </row>
    <row r="11283" spans="15:17" ht="20.100000000000001" customHeight="1">
      <c r="O11283" s="387"/>
      <c r="P11283" s="387"/>
      <c r="Q11283" s="387"/>
    </row>
    <row r="11284" spans="15:17" ht="20.100000000000001" customHeight="1">
      <c r="O11284" s="387"/>
      <c r="P11284" s="387"/>
      <c r="Q11284" s="387"/>
    </row>
    <row r="11285" spans="15:17" ht="20.100000000000001" customHeight="1">
      <c r="O11285" s="387"/>
      <c r="P11285" s="387"/>
      <c r="Q11285" s="387"/>
    </row>
    <row r="11286" spans="15:17" ht="20.100000000000001" customHeight="1">
      <c r="O11286" s="387"/>
      <c r="P11286" s="387"/>
      <c r="Q11286" s="387"/>
    </row>
    <row r="11287" spans="15:17" ht="20.100000000000001" customHeight="1">
      <c r="O11287" s="387"/>
      <c r="P11287" s="387"/>
      <c r="Q11287" s="387"/>
    </row>
    <row r="11288" spans="15:17" ht="20.100000000000001" customHeight="1">
      <c r="O11288" s="387"/>
      <c r="P11288" s="387"/>
      <c r="Q11288" s="387"/>
    </row>
    <row r="11289" spans="15:17" ht="20.100000000000001" customHeight="1">
      <c r="O11289" s="387"/>
      <c r="P11289" s="387"/>
      <c r="Q11289" s="387"/>
    </row>
    <row r="11290" spans="15:17" ht="20.100000000000001" customHeight="1">
      <c r="O11290" s="387"/>
      <c r="P11290" s="387"/>
      <c r="Q11290" s="387"/>
    </row>
    <row r="11291" spans="15:17" ht="20.100000000000001" customHeight="1">
      <c r="O11291" s="387"/>
      <c r="P11291" s="387"/>
      <c r="Q11291" s="387"/>
    </row>
    <row r="11292" spans="15:17" ht="20.100000000000001" customHeight="1">
      <c r="O11292" s="387"/>
      <c r="P11292" s="387"/>
      <c r="Q11292" s="387"/>
    </row>
    <row r="11293" spans="15:17" ht="20.100000000000001" customHeight="1">
      <c r="O11293" s="387"/>
      <c r="P11293" s="387"/>
      <c r="Q11293" s="387"/>
    </row>
    <row r="11294" spans="15:17" ht="20.100000000000001" customHeight="1">
      <c r="O11294" s="387"/>
      <c r="P11294" s="387"/>
      <c r="Q11294" s="387"/>
    </row>
    <row r="11295" spans="15:17" ht="20.100000000000001" customHeight="1">
      <c r="O11295" s="387"/>
      <c r="P11295" s="387"/>
      <c r="Q11295" s="387"/>
    </row>
    <row r="11296" spans="15:17" ht="20.100000000000001" customHeight="1">
      <c r="O11296" s="387"/>
      <c r="P11296" s="387"/>
      <c r="Q11296" s="387"/>
    </row>
    <row r="11297" spans="15:17" ht="20.100000000000001" customHeight="1">
      <c r="O11297" s="387"/>
      <c r="P11297" s="387"/>
      <c r="Q11297" s="387"/>
    </row>
    <row r="11298" spans="15:17" ht="20.100000000000001" customHeight="1">
      <c r="O11298" s="387"/>
      <c r="P11298" s="387"/>
      <c r="Q11298" s="387"/>
    </row>
    <row r="11299" spans="15:17" ht="20.100000000000001" customHeight="1">
      <c r="O11299" s="387"/>
      <c r="P11299" s="387"/>
      <c r="Q11299" s="387"/>
    </row>
    <row r="11300" spans="15:17" ht="20.100000000000001" customHeight="1">
      <c r="O11300" s="387"/>
      <c r="P11300" s="387"/>
      <c r="Q11300" s="387"/>
    </row>
    <row r="11301" spans="15:17" ht="20.100000000000001" customHeight="1">
      <c r="O11301" s="387"/>
      <c r="P11301" s="387"/>
      <c r="Q11301" s="387"/>
    </row>
    <row r="11302" spans="15:17" ht="20.100000000000001" customHeight="1">
      <c r="O11302" s="387"/>
      <c r="P11302" s="387"/>
      <c r="Q11302" s="387"/>
    </row>
    <row r="11303" spans="15:17" ht="20.100000000000001" customHeight="1">
      <c r="O11303" s="387"/>
      <c r="P11303" s="387"/>
      <c r="Q11303" s="387"/>
    </row>
    <row r="11304" spans="15:17" ht="20.100000000000001" customHeight="1">
      <c r="O11304" s="387"/>
      <c r="P11304" s="387"/>
      <c r="Q11304" s="387"/>
    </row>
    <row r="11305" spans="15:17" ht="20.100000000000001" customHeight="1">
      <c r="O11305" s="387"/>
      <c r="P11305" s="387"/>
      <c r="Q11305" s="387"/>
    </row>
    <row r="11306" spans="15:17" ht="20.100000000000001" customHeight="1">
      <c r="O11306" s="387"/>
      <c r="P11306" s="387"/>
      <c r="Q11306" s="387"/>
    </row>
    <row r="11307" spans="15:17" ht="20.100000000000001" customHeight="1">
      <c r="O11307" s="387"/>
      <c r="P11307" s="387"/>
      <c r="Q11307" s="387"/>
    </row>
    <row r="11308" spans="15:17" ht="20.100000000000001" customHeight="1">
      <c r="O11308" s="387"/>
      <c r="P11308" s="387"/>
      <c r="Q11308" s="387"/>
    </row>
    <row r="11309" spans="15:17" ht="20.100000000000001" customHeight="1">
      <c r="O11309" s="387"/>
      <c r="P11309" s="387"/>
      <c r="Q11309" s="387"/>
    </row>
    <row r="11310" spans="15:17" ht="20.100000000000001" customHeight="1">
      <c r="O11310" s="387"/>
      <c r="P11310" s="387"/>
      <c r="Q11310" s="387"/>
    </row>
    <row r="11311" spans="15:17" ht="20.100000000000001" customHeight="1">
      <c r="O11311" s="387"/>
      <c r="P11311" s="387"/>
      <c r="Q11311" s="387"/>
    </row>
    <row r="11312" spans="15:17" ht="20.100000000000001" customHeight="1">
      <c r="O11312" s="387"/>
      <c r="P11312" s="387"/>
      <c r="Q11312" s="387"/>
    </row>
    <row r="11313" spans="15:17" ht="20.100000000000001" customHeight="1">
      <c r="O11313" s="387"/>
      <c r="P11313" s="387"/>
      <c r="Q11313" s="387"/>
    </row>
    <row r="11314" spans="15:17" ht="20.100000000000001" customHeight="1">
      <c r="O11314" s="387"/>
      <c r="P11314" s="387"/>
      <c r="Q11314" s="387"/>
    </row>
    <row r="11315" spans="15:17" ht="20.100000000000001" customHeight="1">
      <c r="O11315" s="387"/>
      <c r="P11315" s="387"/>
      <c r="Q11315" s="387"/>
    </row>
    <row r="11316" spans="15:17" ht="20.100000000000001" customHeight="1">
      <c r="O11316" s="387"/>
      <c r="P11316" s="387"/>
      <c r="Q11316" s="387"/>
    </row>
    <row r="11317" spans="15:17" ht="20.100000000000001" customHeight="1">
      <c r="O11317" s="387"/>
      <c r="P11317" s="387"/>
      <c r="Q11317" s="387"/>
    </row>
    <row r="11318" spans="15:17" ht="20.100000000000001" customHeight="1">
      <c r="O11318" s="387"/>
      <c r="P11318" s="387"/>
      <c r="Q11318" s="387"/>
    </row>
    <row r="11319" spans="15:17" ht="20.100000000000001" customHeight="1">
      <c r="O11319" s="387"/>
      <c r="P11319" s="387"/>
      <c r="Q11319" s="387"/>
    </row>
    <row r="11320" spans="15:17" ht="20.100000000000001" customHeight="1">
      <c r="O11320" s="387"/>
      <c r="P11320" s="387"/>
      <c r="Q11320" s="387"/>
    </row>
    <row r="11321" spans="15:17" ht="20.100000000000001" customHeight="1">
      <c r="O11321" s="387"/>
      <c r="P11321" s="387"/>
      <c r="Q11321" s="387"/>
    </row>
    <row r="11322" spans="15:17" ht="20.100000000000001" customHeight="1">
      <c r="O11322" s="387"/>
      <c r="P11322" s="387"/>
      <c r="Q11322" s="387"/>
    </row>
    <row r="11323" spans="15:17" ht="20.100000000000001" customHeight="1">
      <c r="O11323" s="387"/>
      <c r="P11323" s="387"/>
      <c r="Q11323" s="387"/>
    </row>
    <row r="11324" spans="15:17" ht="20.100000000000001" customHeight="1">
      <c r="O11324" s="387"/>
      <c r="P11324" s="387"/>
      <c r="Q11324" s="387"/>
    </row>
    <row r="11325" spans="15:17" ht="20.100000000000001" customHeight="1">
      <c r="O11325" s="387"/>
      <c r="P11325" s="387"/>
      <c r="Q11325" s="387"/>
    </row>
    <row r="11326" spans="15:17" ht="20.100000000000001" customHeight="1">
      <c r="O11326" s="387"/>
      <c r="P11326" s="387"/>
      <c r="Q11326" s="387"/>
    </row>
    <row r="11327" spans="15:17" ht="20.100000000000001" customHeight="1">
      <c r="O11327" s="387"/>
      <c r="P11327" s="387"/>
      <c r="Q11327" s="387"/>
    </row>
    <row r="11328" spans="15:17" ht="20.100000000000001" customHeight="1">
      <c r="O11328" s="387"/>
      <c r="P11328" s="387"/>
      <c r="Q11328" s="387"/>
    </row>
    <row r="11329" spans="15:17" ht="20.100000000000001" customHeight="1">
      <c r="O11329" s="387"/>
      <c r="P11329" s="387"/>
      <c r="Q11329" s="387"/>
    </row>
    <row r="11330" spans="15:17" ht="20.100000000000001" customHeight="1">
      <c r="O11330" s="387"/>
      <c r="P11330" s="387"/>
      <c r="Q11330" s="387"/>
    </row>
    <row r="11331" spans="15:17" ht="20.100000000000001" customHeight="1">
      <c r="O11331" s="387"/>
      <c r="P11331" s="387"/>
      <c r="Q11331" s="387"/>
    </row>
    <row r="11332" spans="15:17" ht="20.100000000000001" customHeight="1">
      <c r="O11332" s="387"/>
      <c r="P11332" s="387"/>
      <c r="Q11332" s="387"/>
    </row>
    <row r="11333" spans="15:17" ht="20.100000000000001" customHeight="1">
      <c r="O11333" s="387"/>
      <c r="P11333" s="387"/>
      <c r="Q11333" s="387"/>
    </row>
    <row r="11334" spans="15:17" ht="20.100000000000001" customHeight="1">
      <c r="O11334" s="387"/>
      <c r="P11334" s="387"/>
      <c r="Q11334" s="387"/>
    </row>
    <row r="11335" spans="15:17" ht="20.100000000000001" customHeight="1">
      <c r="O11335" s="387"/>
      <c r="P11335" s="387"/>
      <c r="Q11335" s="387"/>
    </row>
    <row r="11336" spans="15:17" ht="20.100000000000001" customHeight="1">
      <c r="O11336" s="387"/>
      <c r="P11336" s="387"/>
      <c r="Q11336" s="387"/>
    </row>
    <row r="11337" spans="15:17" ht="20.100000000000001" customHeight="1">
      <c r="O11337" s="387"/>
      <c r="P11337" s="387"/>
      <c r="Q11337" s="387"/>
    </row>
    <row r="11338" spans="15:17" ht="20.100000000000001" customHeight="1">
      <c r="O11338" s="387"/>
      <c r="P11338" s="387"/>
      <c r="Q11338" s="387"/>
    </row>
    <row r="11339" spans="15:17" ht="20.100000000000001" customHeight="1">
      <c r="O11339" s="387"/>
      <c r="P11339" s="387"/>
      <c r="Q11339" s="387"/>
    </row>
    <row r="11340" spans="15:17" ht="20.100000000000001" customHeight="1">
      <c r="O11340" s="387"/>
      <c r="P11340" s="387"/>
      <c r="Q11340" s="387"/>
    </row>
    <row r="11341" spans="15:17" ht="20.100000000000001" customHeight="1">
      <c r="O11341" s="387"/>
      <c r="P11341" s="387"/>
      <c r="Q11341" s="387"/>
    </row>
    <row r="11342" spans="15:17" ht="20.100000000000001" customHeight="1">
      <c r="O11342" s="387"/>
      <c r="P11342" s="387"/>
      <c r="Q11342" s="387"/>
    </row>
    <row r="11343" spans="15:17" ht="20.100000000000001" customHeight="1">
      <c r="O11343" s="387"/>
      <c r="P11343" s="387"/>
      <c r="Q11343" s="387"/>
    </row>
    <row r="11344" spans="15:17" ht="20.100000000000001" customHeight="1">
      <c r="O11344" s="387"/>
      <c r="P11344" s="387"/>
      <c r="Q11344" s="387"/>
    </row>
    <row r="11345" spans="15:17" ht="20.100000000000001" customHeight="1">
      <c r="O11345" s="387"/>
      <c r="P11345" s="387"/>
      <c r="Q11345" s="387"/>
    </row>
    <row r="11346" spans="15:17" ht="20.100000000000001" customHeight="1">
      <c r="O11346" s="387"/>
      <c r="P11346" s="387"/>
      <c r="Q11346" s="387"/>
    </row>
    <row r="11347" spans="15:17" ht="20.100000000000001" customHeight="1">
      <c r="O11347" s="387"/>
      <c r="P11347" s="387"/>
      <c r="Q11347" s="387"/>
    </row>
    <row r="11348" spans="15:17" ht="20.100000000000001" customHeight="1">
      <c r="O11348" s="387"/>
      <c r="P11348" s="387"/>
      <c r="Q11348" s="387"/>
    </row>
    <row r="11349" spans="15:17" ht="20.100000000000001" customHeight="1">
      <c r="O11349" s="387"/>
      <c r="P11349" s="387"/>
      <c r="Q11349" s="387"/>
    </row>
    <row r="11350" spans="15:17" ht="20.100000000000001" customHeight="1">
      <c r="O11350" s="387"/>
      <c r="P11350" s="387"/>
      <c r="Q11350" s="387"/>
    </row>
    <row r="11351" spans="15:17" ht="20.100000000000001" customHeight="1">
      <c r="O11351" s="387"/>
      <c r="P11351" s="387"/>
      <c r="Q11351" s="387"/>
    </row>
    <row r="11352" spans="15:17" ht="20.100000000000001" customHeight="1">
      <c r="O11352" s="387"/>
      <c r="P11352" s="387"/>
      <c r="Q11352" s="387"/>
    </row>
    <row r="11353" spans="15:17" ht="20.100000000000001" customHeight="1">
      <c r="O11353" s="387"/>
      <c r="P11353" s="387"/>
      <c r="Q11353" s="387"/>
    </row>
    <row r="11354" spans="15:17" ht="20.100000000000001" customHeight="1">
      <c r="O11354" s="387"/>
      <c r="P11354" s="387"/>
      <c r="Q11354" s="387"/>
    </row>
    <row r="11355" spans="15:17" ht="20.100000000000001" customHeight="1">
      <c r="O11355" s="387"/>
      <c r="P11355" s="387"/>
      <c r="Q11355" s="387"/>
    </row>
    <row r="11356" spans="15:17" ht="20.100000000000001" customHeight="1">
      <c r="O11356" s="387"/>
      <c r="P11356" s="387"/>
      <c r="Q11356" s="387"/>
    </row>
    <row r="11357" spans="15:17" ht="20.100000000000001" customHeight="1">
      <c r="O11357" s="387"/>
      <c r="P11357" s="387"/>
      <c r="Q11357" s="387"/>
    </row>
    <row r="11358" spans="15:17" ht="20.100000000000001" customHeight="1">
      <c r="O11358" s="387"/>
      <c r="P11358" s="387"/>
      <c r="Q11358" s="387"/>
    </row>
    <row r="11359" spans="15:17" ht="20.100000000000001" customHeight="1">
      <c r="O11359" s="387"/>
      <c r="P11359" s="387"/>
      <c r="Q11359" s="387"/>
    </row>
    <row r="11360" spans="15:17" ht="20.100000000000001" customHeight="1">
      <c r="O11360" s="387"/>
      <c r="P11360" s="387"/>
      <c r="Q11360" s="387"/>
    </row>
    <row r="11361" spans="15:17" ht="20.100000000000001" customHeight="1">
      <c r="O11361" s="387"/>
      <c r="P11361" s="387"/>
      <c r="Q11361" s="387"/>
    </row>
    <row r="11362" spans="15:17" ht="20.100000000000001" customHeight="1">
      <c r="O11362" s="387"/>
      <c r="P11362" s="387"/>
      <c r="Q11362" s="387"/>
    </row>
    <row r="11363" spans="15:17" ht="20.100000000000001" customHeight="1">
      <c r="O11363" s="387"/>
      <c r="P11363" s="387"/>
      <c r="Q11363" s="387"/>
    </row>
    <row r="11364" spans="15:17" ht="20.100000000000001" customHeight="1">
      <c r="O11364" s="387"/>
      <c r="P11364" s="387"/>
      <c r="Q11364" s="387"/>
    </row>
    <row r="11365" spans="15:17" ht="20.100000000000001" customHeight="1">
      <c r="O11365" s="387"/>
      <c r="P11365" s="387"/>
      <c r="Q11365" s="387"/>
    </row>
    <row r="11366" spans="15:17" ht="20.100000000000001" customHeight="1">
      <c r="O11366" s="387"/>
      <c r="P11366" s="387"/>
      <c r="Q11366" s="387"/>
    </row>
    <row r="11367" spans="15:17" ht="20.100000000000001" customHeight="1">
      <c r="O11367" s="387"/>
      <c r="P11367" s="387"/>
      <c r="Q11367" s="387"/>
    </row>
    <row r="11368" spans="15:17" ht="20.100000000000001" customHeight="1">
      <c r="O11368" s="387"/>
      <c r="P11368" s="387"/>
      <c r="Q11368" s="387"/>
    </row>
    <row r="11369" spans="15:17" ht="20.100000000000001" customHeight="1">
      <c r="O11369" s="387"/>
      <c r="P11369" s="387"/>
      <c r="Q11369" s="387"/>
    </row>
    <row r="11370" spans="15:17" ht="20.100000000000001" customHeight="1">
      <c r="O11370" s="387"/>
      <c r="P11370" s="387"/>
      <c r="Q11370" s="387"/>
    </row>
    <row r="11371" spans="15:17" ht="20.100000000000001" customHeight="1">
      <c r="O11371" s="387"/>
      <c r="P11371" s="387"/>
      <c r="Q11371" s="387"/>
    </row>
    <row r="11372" spans="15:17" ht="20.100000000000001" customHeight="1">
      <c r="O11372" s="387"/>
      <c r="P11372" s="387"/>
      <c r="Q11372" s="387"/>
    </row>
    <row r="11373" spans="15:17" ht="20.100000000000001" customHeight="1">
      <c r="O11373" s="387"/>
      <c r="P11373" s="387"/>
      <c r="Q11373" s="387"/>
    </row>
    <row r="11374" spans="15:17" ht="20.100000000000001" customHeight="1">
      <c r="O11374" s="387"/>
      <c r="P11374" s="387"/>
      <c r="Q11374" s="387"/>
    </row>
    <row r="11375" spans="15:17" ht="20.100000000000001" customHeight="1">
      <c r="O11375" s="387"/>
      <c r="P11375" s="387"/>
      <c r="Q11375" s="387"/>
    </row>
    <row r="11376" spans="15:17" ht="20.100000000000001" customHeight="1">
      <c r="O11376" s="387"/>
      <c r="P11376" s="387"/>
      <c r="Q11376" s="387"/>
    </row>
    <row r="11377" spans="15:17" ht="20.100000000000001" customHeight="1">
      <c r="O11377" s="387"/>
      <c r="P11377" s="387"/>
      <c r="Q11377" s="387"/>
    </row>
    <row r="11378" spans="15:17" ht="20.100000000000001" customHeight="1">
      <c r="O11378" s="387"/>
      <c r="P11378" s="387"/>
      <c r="Q11378" s="387"/>
    </row>
    <row r="11379" spans="15:17" ht="20.100000000000001" customHeight="1">
      <c r="O11379" s="387"/>
      <c r="P11379" s="387"/>
      <c r="Q11379" s="387"/>
    </row>
    <row r="11380" spans="15:17" ht="20.100000000000001" customHeight="1">
      <c r="O11380" s="387"/>
      <c r="P11380" s="387"/>
      <c r="Q11380" s="387"/>
    </row>
    <row r="11381" spans="15:17" ht="20.100000000000001" customHeight="1">
      <c r="O11381" s="387"/>
      <c r="P11381" s="387"/>
      <c r="Q11381" s="387"/>
    </row>
    <row r="11382" spans="15:17" ht="20.100000000000001" customHeight="1">
      <c r="O11382" s="387"/>
      <c r="P11382" s="387"/>
      <c r="Q11382" s="387"/>
    </row>
    <row r="11383" spans="15:17" ht="20.100000000000001" customHeight="1">
      <c r="O11383" s="387"/>
      <c r="P11383" s="387"/>
      <c r="Q11383" s="387"/>
    </row>
    <row r="11384" spans="15:17" ht="20.100000000000001" customHeight="1">
      <c r="O11384" s="387"/>
      <c r="P11384" s="387"/>
      <c r="Q11384" s="387"/>
    </row>
    <row r="11385" spans="15:17" ht="20.100000000000001" customHeight="1">
      <c r="O11385" s="387"/>
      <c r="P11385" s="387"/>
      <c r="Q11385" s="387"/>
    </row>
    <row r="11386" spans="15:17" ht="20.100000000000001" customHeight="1">
      <c r="O11386" s="387"/>
      <c r="P11386" s="387"/>
      <c r="Q11386" s="387"/>
    </row>
    <row r="11387" spans="15:17" ht="20.100000000000001" customHeight="1">
      <c r="O11387" s="387"/>
      <c r="P11387" s="387"/>
      <c r="Q11387" s="387"/>
    </row>
    <row r="11388" spans="15:17" ht="20.100000000000001" customHeight="1">
      <c r="O11388" s="387"/>
      <c r="P11388" s="387"/>
      <c r="Q11388" s="387"/>
    </row>
    <row r="11389" spans="15:17" ht="20.100000000000001" customHeight="1">
      <c r="O11389" s="387"/>
      <c r="P11389" s="387"/>
      <c r="Q11389" s="387"/>
    </row>
    <row r="11390" spans="15:17" ht="20.100000000000001" customHeight="1">
      <c r="O11390" s="387"/>
      <c r="P11390" s="387"/>
      <c r="Q11390" s="387"/>
    </row>
    <row r="11391" spans="15:17" ht="20.100000000000001" customHeight="1">
      <c r="O11391" s="387"/>
      <c r="P11391" s="387"/>
      <c r="Q11391" s="387"/>
    </row>
    <row r="11392" spans="15:17" ht="20.100000000000001" customHeight="1">
      <c r="O11392" s="387"/>
      <c r="P11392" s="387"/>
      <c r="Q11392" s="387"/>
    </row>
    <row r="11393" spans="15:17" ht="20.100000000000001" customHeight="1">
      <c r="O11393" s="387"/>
      <c r="P11393" s="387"/>
      <c r="Q11393" s="387"/>
    </row>
    <row r="11394" spans="15:17" ht="20.100000000000001" customHeight="1">
      <c r="O11394" s="387"/>
      <c r="P11394" s="387"/>
      <c r="Q11394" s="387"/>
    </row>
    <row r="11395" spans="15:17" ht="20.100000000000001" customHeight="1">
      <c r="O11395" s="387"/>
      <c r="P11395" s="387"/>
      <c r="Q11395" s="387"/>
    </row>
    <row r="11396" spans="15:17" ht="20.100000000000001" customHeight="1">
      <c r="O11396" s="387"/>
      <c r="P11396" s="387"/>
      <c r="Q11396" s="387"/>
    </row>
    <row r="11397" spans="15:17" ht="20.100000000000001" customHeight="1">
      <c r="O11397" s="387"/>
      <c r="P11397" s="387"/>
      <c r="Q11397" s="387"/>
    </row>
    <row r="11398" spans="15:17" ht="20.100000000000001" customHeight="1">
      <c r="O11398" s="387"/>
      <c r="P11398" s="387"/>
      <c r="Q11398" s="387"/>
    </row>
    <row r="11399" spans="15:17" ht="20.100000000000001" customHeight="1">
      <c r="O11399" s="387"/>
      <c r="P11399" s="387"/>
      <c r="Q11399" s="387"/>
    </row>
    <row r="11400" spans="15:17" ht="20.100000000000001" customHeight="1">
      <c r="O11400" s="387"/>
      <c r="P11400" s="387"/>
      <c r="Q11400" s="387"/>
    </row>
    <row r="11401" spans="15:17" ht="20.100000000000001" customHeight="1">
      <c r="O11401" s="387"/>
      <c r="P11401" s="387"/>
      <c r="Q11401" s="387"/>
    </row>
    <row r="11402" spans="15:17" ht="20.100000000000001" customHeight="1">
      <c r="O11402" s="387"/>
      <c r="P11402" s="387"/>
      <c r="Q11402" s="387"/>
    </row>
    <row r="11403" spans="15:17" ht="20.100000000000001" customHeight="1">
      <c r="O11403" s="387"/>
      <c r="P11403" s="387"/>
      <c r="Q11403" s="387"/>
    </row>
    <row r="11404" spans="15:17" ht="20.100000000000001" customHeight="1">
      <c r="O11404" s="387"/>
      <c r="P11404" s="387"/>
      <c r="Q11404" s="387"/>
    </row>
    <row r="11405" spans="15:17" ht="20.100000000000001" customHeight="1">
      <c r="O11405" s="387"/>
      <c r="P11405" s="387"/>
      <c r="Q11405" s="387"/>
    </row>
    <row r="11406" spans="15:17" ht="20.100000000000001" customHeight="1">
      <c r="O11406" s="387"/>
      <c r="P11406" s="387"/>
      <c r="Q11406" s="387"/>
    </row>
    <row r="11407" spans="15:17" ht="20.100000000000001" customHeight="1">
      <c r="O11407" s="387"/>
      <c r="P11407" s="387"/>
      <c r="Q11407" s="387"/>
    </row>
    <row r="11408" spans="15:17" ht="20.100000000000001" customHeight="1">
      <c r="O11408" s="387"/>
      <c r="P11408" s="387"/>
      <c r="Q11408" s="387"/>
    </row>
    <row r="11409" spans="15:17" ht="20.100000000000001" customHeight="1">
      <c r="O11409" s="387"/>
      <c r="P11409" s="387"/>
      <c r="Q11409" s="387"/>
    </row>
    <row r="11410" spans="15:17" ht="20.100000000000001" customHeight="1">
      <c r="O11410" s="387"/>
      <c r="P11410" s="387"/>
      <c r="Q11410" s="387"/>
    </row>
    <row r="11411" spans="15:17" ht="20.100000000000001" customHeight="1">
      <c r="O11411" s="387"/>
      <c r="P11411" s="387"/>
      <c r="Q11411" s="387"/>
    </row>
    <row r="11412" spans="15:17" ht="20.100000000000001" customHeight="1">
      <c r="O11412" s="387"/>
      <c r="P11412" s="387"/>
      <c r="Q11412" s="387"/>
    </row>
    <row r="11413" spans="15:17" ht="20.100000000000001" customHeight="1">
      <c r="O11413" s="387"/>
      <c r="P11413" s="387"/>
      <c r="Q11413" s="387"/>
    </row>
    <row r="11414" spans="15:17" ht="20.100000000000001" customHeight="1">
      <c r="O11414" s="387"/>
      <c r="P11414" s="387"/>
      <c r="Q11414" s="387"/>
    </row>
    <row r="11415" spans="15:17" ht="20.100000000000001" customHeight="1">
      <c r="O11415" s="387"/>
      <c r="P11415" s="387"/>
      <c r="Q11415" s="387"/>
    </row>
    <row r="11416" spans="15:17" ht="20.100000000000001" customHeight="1">
      <c r="O11416" s="387"/>
      <c r="P11416" s="387"/>
      <c r="Q11416" s="387"/>
    </row>
    <row r="11417" spans="15:17" ht="20.100000000000001" customHeight="1">
      <c r="O11417" s="387"/>
      <c r="P11417" s="387"/>
      <c r="Q11417" s="387"/>
    </row>
    <row r="11418" spans="15:17" ht="20.100000000000001" customHeight="1">
      <c r="O11418" s="387"/>
      <c r="P11418" s="387"/>
      <c r="Q11418" s="387"/>
    </row>
    <row r="11419" spans="15:17" ht="20.100000000000001" customHeight="1">
      <c r="O11419" s="387"/>
      <c r="P11419" s="387"/>
      <c r="Q11419" s="387"/>
    </row>
    <row r="11420" spans="15:17" ht="20.100000000000001" customHeight="1">
      <c r="O11420" s="387"/>
      <c r="P11420" s="387"/>
      <c r="Q11420" s="387"/>
    </row>
    <row r="11421" spans="15:17" ht="20.100000000000001" customHeight="1">
      <c r="O11421" s="387"/>
      <c r="P11421" s="387"/>
      <c r="Q11421" s="387"/>
    </row>
    <row r="11422" spans="15:17" ht="20.100000000000001" customHeight="1">
      <c r="O11422" s="387"/>
      <c r="P11422" s="387"/>
      <c r="Q11422" s="387"/>
    </row>
    <row r="11423" spans="15:17" ht="20.100000000000001" customHeight="1">
      <c r="O11423" s="387"/>
      <c r="P11423" s="387"/>
      <c r="Q11423" s="387"/>
    </row>
    <row r="11424" spans="15:17" ht="20.100000000000001" customHeight="1">
      <c r="O11424" s="387"/>
      <c r="P11424" s="387"/>
      <c r="Q11424" s="387"/>
    </row>
    <row r="11425" spans="15:17" ht="20.100000000000001" customHeight="1">
      <c r="O11425" s="387"/>
      <c r="P11425" s="387"/>
      <c r="Q11425" s="387"/>
    </row>
    <row r="11426" spans="15:17" ht="20.100000000000001" customHeight="1">
      <c r="O11426" s="387"/>
      <c r="P11426" s="387"/>
      <c r="Q11426" s="387"/>
    </row>
    <row r="11427" spans="15:17" ht="20.100000000000001" customHeight="1">
      <c r="O11427" s="387"/>
      <c r="P11427" s="387"/>
      <c r="Q11427" s="387"/>
    </row>
    <row r="11428" spans="15:17" ht="20.100000000000001" customHeight="1">
      <c r="O11428" s="387"/>
      <c r="P11428" s="387"/>
      <c r="Q11428" s="387"/>
    </row>
    <row r="11429" spans="15:17" ht="20.100000000000001" customHeight="1">
      <c r="O11429" s="387"/>
      <c r="P11429" s="387"/>
      <c r="Q11429" s="387"/>
    </row>
    <row r="11430" spans="15:17" ht="20.100000000000001" customHeight="1">
      <c r="O11430" s="387"/>
      <c r="P11430" s="387"/>
      <c r="Q11430" s="387"/>
    </row>
    <row r="11431" spans="15:17" ht="20.100000000000001" customHeight="1">
      <c r="O11431" s="387"/>
      <c r="P11431" s="387"/>
      <c r="Q11431" s="387"/>
    </row>
    <row r="11432" spans="15:17" ht="20.100000000000001" customHeight="1">
      <c r="O11432" s="387"/>
      <c r="P11432" s="387"/>
      <c r="Q11432" s="387"/>
    </row>
    <row r="11433" spans="15:17" ht="20.100000000000001" customHeight="1">
      <c r="O11433" s="387"/>
      <c r="P11433" s="387"/>
      <c r="Q11433" s="387"/>
    </row>
    <row r="11434" spans="15:17" ht="20.100000000000001" customHeight="1">
      <c r="O11434" s="387"/>
      <c r="P11434" s="387"/>
      <c r="Q11434" s="387"/>
    </row>
    <row r="11435" spans="15:17" ht="20.100000000000001" customHeight="1">
      <c r="O11435" s="387"/>
      <c r="P11435" s="387"/>
      <c r="Q11435" s="387"/>
    </row>
    <row r="11436" spans="15:17" ht="20.100000000000001" customHeight="1">
      <c r="O11436" s="387"/>
      <c r="P11436" s="387"/>
      <c r="Q11436" s="387"/>
    </row>
    <row r="11437" spans="15:17" ht="20.100000000000001" customHeight="1">
      <c r="O11437" s="387"/>
      <c r="P11437" s="387"/>
      <c r="Q11437" s="387"/>
    </row>
    <row r="11438" spans="15:17" ht="20.100000000000001" customHeight="1">
      <c r="O11438" s="387"/>
      <c r="P11438" s="387"/>
      <c r="Q11438" s="387"/>
    </row>
    <row r="11439" spans="15:17" ht="20.100000000000001" customHeight="1">
      <c r="O11439" s="387"/>
      <c r="P11439" s="387"/>
      <c r="Q11439" s="387"/>
    </row>
    <row r="11440" spans="15:17" ht="20.100000000000001" customHeight="1">
      <c r="O11440" s="387"/>
      <c r="P11440" s="387"/>
      <c r="Q11440" s="387"/>
    </row>
    <row r="11441" spans="15:17" ht="20.100000000000001" customHeight="1">
      <c r="O11441" s="387"/>
      <c r="P11441" s="387"/>
      <c r="Q11441" s="387"/>
    </row>
    <row r="11442" spans="15:17" ht="20.100000000000001" customHeight="1">
      <c r="O11442" s="387"/>
      <c r="P11442" s="387"/>
      <c r="Q11442" s="387"/>
    </row>
    <row r="11443" spans="15:17" ht="20.100000000000001" customHeight="1">
      <c r="O11443" s="387"/>
      <c r="P11443" s="387"/>
      <c r="Q11443" s="387"/>
    </row>
    <row r="11444" spans="15:17" ht="20.100000000000001" customHeight="1">
      <c r="O11444" s="387"/>
      <c r="P11444" s="387"/>
      <c r="Q11444" s="387"/>
    </row>
    <row r="11445" spans="15:17" ht="20.100000000000001" customHeight="1">
      <c r="O11445" s="387"/>
      <c r="P11445" s="387"/>
      <c r="Q11445" s="387"/>
    </row>
    <row r="11446" spans="15:17" ht="20.100000000000001" customHeight="1">
      <c r="O11446" s="387"/>
      <c r="P11446" s="387"/>
      <c r="Q11446" s="387"/>
    </row>
    <row r="11447" spans="15:17" ht="20.100000000000001" customHeight="1">
      <c r="O11447" s="387"/>
      <c r="P11447" s="387"/>
      <c r="Q11447" s="387"/>
    </row>
    <row r="11448" spans="15:17" ht="20.100000000000001" customHeight="1">
      <c r="O11448" s="387"/>
      <c r="P11448" s="387"/>
      <c r="Q11448" s="387"/>
    </row>
    <row r="11449" spans="15:17" ht="20.100000000000001" customHeight="1">
      <c r="O11449" s="387"/>
      <c r="P11449" s="387"/>
      <c r="Q11449" s="387"/>
    </row>
    <row r="11450" spans="15:17" ht="20.100000000000001" customHeight="1">
      <c r="O11450" s="387"/>
      <c r="P11450" s="387"/>
      <c r="Q11450" s="387"/>
    </row>
    <row r="11451" spans="15:17" ht="20.100000000000001" customHeight="1">
      <c r="O11451" s="387"/>
      <c r="P11451" s="387"/>
      <c r="Q11451" s="387"/>
    </row>
    <row r="11452" spans="15:17" ht="20.100000000000001" customHeight="1">
      <c r="O11452" s="387"/>
      <c r="P11452" s="387"/>
      <c r="Q11452" s="387"/>
    </row>
    <row r="11453" spans="15:17" ht="20.100000000000001" customHeight="1">
      <c r="O11453" s="387"/>
      <c r="P11453" s="387"/>
      <c r="Q11453" s="387"/>
    </row>
    <row r="11454" spans="15:17" ht="20.100000000000001" customHeight="1">
      <c r="O11454" s="387"/>
      <c r="P11454" s="387"/>
      <c r="Q11454" s="387"/>
    </row>
    <row r="11455" spans="15:17" ht="20.100000000000001" customHeight="1">
      <c r="O11455" s="387"/>
      <c r="P11455" s="387"/>
      <c r="Q11455" s="387"/>
    </row>
    <row r="11456" spans="15:17" ht="20.100000000000001" customHeight="1">
      <c r="O11456" s="387"/>
      <c r="P11456" s="387"/>
      <c r="Q11456" s="387"/>
    </row>
    <row r="11457" spans="15:17" ht="20.100000000000001" customHeight="1">
      <c r="O11457" s="387"/>
      <c r="P11457" s="387"/>
      <c r="Q11457" s="387"/>
    </row>
    <row r="11458" spans="15:17" ht="20.100000000000001" customHeight="1">
      <c r="O11458" s="387"/>
      <c r="P11458" s="387"/>
      <c r="Q11458" s="387"/>
    </row>
    <row r="11459" spans="15:17" ht="20.100000000000001" customHeight="1">
      <c r="O11459" s="387"/>
      <c r="P11459" s="387"/>
      <c r="Q11459" s="387"/>
    </row>
    <row r="11460" spans="15:17" ht="20.100000000000001" customHeight="1">
      <c r="O11460" s="387"/>
      <c r="P11460" s="387"/>
      <c r="Q11460" s="387"/>
    </row>
    <row r="11461" spans="15:17" ht="20.100000000000001" customHeight="1">
      <c r="O11461" s="387"/>
      <c r="P11461" s="387"/>
      <c r="Q11461" s="387"/>
    </row>
    <row r="11462" spans="15:17" ht="20.100000000000001" customHeight="1">
      <c r="O11462" s="387"/>
      <c r="P11462" s="387"/>
      <c r="Q11462" s="387"/>
    </row>
    <row r="11463" spans="15:17" ht="20.100000000000001" customHeight="1">
      <c r="O11463" s="387"/>
      <c r="P11463" s="387"/>
      <c r="Q11463" s="387"/>
    </row>
    <row r="11464" spans="15:17" ht="20.100000000000001" customHeight="1">
      <c r="O11464" s="387"/>
      <c r="P11464" s="387"/>
      <c r="Q11464" s="387"/>
    </row>
    <row r="11465" spans="15:17" ht="20.100000000000001" customHeight="1">
      <c r="O11465" s="387"/>
      <c r="P11465" s="387"/>
      <c r="Q11465" s="387"/>
    </row>
    <row r="11466" spans="15:17" ht="20.100000000000001" customHeight="1">
      <c r="O11466" s="387"/>
      <c r="P11466" s="387"/>
      <c r="Q11466" s="387"/>
    </row>
    <row r="11467" spans="15:17" ht="20.100000000000001" customHeight="1">
      <c r="O11467" s="387"/>
      <c r="P11467" s="387"/>
      <c r="Q11467" s="387"/>
    </row>
    <row r="11468" spans="15:17" ht="20.100000000000001" customHeight="1">
      <c r="O11468" s="387"/>
      <c r="P11468" s="387"/>
      <c r="Q11468" s="387"/>
    </row>
    <row r="11469" spans="15:17" ht="20.100000000000001" customHeight="1">
      <c r="O11469" s="387"/>
      <c r="P11469" s="387"/>
      <c r="Q11469" s="387"/>
    </row>
    <row r="11470" spans="15:17" ht="20.100000000000001" customHeight="1">
      <c r="O11470" s="387"/>
      <c r="P11470" s="387"/>
      <c r="Q11470" s="387"/>
    </row>
    <row r="11471" spans="15:17" ht="20.100000000000001" customHeight="1">
      <c r="O11471" s="387"/>
      <c r="P11471" s="387"/>
      <c r="Q11471" s="387"/>
    </row>
    <row r="11472" spans="15:17" ht="20.100000000000001" customHeight="1">
      <c r="O11472" s="387"/>
      <c r="P11472" s="387"/>
      <c r="Q11472" s="387"/>
    </row>
    <row r="11473" spans="15:17" ht="20.100000000000001" customHeight="1">
      <c r="O11473" s="387"/>
      <c r="P11473" s="387"/>
      <c r="Q11473" s="387"/>
    </row>
    <row r="11474" spans="15:17" ht="20.100000000000001" customHeight="1">
      <c r="O11474" s="387"/>
      <c r="P11474" s="387"/>
      <c r="Q11474" s="387"/>
    </row>
    <row r="11475" spans="15:17" ht="20.100000000000001" customHeight="1">
      <c r="O11475" s="387"/>
      <c r="P11475" s="387"/>
      <c r="Q11475" s="387"/>
    </row>
    <row r="11476" spans="15:17" ht="20.100000000000001" customHeight="1">
      <c r="O11476" s="387"/>
      <c r="P11476" s="387"/>
      <c r="Q11476" s="387"/>
    </row>
    <row r="11477" spans="15:17" ht="20.100000000000001" customHeight="1">
      <c r="O11477" s="387"/>
      <c r="P11477" s="387"/>
      <c r="Q11477" s="387"/>
    </row>
    <row r="11478" spans="15:17" ht="20.100000000000001" customHeight="1">
      <c r="O11478" s="387"/>
      <c r="P11478" s="387"/>
      <c r="Q11478" s="387"/>
    </row>
    <row r="11479" spans="15:17" ht="20.100000000000001" customHeight="1">
      <c r="O11479" s="387"/>
      <c r="P11479" s="387"/>
      <c r="Q11479" s="387"/>
    </row>
    <row r="11480" spans="15:17" ht="20.100000000000001" customHeight="1">
      <c r="O11480" s="387"/>
      <c r="P11480" s="387"/>
      <c r="Q11480" s="387"/>
    </row>
    <row r="11481" spans="15:17" ht="20.100000000000001" customHeight="1">
      <c r="O11481" s="387"/>
      <c r="P11481" s="387"/>
      <c r="Q11481" s="387"/>
    </row>
    <row r="11482" spans="15:17" ht="20.100000000000001" customHeight="1">
      <c r="O11482" s="387"/>
      <c r="P11482" s="387"/>
      <c r="Q11482" s="387"/>
    </row>
    <row r="11483" spans="15:17" ht="20.100000000000001" customHeight="1">
      <c r="O11483" s="387"/>
      <c r="P11483" s="387"/>
      <c r="Q11483" s="387"/>
    </row>
    <row r="11484" spans="15:17" ht="20.100000000000001" customHeight="1">
      <c r="O11484" s="387"/>
      <c r="P11484" s="387"/>
      <c r="Q11484" s="387"/>
    </row>
    <row r="11485" spans="15:17" ht="20.100000000000001" customHeight="1">
      <c r="O11485" s="387"/>
      <c r="P11485" s="387"/>
      <c r="Q11485" s="387"/>
    </row>
    <row r="11486" spans="15:17" ht="20.100000000000001" customHeight="1">
      <c r="O11486" s="387"/>
      <c r="P11486" s="387"/>
      <c r="Q11486" s="387"/>
    </row>
    <row r="11487" spans="15:17" ht="20.100000000000001" customHeight="1">
      <c r="O11487" s="387"/>
      <c r="P11487" s="387"/>
      <c r="Q11487" s="387"/>
    </row>
    <row r="11488" spans="15:17" ht="20.100000000000001" customHeight="1">
      <c r="O11488" s="387"/>
      <c r="P11488" s="387"/>
      <c r="Q11488" s="387"/>
    </row>
    <row r="11489" spans="15:17" ht="20.100000000000001" customHeight="1">
      <c r="O11489" s="387"/>
      <c r="P11489" s="387"/>
      <c r="Q11489" s="387"/>
    </row>
    <row r="11490" spans="15:17" ht="20.100000000000001" customHeight="1">
      <c r="O11490" s="387"/>
      <c r="P11490" s="387"/>
      <c r="Q11490" s="387"/>
    </row>
    <row r="11491" spans="15:17" ht="20.100000000000001" customHeight="1">
      <c r="O11491" s="387"/>
      <c r="P11491" s="387"/>
      <c r="Q11491" s="387"/>
    </row>
    <row r="11492" spans="15:17" ht="20.100000000000001" customHeight="1">
      <c r="O11492" s="387"/>
      <c r="P11492" s="387"/>
      <c r="Q11492" s="387"/>
    </row>
    <row r="11493" spans="15:17" ht="20.100000000000001" customHeight="1">
      <c r="O11493" s="387"/>
      <c r="P11493" s="387"/>
      <c r="Q11493" s="387"/>
    </row>
    <row r="11494" spans="15:17" ht="20.100000000000001" customHeight="1">
      <c r="O11494" s="387"/>
      <c r="P11494" s="387"/>
      <c r="Q11494" s="387"/>
    </row>
    <row r="11495" spans="15:17" ht="20.100000000000001" customHeight="1">
      <c r="O11495" s="387"/>
      <c r="P11495" s="387"/>
      <c r="Q11495" s="387"/>
    </row>
    <row r="11496" spans="15:17" ht="20.100000000000001" customHeight="1">
      <c r="O11496" s="387"/>
      <c r="P11496" s="387"/>
      <c r="Q11496" s="387"/>
    </row>
    <row r="11497" spans="15:17" ht="20.100000000000001" customHeight="1">
      <c r="O11497" s="387"/>
      <c r="P11497" s="387"/>
      <c r="Q11497" s="387"/>
    </row>
    <row r="11498" spans="15:17" ht="20.100000000000001" customHeight="1">
      <c r="O11498" s="387"/>
      <c r="P11498" s="387"/>
      <c r="Q11498" s="387"/>
    </row>
    <row r="11499" spans="15:17" ht="20.100000000000001" customHeight="1">
      <c r="O11499" s="387"/>
      <c r="P11499" s="387"/>
      <c r="Q11499" s="387"/>
    </row>
    <row r="11500" spans="15:17" ht="20.100000000000001" customHeight="1">
      <c r="O11500" s="387"/>
      <c r="P11500" s="387"/>
      <c r="Q11500" s="387"/>
    </row>
    <row r="11501" spans="15:17" ht="20.100000000000001" customHeight="1">
      <c r="O11501" s="387"/>
      <c r="P11501" s="387"/>
      <c r="Q11501" s="387"/>
    </row>
    <row r="11502" spans="15:17" ht="20.100000000000001" customHeight="1">
      <c r="O11502" s="387"/>
      <c r="P11502" s="387"/>
      <c r="Q11502" s="387"/>
    </row>
    <row r="11503" spans="15:17" ht="20.100000000000001" customHeight="1">
      <c r="O11503" s="387"/>
      <c r="P11503" s="387"/>
      <c r="Q11503" s="387"/>
    </row>
    <row r="11504" spans="15:17" ht="20.100000000000001" customHeight="1">
      <c r="O11504" s="387"/>
      <c r="P11504" s="387"/>
      <c r="Q11504" s="387"/>
    </row>
    <row r="11505" spans="15:17" ht="20.100000000000001" customHeight="1">
      <c r="O11505" s="387"/>
      <c r="P11505" s="387"/>
      <c r="Q11505" s="387"/>
    </row>
    <row r="11506" spans="15:17" ht="20.100000000000001" customHeight="1">
      <c r="O11506" s="387"/>
      <c r="P11506" s="387"/>
      <c r="Q11506" s="387"/>
    </row>
    <row r="11507" spans="15:17" ht="20.100000000000001" customHeight="1">
      <c r="O11507" s="387"/>
      <c r="P11507" s="387"/>
      <c r="Q11507" s="387"/>
    </row>
    <row r="11508" spans="15:17" ht="20.100000000000001" customHeight="1">
      <c r="O11508" s="387"/>
      <c r="P11508" s="387"/>
      <c r="Q11508" s="387"/>
    </row>
    <row r="11509" spans="15:17" ht="20.100000000000001" customHeight="1">
      <c r="O11509" s="387"/>
      <c r="P11509" s="387"/>
      <c r="Q11509" s="387"/>
    </row>
    <row r="11510" spans="15:17" ht="20.100000000000001" customHeight="1">
      <c r="O11510" s="387"/>
      <c r="P11510" s="387"/>
      <c r="Q11510" s="387"/>
    </row>
    <row r="11511" spans="15:17" ht="20.100000000000001" customHeight="1">
      <c r="O11511" s="387"/>
      <c r="P11511" s="387"/>
      <c r="Q11511" s="387"/>
    </row>
    <row r="11512" spans="15:17" ht="20.100000000000001" customHeight="1">
      <c r="O11512" s="387"/>
      <c r="P11512" s="387"/>
      <c r="Q11512" s="387"/>
    </row>
    <row r="11513" spans="15:17" ht="20.100000000000001" customHeight="1">
      <c r="O11513" s="387"/>
      <c r="P11513" s="387"/>
      <c r="Q11513" s="387"/>
    </row>
    <row r="11514" spans="15:17" ht="20.100000000000001" customHeight="1">
      <c r="O11514" s="387"/>
      <c r="P11514" s="387"/>
      <c r="Q11514" s="387"/>
    </row>
    <row r="11515" spans="15:17" ht="20.100000000000001" customHeight="1">
      <c r="O11515" s="387"/>
      <c r="P11515" s="387"/>
      <c r="Q11515" s="387"/>
    </row>
    <row r="11516" spans="15:17" ht="20.100000000000001" customHeight="1">
      <c r="O11516" s="387"/>
      <c r="P11516" s="387"/>
      <c r="Q11516" s="387"/>
    </row>
    <row r="11517" spans="15:17" ht="20.100000000000001" customHeight="1">
      <c r="O11517" s="387"/>
      <c r="P11517" s="387"/>
      <c r="Q11517" s="387"/>
    </row>
    <row r="11518" spans="15:17" ht="20.100000000000001" customHeight="1">
      <c r="O11518" s="387"/>
      <c r="P11518" s="387"/>
      <c r="Q11518" s="387"/>
    </row>
    <row r="11519" spans="15:17" ht="20.100000000000001" customHeight="1">
      <c r="O11519" s="387"/>
      <c r="P11519" s="387"/>
      <c r="Q11519" s="387"/>
    </row>
    <row r="11520" spans="15:17" ht="20.100000000000001" customHeight="1">
      <c r="O11520" s="387"/>
      <c r="P11520" s="387"/>
      <c r="Q11520" s="387"/>
    </row>
    <row r="11521" spans="15:17" ht="20.100000000000001" customHeight="1">
      <c r="O11521" s="387"/>
      <c r="P11521" s="387"/>
      <c r="Q11521" s="387"/>
    </row>
    <row r="11522" spans="15:17" ht="20.100000000000001" customHeight="1">
      <c r="O11522" s="387"/>
      <c r="P11522" s="387"/>
      <c r="Q11522" s="387"/>
    </row>
    <row r="11523" spans="15:17" ht="20.100000000000001" customHeight="1">
      <c r="O11523" s="387"/>
      <c r="P11523" s="387"/>
      <c r="Q11523" s="387"/>
    </row>
    <row r="11524" spans="15:17" ht="20.100000000000001" customHeight="1">
      <c r="O11524" s="387"/>
      <c r="P11524" s="387"/>
      <c r="Q11524" s="387"/>
    </row>
    <row r="11525" spans="15:17" ht="20.100000000000001" customHeight="1">
      <c r="O11525" s="387"/>
      <c r="P11525" s="387"/>
      <c r="Q11525" s="387"/>
    </row>
    <row r="11526" spans="15:17" ht="20.100000000000001" customHeight="1">
      <c r="O11526" s="387"/>
      <c r="P11526" s="387"/>
      <c r="Q11526" s="387"/>
    </row>
    <row r="11527" spans="15:17" ht="20.100000000000001" customHeight="1">
      <c r="O11527" s="387"/>
      <c r="P11527" s="387"/>
      <c r="Q11527" s="387"/>
    </row>
    <row r="11528" spans="15:17" ht="20.100000000000001" customHeight="1">
      <c r="O11528" s="387"/>
      <c r="P11528" s="387"/>
      <c r="Q11528" s="387"/>
    </row>
    <row r="11529" spans="15:17" ht="20.100000000000001" customHeight="1">
      <c r="O11529" s="387"/>
      <c r="P11529" s="387"/>
      <c r="Q11529" s="387"/>
    </row>
    <row r="11530" spans="15:17" ht="20.100000000000001" customHeight="1">
      <c r="O11530" s="387"/>
      <c r="P11530" s="387"/>
      <c r="Q11530" s="387"/>
    </row>
    <row r="11531" spans="15:17" ht="20.100000000000001" customHeight="1">
      <c r="O11531" s="387"/>
      <c r="P11531" s="387"/>
      <c r="Q11531" s="387"/>
    </row>
    <row r="11532" spans="15:17" ht="20.100000000000001" customHeight="1">
      <c r="O11532" s="387"/>
      <c r="P11532" s="387"/>
      <c r="Q11532" s="387"/>
    </row>
    <row r="11533" spans="15:17" ht="20.100000000000001" customHeight="1">
      <c r="O11533" s="387"/>
      <c r="P11533" s="387"/>
      <c r="Q11533" s="387"/>
    </row>
    <row r="11534" spans="15:17" ht="20.100000000000001" customHeight="1">
      <c r="O11534" s="387"/>
      <c r="P11534" s="387"/>
      <c r="Q11534" s="387"/>
    </row>
    <row r="11535" spans="15:17" ht="20.100000000000001" customHeight="1">
      <c r="O11535" s="387"/>
      <c r="P11535" s="387"/>
      <c r="Q11535" s="387"/>
    </row>
    <row r="11536" spans="15:17" ht="20.100000000000001" customHeight="1">
      <c r="O11536" s="387"/>
      <c r="P11536" s="387"/>
      <c r="Q11536" s="387"/>
    </row>
    <row r="11537" spans="15:17" ht="20.100000000000001" customHeight="1">
      <c r="O11537" s="387"/>
      <c r="P11537" s="387"/>
      <c r="Q11537" s="387"/>
    </row>
    <row r="11538" spans="15:17" ht="20.100000000000001" customHeight="1">
      <c r="O11538" s="387"/>
      <c r="P11538" s="387"/>
      <c r="Q11538" s="387"/>
    </row>
    <row r="11539" spans="15:17" ht="20.100000000000001" customHeight="1">
      <c r="O11539" s="387"/>
      <c r="P11539" s="387"/>
      <c r="Q11539" s="387"/>
    </row>
    <row r="11540" spans="15:17" ht="20.100000000000001" customHeight="1">
      <c r="O11540" s="387"/>
      <c r="P11540" s="387"/>
      <c r="Q11540" s="387"/>
    </row>
    <row r="11541" spans="15:17" ht="20.100000000000001" customHeight="1">
      <c r="O11541" s="387"/>
      <c r="P11541" s="387"/>
      <c r="Q11541" s="387"/>
    </row>
    <row r="11542" spans="15:17" ht="20.100000000000001" customHeight="1">
      <c r="O11542" s="387"/>
      <c r="P11542" s="387"/>
      <c r="Q11542" s="387"/>
    </row>
    <row r="11543" spans="15:17" ht="20.100000000000001" customHeight="1">
      <c r="O11543" s="387"/>
      <c r="P11543" s="387"/>
      <c r="Q11543" s="387"/>
    </row>
    <row r="11544" spans="15:17" ht="20.100000000000001" customHeight="1">
      <c r="O11544" s="387"/>
      <c r="P11544" s="387"/>
      <c r="Q11544" s="387"/>
    </row>
    <row r="11545" spans="15:17" ht="20.100000000000001" customHeight="1">
      <c r="O11545" s="387"/>
      <c r="P11545" s="387"/>
      <c r="Q11545" s="387"/>
    </row>
    <row r="11546" spans="15:17" ht="20.100000000000001" customHeight="1">
      <c r="O11546" s="387"/>
      <c r="P11546" s="387"/>
      <c r="Q11546" s="387"/>
    </row>
    <row r="11547" spans="15:17" ht="20.100000000000001" customHeight="1">
      <c r="O11547" s="387"/>
      <c r="P11547" s="387"/>
      <c r="Q11547" s="387"/>
    </row>
    <row r="11548" spans="15:17" ht="20.100000000000001" customHeight="1">
      <c r="O11548" s="387"/>
      <c r="P11548" s="387"/>
      <c r="Q11548" s="387"/>
    </row>
    <row r="11549" spans="15:17" ht="20.100000000000001" customHeight="1">
      <c r="O11549" s="387"/>
      <c r="P11549" s="387"/>
      <c r="Q11549" s="387"/>
    </row>
    <row r="11550" spans="15:17" ht="20.100000000000001" customHeight="1">
      <c r="O11550" s="387"/>
      <c r="P11550" s="387"/>
      <c r="Q11550" s="387"/>
    </row>
    <row r="11551" spans="15:17" ht="20.100000000000001" customHeight="1">
      <c r="O11551" s="387"/>
      <c r="P11551" s="387"/>
      <c r="Q11551" s="387"/>
    </row>
    <row r="11552" spans="15:17" ht="20.100000000000001" customHeight="1">
      <c r="O11552" s="387"/>
      <c r="P11552" s="387"/>
      <c r="Q11552" s="387"/>
    </row>
    <row r="11553" spans="15:17" ht="20.100000000000001" customHeight="1">
      <c r="O11553" s="387"/>
      <c r="P11553" s="387"/>
      <c r="Q11553" s="387"/>
    </row>
    <row r="11554" spans="15:17" ht="20.100000000000001" customHeight="1">
      <c r="O11554" s="387"/>
      <c r="P11554" s="387"/>
      <c r="Q11554" s="387"/>
    </row>
    <row r="11555" spans="15:17" ht="20.100000000000001" customHeight="1">
      <c r="O11555" s="387"/>
      <c r="P11555" s="387"/>
      <c r="Q11555" s="387"/>
    </row>
    <row r="11556" spans="15:17" ht="20.100000000000001" customHeight="1">
      <c r="O11556" s="387"/>
      <c r="P11556" s="387"/>
      <c r="Q11556" s="387"/>
    </row>
    <row r="11557" spans="15:17" ht="20.100000000000001" customHeight="1">
      <c r="O11557" s="387"/>
      <c r="P11557" s="387"/>
      <c r="Q11557" s="387"/>
    </row>
    <row r="11558" spans="15:17" ht="20.100000000000001" customHeight="1">
      <c r="O11558" s="387"/>
      <c r="P11558" s="387"/>
      <c r="Q11558" s="387"/>
    </row>
    <row r="11559" spans="15:17" ht="20.100000000000001" customHeight="1">
      <c r="O11559" s="387"/>
      <c r="P11559" s="387"/>
      <c r="Q11559" s="387"/>
    </row>
    <row r="11560" spans="15:17" ht="20.100000000000001" customHeight="1">
      <c r="O11560" s="387"/>
      <c r="P11560" s="387"/>
      <c r="Q11560" s="387"/>
    </row>
    <row r="11561" spans="15:17" ht="20.100000000000001" customHeight="1">
      <c r="O11561" s="387"/>
      <c r="P11561" s="387"/>
      <c r="Q11561" s="387"/>
    </row>
    <row r="11562" spans="15:17" ht="20.100000000000001" customHeight="1">
      <c r="O11562" s="387"/>
      <c r="P11562" s="387"/>
      <c r="Q11562" s="387"/>
    </row>
    <row r="11563" spans="15:17" ht="20.100000000000001" customHeight="1">
      <c r="O11563" s="387"/>
      <c r="P11563" s="387"/>
      <c r="Q11563" s="387"/>
    </row>
    <row r="11564" spans="15:17" ht="20.100000000000001" customHeight="1">
      <c r="O11564" s="387"/>
      <c r="P11564" s="387"/>
      <c r="Q11564" s="387"/>
    </row>
    <row r="11565" spans="15:17" ht="20.100000000000001" customHeight="1">
      <c r="O11565" s="387"/>
      <c r="P11565" s="387"/>
      <c r="Q11565" s="387"/>
    </row>
    <row r="11566" spans="15:17" ht="20.100000000000001" customHeight="1">
      <c r="O11566" s="387"/>
      <c r="P11566" s="387"/>
      <c r="Q11566" s="387"/>
    </row>
    <row r="11567" spans="15:17" ht="20.100000000000001" customHeight="1">
      <c r="O11567" s="387"/>
      <c r="P11567" s="387"/>
      <c r="Q11567" s="387"/>
    </row>
    <row r="11568" spans="15:17" ht="20.100000000000001" customHeight="1">
      <c r="O11568" s="387"/>
      <c r="P11568" s="387"/>
      <c r="Q11568" s="387"/>
    </row>
    <row r="11569" spans="15:17" ht="20.100000000000001" customHeight="1">
      <c r="O11569" s="387"/>
      <c r="P11569" s="387"/>
      <c r="Q11569" s="387"/>
    </row>
    <row r="11570" spans="15:17" ht="20.100000000000001" customHeight="1">
      <c r="O11570" s="387"/>
      <c r="P11570" s="387"/>
      <c r="Q11570" s="387"/>
    </row>
    <row r="11571" spans="15:17" ht="20.100000000000001" customHeight="1">
      <c r="O11571" s="387"/>
      <c r="P11571" s="387"/>
      <c r="Q11571" s="387"/>
    </row>
    <row r="11572" spans="15:17" ht="20.100000000000001" customHeight="1">
      <c r="O11572" s="387"/>
      <c r="P11572" s="387"/>
      <c r="Q11572" s="387"/>
    </row>
    <row r="11573" spans="15:17" ht="20.100000000000001" customHeight="1">
      <c r="O11573" s="387"/>
      <c r="P11573" s="387"/>
      <c r="Q11573" s="387"/>
    </row>
    <row r="11574" spans="15:17" ht="20.100000000000001" customHeight="1">
      <c r="O11574" s="387"/>
      <c r="P11574" s="387"/>
      <c r="Q11574" s="387"/>
    </row>
    <row r="11575" spans="15:17" ht="20.100000000000001" customHeight="1">
      <c r="O11575" s="387"/>
      <c r="P11575" s="387"/>
      <c r="Q11575" s="387"/>
    </row>
    <row r="11576" spans="15:17" ht="20.100000000000001" customHeight="1">
      <c r="O11576" s="387"/>
      <c r="P11576" s="387"/>
      <c r="Q11576" s="387"/>
    </row>
    <row r="11577" spans="15:17" ht="20.100000000000001" customHeight="1">
      <c r="O11577" s="387"/>
      <c r="P11577" s="387"/>
      <c r="Q11577" s="387"/>
    </row>
    <row r="11578" spans="15:17" ht="20.100000000000001" customHeight="1">
      <c r="O11578" s="387"/>
      <c r="P11578" s="387"/>
      <c r="Q11578" s="387"/>
    </row>
    <row r="11579" spans="15:17" ht="20.100000000000001" customHeight="1">
      <c r="O11579" s="387"/>
      <c r="P11579" s="387"/>
      <c r="Q11579" s="387"/>
    </row>
    <row r="11580" spans="15:17" ht="20.100000000000001" customHeight="1">
      <c r="O11580" s="387"/>
      <c r="P11580" s="387"/>
      <c r="Q11580" s="387"/>
    </row>
    <row r="11581" spans="15:17" ht="20.100000000000001" customHeight="1">
      <c r="O11581" s="387"/>
      <c r="P11581" s="387"/>
      <c r="Q11581" s="387"/>
    </row>
    <row r="11582" spans="15:17" ht="20.100000000000001" customHeight="1">
      <c r="O11582" s="387"/>
      <c r="P11582" s="387"/>
      <c r="Q11582" s="387"/>
    </row>
    <row r="11583" spans="15:17" ht="20.100000000000001" customHeight="1">
      <c r="O11583" s="387"/>
      <c r="P11583" s="387"/>
      <c r="Q11583" s="387"/>
    </row>
    <row r="11584" spans="15:17" ht="20.100000000000001" customHeight="1">
      <c r="O11584" s="387"/>
      <c r="P11584" s="387"/>
      <c r="Q11584" s="387"/>
    </row>
    <row r="11585" spans="15:17" ht="20.100000000000001" customHeight="1">
      <c r="O11585" s="387"/>
      <c r="P11585" s="387"/>
      <c r="Q11585" s="387"/>
    </row>
    <row r="11586" spans="15:17" ht="20.100000000000001" customHeight="1">
      <c r="O11586" s="387"/>
      <c r="P11586" s="387"/>
      <c r="Q11586" s="387"/>
    </row>
    <row r="11587" spans="15:17" ht="20.100000000000001" customHeight="1">
      <c r="O11587" s="387"/>
      <c r="P11587" s="387"/>
      <c r="Q11587" s="387"/>
    </row>
    <row r="11588" spans="15:17" ht="20.100000000000001" customHeight="1">
      <c r="O11588" s="387"/>
      <c r="P11588" s="387"/>
      <c r="Q11588" s="387"/>
    </row>
    <row r="11589" spans="15:17" ht="20.100000000000001" customHeight="1">
      <c r="O11589" s="387"/>
      <c r="P11589" s="387"/>
      <c r="Q11589" s="387"/>
    </row>
    <row r="11590" spans="15:17" ht="20.100000000000001" customHeight="1">
      <c r="O11590" s="387"/>
      <c r="P11590" s="387"/>
      <c r="Q11590" s="387"/>
    </row>
    <row r="11591" spans="15:17" ht="20.100000000000001" customHeight="1">
      <c r="O11591" s="387"/>
      <c r="P11591" s="387"/>
      <c r="Q11591" s="387"/>
    </row>
    <row r="11592" spans="15:17" ht="20.100000000000001" customHeight="1">
      <c r="O11592" s="387"/>
      <c r="P11592" s="387"/>
      <c r="Q11592" s="387"/>
    </row>
    <row r="11593" spans="15:17" ht="20.100000000000001" customHeight="1">
      <c r="O11593" s="387"/>
      <c r="P11593" s="387"/>
      <c r="Q11593" s="387"/>
    </row>
    <row r="11594" spans="15:17" ht="20.100000000000001" customHeight="1">
      <c r="O11594" s="387"/>
      <c r="P11594" s="387"/>
      <c r="Q11594" s="387"/>
    </row>
    <row r="11595" spans="15:17" ht="20.100000000000001" customHeight="1">
      <c r="O11595" s="387"/>
      <c r="P11595" s="387"/>
      <c r="Q11595" s="387"/>
    </row>
    <row r="11596" spans="15:17" ht="20.100000000000001" customHeight="1">
      <c r="O11596" s="387"/>
      <c r="P11596" s="387"/>
      <c r="Q11596" s="387"/>
    </row>
    <row r="11597" spans="15:17" ht="20.100000000000001" customHeight="1">
      <c r="O11597" s="387"/>
      <c r="P11597" s="387"/>
      <c r="Q11597" s="387"/>
    </row>
    <row r="11598" spans="15:17" ht="20.100000000000001" customHeight="1">
      <c r="O11598" s="387"/>
      <c r="P11598" s="387"/>
      <c r="Q11598" s="387"/>
    </row>
    <row r="11599" spans="15:17" ht="20.100000000000001" customHeight="1">
      <c r="O11599" s="387"/>
      <c r="P11599" s="387"/>
      <c r="Q11599" s="387"/>
    </row>
    <row r="11600" spans="15:17" ht="20.100000000000001" customHeight="1">
      <c r="O11600" s="387"/>
      <c r="P11600" s="387"/>
      <c r="Q11600" s="387"/>
    </row>
    <row r="11601" spans="15:17" ht="20.100000000000001" customHeight="1">
      <c r="O11601" s="387"/>
      <c r="P11601" s="387"/>
      <c r="Q11601" s="387"/>
    </row>
    <row r="11602" spans="15:17" ht="20.100000000000001" customHeight="1">
      <c r="O11602" s="387"/>
      <c r="P11602" s="387"/>
      <c r="Q11602" s="387"/>
    </row>
    <row r="11603" spans="15:17" ht="20.100000000000001" customHeight="1">
      <c r="O11603" s="387"/>
      <c r="P11603" s="387"/>
      <c r="Q11603" s="387"/>
    </row>
    <row r="11604" spans="15:17" ht="20.100000000000001" customHeight="1">
      <c r="O11604" s="387"/>
      <c r="P11604" s="387"/>
      <c r="Q11604" s="387"/>
    </row>
    <row r="11605" spans="15:17" ht="20.100000000000001" customHeight="1">
      <c r="O11605" s="387"/>
      <c r="P11605" s="387"/>
      <c r="Q11605" s="387"/>
    </row>
    <row r="11606" spans="15:17" ht="20.100000000000001" customHeight="1">
      <c r="O11606" s="387"/>
      <c r="P11606" s="387"/>
      <c r="Q11606" s="387"/>
    </row>
    <row r="11607" spans="15:17" ht="20.100000000000001" customHeight="1">
      <c r="O11607" s="387"/>
      <c r="P11607" s="387"/>
      <c r="Q11607" s="387"/>
    </row>
    <row r="11608" spans="15:17" ht="20.100000000000001" customHeight="1">
      <c r="O11608" s="387"/>
      <c r="P11608" s="387"/>
      <c r="Q11608" s="387"/>
    </row>
    <row r="11609" spans="15:17" ht="20.100000000000001" customHeight="1">
      <c r="O11609" s="387"/>
      <c r="P11609" s="387"/>
      <c r="Q11609" s="387"/>
    </row>
    <row r="11610" spans="15:17" ht="20.100000000000001" customHeight="1">
      <c r="O11610" s="387"/>
      <c r="P11610" s="387"/>
      <c r="Q11610" s="387"/>
    </row>
    <row r="11611" spans="15:17" ht="20.100000000000001" customHeight="1">
      <c r="O11611" s="387"/>
      <c r="P11611" s="387"/>
      <c r="Q11611" s="387"/>
    </row>
    <row r="11612" spans="15:17" ht="20.100000000000001" customHeight="1">
      <c r="O11612" s="387"/>
      <c r="P11612" s="387"/>
      <c r="Q11612" s="387"/>
    </row>
    <row r="11613" spans="15:17" ht="20.100000000000001" customHeight="1">
      <c r="O11613" s="387"/>
      <c r="P11613" s="387"/>
      <c r="Q11613" s="387"/>
    </row>
    <row r="11614" spans="15:17" ht="20.100000000000001" customHeight="1">
      <c r="O11614" s="387"/>
      <c r="P11614" s="387"/>
      <c r="Q11614" s="387"/>
    </row>
    <row r="11615" spans="15:17" ht="20.100000000000001" customHeight="1">
      <c r="O11615" s="387"/>
      <c r="P11615" s="387"/>
      <c r="Q11615" s="387"/>
    </row>
    <row r="11616" spans="15:17" ht="20.100000000000001" customHeight="1">
      <c r="O11616" s="387"/>
      <c r="P11616" s="387"/>
      <c r="Q11616" s="387"/>
    </row>
    <row r="11617" spans="15:17" ht="20.100000000000001" customHeight="1">
      <c r="O11617" s="387"/>
      <c r="P11617" s="387"/>
      <c r="Q11617" s="387"/>
    </row>
    <row r="11618" spans="15:17" ht="20.100000000000001" customHeight="1">
      <c r="O11618" s="387"/>
      <c r="P11618" s="387"/>
      <c r="Q11618" s="387"/>
    </row>
    <row r="11619" spans="15:17" ht="20.100000000000001" customHeight="1">
      <c r="O11619" s="387"/>
      <c r="P11619" s="387"/>
      <c r="Q11619" s="387"/>
    </row>
    <row r="11620" spans="15:17" ht="20.100000000000001" customHeight="1">
      <c r="O11620" s="387"/>
      <c r="P11620" s="387"/>
      <c r="Q11620" s="387"/>
    </row>
    <row r="11621" spans="15:17" ht="20.100000000000001" customHeight="1">
      <c r="O11621" s="387"/>
      <c r="P11621" s="387"/>
      <c r="Q11621" s="387"/>
    </row>
    <row r="11622" spans="15:17" ht="20.100000000000001" customHeight="1">
      <c r="O11622" s="387"/>
      <c r="P11622" s="387"/>
      <c r="Q11622" s="387"/>
    </row>
    <row r="11623" spans="15:17" ht="20.100000000000001" customHeight="1">
      <c r="O11623" s="387"/>
      <c r="P11623" s="387"/>
      <c r="Q11623" s="387"/>
    </row>
    <row r="11624" spans="15:17" ht="20.100000000000001" customHeight="1">
      <c r="O11624" s="387"/>
      <c r="P11624" s="387"/>
      <c r="Q11624" s="387"/>
    </row>
    <row r="11625" spans="15:17" ht="20.100000000000001" customHeight="1">
      <c r="O11625" s="387"/>
      <c r="P11625" s="387"/>
      <c r="Q11625" s="387"/>
    </row>
    <row r="11626" spans="15:17" ht="20.100000000000001" customHeight="1">
      <c r="O11626" s="387"/>
      <c r="P11626" s="387"/>
      <c r="Q11626" s="387"/>
    </row>
    <row r="11627" spans="15:17" ht="20.100000000000001" customHeight="1">
      <c r="O11627" s="387"/>
      <c r="P11627" s="387"/>
      <c r="Q11627" s="387"/>
    </row>
    <row r="11628" spans="15:17" ht="20.100000000000001" customHeight="1">
      <c r="O11628" s="387"/>
      <c r="P11628" s="387"/>
      <c r="Q11628" s="387"/>
    </row>
    <row r="11629" spans="15:17" ht="20.100000000000001" customHeight="1">
      <c r="O11629" s="387"/>
      <c r="P11629" s="387"/>
      <c r="Q11629" s="387"/>
    </row>
    <row r="11630" spans="15:17" ht="20.100000000000001" customHeight="1">
      <c r="O11630" s="387"/>
      <c r="P11630" s="387"/>
      <c r="Q11630" s="387"/>
    </row>
    <row r="11631" spans="15:17" ht="20.100000000000001" customHeight="1">
      <c r="O11631" s="387"/>
      <c r="P11631" s="387"/>
      <c r="Q11631" s="387"/>
    </row>
    <row r="11632" spans="15:17" ht="20.100000000000001" customHeight="1">
      <c r="O11632" s="387"/>
      <c r="P11632" s="387"/>
      <c r="Q11632" s="387"/>
    </row>
    <row r="11633" spans="15:17" ht="20.100000000000001" customHeight="1">
      <c r="O11633" s="387"/>
      <c r="P11633" s="387"/>
      <c r="Q11633" s="387"/>
    </row>
    <row r="11634" spans="15:17" ht="20.100000000000001" customHeight="1">
      <c r="O11634" s="387"/>
      <c r="P11634" s="387"/>
      <c r="Q11634" s="387"/>
    </row>
    <row r="11635" spans="15:17" ht="20.100000000000001" customHeight="1">
      <c r="O11635" s="387"/>
      <c r="P11635" s="387"/>
      <c r="Q11635" s="387"/>
    </row>
    <row r="11636" spans="15:17" ht="20.100000000000001" customHeight="1">
      <c r="O11636" s="387"/>
      <c r="P11636" s="387"/>
      <c r="Q11636" s="387"/>
    </row>
    <row r="11637" spans="15:17" ht="20.100000000000001" customHeight="1">
      <c r="O11637" s="387"/>
      <c r="P11637" s="387"/>
      <c r="Q11637" s="387"/>
    </row>
    <row r="11638" spans="15:17" ht="20.100000000000001" customHeight="1">
      <c r="O11638" s="387"/>
      <c r="P11638" s="387"/>
      <c r="Q11638" s="387"/>
    </row>
    <row r="11639" spans="15:17" ht="20.100000000000001" customHeight="1">
      <c r="O11639" s="387"/>
      <c r="P11639" s="387"/>
      <c r="Q11639" s="387"/>
    </row>
    <row r="11640" spans="15:17" ht="20.100000000000001" customHeight="1">
      <c r="O11640" s="387"/>
      <c r="P11640" s="387"/>
      <c r="Q11640" s="387"/>
    </row>
    <row r="11641" spans="15:17" ht="20.100000000000001" customHeight="1">
      <c r="O11641" s="387"/>
      <c r="P11641" s="387"/>
      <c r="Q11641" s="387"/>
    </row>
    <row r="11642" spans="15:17" ht="20.100000000000001" customHeight="1">
      <c r="O11642" s="387"/>
      <c r="P11642" s="387"/>
      <c r="Q11642" s="387"/>
    </row>
    <row r="11643" spans="15:17" ht="20.100000000000001" customHeight="1">
      <c r="O11643" s="387"/>
      <c r="P11643" s="387"/>
      <c r="Q11643" s="387"/>
    </row>
    <row r="11644" spans="15:17" ht="20.100000000000001" customHeight="1">
      <c r="O11644" s="387"/>
      <c r="P11644" s="387"/>
      <c r="Q11644" s="387"/>
    </row>
    <row r="11645" spans="15:17" ht="20.100000000000001" customHeight="1">
      <c r="O11645" s="387"/>
      <c r="P11645" s="387"/>
      <c r="Q11645" s="387"/>
    </row>
    <row r="11646" spans="15:17" ht="20.100000000000001" customHeight="1">
      <c r="O11646" s="387"/>
      <c r="P11646" s="387"/>
      <c r="Q11646" s="387"/>
    </row>
    <row r="11647" spans="15:17" ht="20.100000000000001" customHeight="1">
      <c r="O11647" s="387"/>
      <c r="P11647" s="387"/>
      <c r="Q11647" s="387"/>
    </row>
    <row r="11648" spans="15:17" ht="20.100000000000001" customHeight="1">
      <c r="O11648" s="387"/>
      <c r="P11648" s="387"/>
      <c r="Q11648" s="387"/>
    </row>
    <row r="11649" spans="15:17" ht="20.100000000000001" customHeight="1">
      <c r="O11649" s="387"/>
      <c r="P11649" s="387"/>
      <c r="Q11649" s="387"/>
    </row>
    <row r="11650" spans="15:17" ht="20.100000000000001" customHeight="1">
      <c r="O11650" s="387"/>
      <c r="P11650" s="387"/>
      <c r="Q11650" s="387"/>
    </row>
    <row r="11651" spans="15:17" ht="20.100000000000001" customHeight="1">
      <c r="O11651" s="387"/>
      <c r="P11651" s="387"/>
      <c r="Q11651" s="387"/>
    </row>
    <row r="11652" spans="15:17" ht="20.100000000000001" customHeight="1">
      <c r="O11652" s="387"/>
      <c r="P11652" s="387"/>
      <c r="Q11652" s="387"/>
    </row>
    <row r="11653" spans="15:17" ht="20.100000000000001" customHeight="1">
      <c r="O11653" s="387"/>
      <c r="P11653" s="387"/>
      <c r="Q11653" s="387"/>
    </row>
    <row r="11654" spans="15:17" ht="20.100000000000001" customHeight="1">
      <c r="O11654" s="387"/>
      <c r="P11654" s="387"/>
      <c r="Q11654" s="387"/>
    </row>
    <row r="11655" spans="15:17" ht="20.100000000000001" customHeight="1">
      <c r="O11655" s="387"/>
      <c r="P11655" s="387"/>
      <c r="Q11655" s="387"/>
    </row>
    <row r="11656" spans="15:17" ht="20.100000000000001" customHeight="1">
      <c r="O11656" s="387"/>
      <c r="P11656" s="387"/>
      <c r="Q11656" s="387"/>
    </row>
    <row r="11657" spans="15:17" ht="20.100000000000001" customHeight="1">
      <c r="O11657" s="387"/>
      <c r="P11657" s="387"/>
      <c r="Q11657" s="387"/>
    </row>
    <row r="11658" spans="15:17" ht="20.100000000000001" customHeight="1">
      <c r="O11658" s="387"/>
      <c r="P11658" s="387"/>
      <c r="Q11658" s="387"/>
    </row>
    <row r="11659" spans="15:17" ht="20.100000000000001" customHeight="1">
      <c r="O11659" s="387"/>
      <c r="P11659" s="387"/>
      <c r="Q11659" s="387"/>
    </row>
    <row r="11660" spans="15:17" ht="20.100000000000001" customHeight="1">
      <c r="O11660" s="387"/>
      <c r="P11660" s="387"/>
      <c r="Q11660" s="387"/>
    </row>
    <row r="11661" spans="15:17" ht="20.100000000000001" customHeight="1">
      <c r="O11661" s="387"/>
      <c r="P11661" s="387"/>
      <c r="Q11661" s="387"/>
    </row>
    <row r="11662" spans="15:17" ht="20.100000000000001" customHeight="1">
      <c r="O11662" s="387"/>
      <c r="P11662" s="387"/>
      <c r="Q11662" s="387"/>
    </row>
    <row r="11663" spans="15:17" ht="20.100000000000001" customHeight="1">
      <c r="O11663" s="387"/>
      <c r="P11663" s="387"/>
      <c r="Q11663" s="387"/>
    </row>
    <row r="11664" spans="15:17" ht="20.100000000000001" customHeight="1">
      <c r="O11664" s="387"/>
      <c r="P11664" s="387"/>
      <c r="Q11664" s="387"/>
    </row>
    <row r="11665" spans="15:17" ht="20.100000000000001" customHeight="1">
      <c r="O11665" s="387"/>
      <c r="P11665" s="387"/>
      <c r="Q11665" s="387"/>
    </row>
    <row r="11666" spans="15:17" ht="20.100000000000001" customHeight="1">
      <c r="O11666" s="387"/>
      <c r="P11666" s="387"/>
      <c r="Q11666" s="387"/>
    </row>
    <row r="11667" spans="15:17" ht="20.100000000000001" customHeight="1">
      <c r="O11667" s="387"/>
      <c r="P11667" s="387"/>
      <c r="Q11667" s="387"/>
    </row>
    <row r="11668" spans="15:17" ht="20.100000000000001" customHeight="1">
      <c r="O11668" s="387"/>
      <c r="P11668" s="387"/>
      <c r="Q11668" s="387"/>
    </row>
    <row r="11669" spans="15:17" ht="20.100000000000001" customHeight="1">
      <c r="O11669" s="387"/>
      <c r="P11669" s="387"/>
      <c r="Q11669" s="387"/>
    </row>
    <row r="11670" spans="15:17" ht="20.100000000000001" customHeight="1">
      <c r="O11670" s="387"/>
      <c r="P11670" s="387"/>
      <c r="Q11670" s="387"/>
    </row>
    <row r="11671" spans="15:17" ht="20.100000000000001" customHeight="1">
      <c r="O11671" s="387"/>
      <c r="P11671" s="387"/>
      <c r="Q11671" s="387"/>
    </row>
    <row r="11672" spans="15:17" ht="20.100000000000001" customHeight="1">
      <c r="O11672" s="387"/>
      <c r="P11672" s="387"/>
      <c r="Q11672" s="387"/>
    </row>
    <row r="11673" spans="15:17" ht="20.100000000000001" customHeight="1">
      <c r="O11673" s="387"/>
      <c r="P11673" s="387"/>
      <c r="Q11673" s="387"/>
    </row>
    <row r="11674" spans="15:17" ht="20.100000000000001" customHeight="1">
      <c r="O11674" s="387"/>
      <c r="P11674" s="387"/>
      <c r="Q11674" s="387"/>
    </row>
    <row r="11675" spans="15:17" ht="20.100000000000001" customHeight="1">
      <c r="O11675" s="387"/>
      <c r="P11675" s="387"/>
      <c r="Q11675" s="387"/>
    </row>
    <row r="11676" spans="15:17" ht="20.100000000000001" customHeight="1">
      <c r="O11676" s="387"/>
      <c r="P11676" s="387"/>
      <c r="Q11676" s="387"/>
    </row>
    <row r="11677" spans="15:17" ht="20.100000000000001" customHeight="1">
      <c r="O11677" s="387"/>
      <c r="P11677" s="387"/>
      <c r="Q11677" s="387"/>
    </row>
    <row r="11678" spans="15:17" ht="20.100000000000001" customHeight="1">
      <c r="O11678" s="387"/>
      <c r="P11678" s="387"/>
      <c r="Q11678" s="387"/>
    </row>
    <row r="11679" spans="15:17" ht="20.100000000000001" customHeight="1">
      <c r="O11679" s="387"/>
      <c r="P11679" s="387"/>
      <c r="Q11679" s="387"/>
    </row>
    <row r="11680" spans="15:17" ht="20.100000000000001" customHeight="1">
      <c r="O11680" s="387"/>
      <c r="P11680" s="387"/>
      <c r="Q11680" s="387"/>
    </row>
    <row r="11681" spans="15:17" ht="20.100000000000001" customHeight="1">
      <c r="O11681" s="387"/>
      <c r="P11681" s="387"/>
      <c r="Q11681" s="387"/>
    </row>
    <row r="11682" spans="15:17" ht="20.100000000000001" customHeight="1">
      <c r="O11682" s="387"/>
      <c r="P11682" s="387"/>
      <c r="Q11682" s="387"/>
    </row>
    <row r="11683" spans="15:17" ht="20.100000000000001" customHeight="1">
      <c r="O11683" s="387"/>
      <c r="P11683" s="387"/>
      <c r="Q11683" s="387"/>
    </row>
    <row r="11684" spans="15:17" ht="20.100000000000001" customHeight="1">
      <c r="O11684" s="387"/>
      <c r="P11684" s="387"/>
      <c r="Q11684" s="387"/>
    </row>
    <row r="11685" spans="15:17" ht="20.100000000000001" customHeight="1">
      <c r="O11685" s="387"/>
      <c r="P11685" s="387"/>
      <c r="Q11685" s="387"/>
    </row>
    <row r="11686" spans="15:17" ht="20.100000000000001" customHeight="1">
      <c r="O11686" s="387"/>
      <c r="P11686" s="387"/>
      <c r="Q11686" s="387"/>
    </row>
    <row r="11687" spans="15:17" ht="20.100000000000001" customHeight="1">
      <c r="O11687" s="387"/>
      <c r="P11687" s="387"/>
      <c r="Q11687" s="387"/>
    </row>
    <row r="11688" spans="15:17" ht="20.100000000000001" customHeight="1">
      <c r="O11688" s="387"/>
      <c r="P11688" s="387"/>
      <c r="Q11688" s="387"/>
    </row>
    <row r="11689" spans="15:17" ht="20.100000000000001" customHeight="1">
      <c r="O11689" s="387"/>
      <c r="P11689" s="387"/>
      <c r="Q11689" s="387"/>
    </row>
    <row r="11690" spans="15:17" ht="20.100000000000001" customHeight="1">
      <c r="O11690" s="387"/>
      <c r="P11690" s="387"/>
      <c r="Q11690" s="387"/>
    </row>
    <row r="11691" spans="15:17" ht="20.100000000000001" customHeight="1">
      <c r="O11691" s="387"/>
      <c r="P11691" s="387"/>
      <c r="Q11691" s="387"/>
    </row>
    <row r="11692" spans="15:17" ht="20.100000000000001" customHeight="1">
      <c r="O11692" s="387"/>
      <c r="P11692" s="387"/>
      <c r="Q11692" s="387"/>
    </row>
    <row r="11693" spans="15:17" ht="20.100000000000001" customHeight="1">
      <c r="O11693" s="387"/>
      <c r="P11693" s="387"/>
      <c r="Q11693" s="387"/>
    </row>
    <row r="11694" spans="15:17" ht="20.100000000000001" customHeight="1">
      <c r="O11694" s="387"/>
      <c r="P11694" s="387"/>
      <c r="Q11694" s="387"/>
    </row>
    <row r="11695" spans="15:17" ht="20.100000000000001" customHeight="1">
      <c r="O11695" s="387"/>
      <c r="P11695" s="387"/>
      <c r="Q11695" s="387"/>
    </row>
    <row r="11696" spans="15:17" ht="20.100000000000001" customHeight="1">
      <c r="O11696" s="387"/>
      <c r="P11696" s="387"/>
      <c r="Q11696" s="387"/>
    </row>
    <row r="11697" spans="15:17" ht="20.100000000000001" customHeight="1">
      <c r="O11697" s="387"/>
      <c r="P11697" s="387"/>
      <c r="Q11697" s="387"/>
    </row>
    <row r="11698" spans="15:17" ht="20.100000000000001" customHeight="1">
      <c r="O11698" s="387"/>
      <c r="P11698" s="387"/>
      <c r="Q11698" s="387"/>
    </row>
    <row r="11699" spans="15:17" ht="20.100000000000001" customHeight="1">
      <c r="O11699" s="387"/>
      <c r="P11699" s="387"/>
      <c r="Q11699" s="387"/>
    </row>
    <row r="11700" spans="15:17" ht="20.100000000000001" customHeight="1">
      <c r="O11700" s="387"/>
      <c r="P11700" s="387"/>
      <c r="Q11700" s="387"/>
    </row>
    <row r="11701" spans="15:17" ht="20.100000000000001" customHeight="1">
      <c r="O11701" s="387"/>
      <c r="P11701" s="387"/>
      <c r="Q11701" s="387"/>
    </row>
    <row r="11702" spans="15:17" ht="20.100000000000001" customHeight="1">
      <c r="O11702" s="387"/>
      <c r="P11702" s="387"/>
      <c r="Q11702" s="387"/>
    </row>
    <row r="11703" spans="15:17" ht="20.100000000000001" customHeight="1">
      <c r="O11703" s="387"/>
      <c r="P11703" s="387"/>
      <c r="Q11703" s="387"/>
    </row>
    <row r="11704" spans="15:17" ht="20.100000000000001" customHeight="1">
      <c r="O11704" s="387"/>
      <c r="P11704" s="387"/>
      <c r="Q11704" s="387"/>
    </row>
    <row r="11705" spans="15:17" ht="20.100000000000001" customHeight="1">
      <c r="O11705" s="387"/>
      <c r="P11705" s="387"/>
      <c r="Q11705" s="387"/>
    </row>
    <row r="11706" spans="15:17" ht="20.100000000000001" customHeight="1">
      <c r="O11706" s="387"/>
      <c r="P11706" s="387"/>
      <c r="Q11706" s="387"/>
    </row>
    <row r="11707" spans="15:17" ht="20.100000000000001" customHeight="1">
      <c r="O11707" s="387"/>
      <c r="P11707" s="387"/>
      <c r="Q11707" s="387"/>
    </row>
    <row r="11708" spans="15:17" ht="20.100000000000001" customHeight="1">
      <c r="O11708" s="387"/>
      <c r="P11708" s="387"/>
      <c r="Q11708" s="387"/>
    </row>
    <row r="11709" spans="15:17" ht="20.100000000000001" customHeight="1">
      <c r="O11709" s="387"/>
      <c r="P11709" s="387"/>
      <c r="Q11709" s="387"/>
    </row>
    <row r="11710" spans="15:17" ht="20.100000000000001" customHeight="1">
      <c r="O11710" s="387"/>
      <c r="P11710" s="387"/>
      <c r="Q11710" s="387"/>
    </row>
    <row r="11711" spans="15:17" ht="20.100000000000001" customHeight="1">
      <c r="O11711" s="387"/>
      <c r="P11711" s="387"/>
      <c r="Q11711" s="387"/>
    </row>
    <row r="11712" spans="15:17" ht="20.100000000000001" customHeight="1">
      <c r="O11712" s="387"/>
      <c r="P11712" s="387"/>
      <c r="Q11712" s="387"/>
    </row>
    <row r="11713" spans="15:17" ht="20.100000000000001" customHeight="1">
      <c r="O11713" s="387"/>
      <c r="P11713" s="387"/>
      <c r="Q11713" s="387"/>
    </row>
    <row r="11714" spans="15:17" ht="20.100000000000001" customHeight="1">
      <c r="O11714" s="387"/>
      <c r="P11714" s="387"/>
      <c r="Q11714" s="387"/>
    </row>
    <row r="11715" spans="15:17" ht="20.100000000000001" customHeight="1">
      <c r="O11715" s="387"/>
      <c r="P11715" s="387"/>
      <c r="Q11715" s="387"/>
    </row>
    <row r="11716" spans="15:17" ht="20.100000000000001" customHeight="1">
      <c r="O11716" s="387"/>
      <c r="P11716" s="387"/>
      <c r="Q11716" s="387"/>
    </row>
    <row r="11717" spans="15:17" ht="20.100000000000001" customHeight="1">
      <c r="O11717" s="387"/>
      <c r="P11717" s="387"/>
      <c r="Q11717" s="387"/>
    </row>
    <row r="11718" spans="15:17" ht="20.100000000000001" customHeight="1">
      <c r="O11718" s="387"/>
      <c r="P11718" s="387"/>
      <c r="Q11718" s="387"/>
    </row>
    <row r="11719" spans="15:17" ht="20.100000000000001" customHeight="1">
      <c r="O11719" s="387"/>
      <c r="P11719" s="387"/>
      <c r="Q11719" s="387"/>
    </row>
    <row r="11720" spans="15:17" ht="20.100000000000001" customHeight="1">
      <c r="O11720" s="387"/>
      <c r="P11720" s="387"/>
      <c r="Q11720" s="387"/>
    </row>
    <row r="11721" spans="15:17" ht="20.100000000000001" customHeight="1">
      <c r="O11721" s="387"/>
      <c r="P11721" s="387"/>
      <c r="Q11721" s="387"/>
    </row>
    <row r="11722" spans="15:17" ht="20.100000000000001" customHeight="1">
      <c r="O11722" s="387"/>
      <c r="P11722" s="387"/>
      <c r="Q11722" s="387"/>
    </row>
    <row r="11723" spans="15:17" ht="20.100000000000001" customHeight="1">
      <c r="O11723" s="387"/>
      <c r="P11723" s="387"/>
      <c r="Q11723" s="387"/>
    </row>
    <row r="11724" spans="15:17" ht="20.100000000000001" customHeight="1">
      <c r="O11724" s="387"/>
      <c r="P11724" s="387"/>
      <c r="Q11724" s="387"/>
    </row>
    <row r="11725" spans="15:17" ht="20.100000000000001" customHeight="1">
      <c r="O11725" s="387"/>
      <c r="P11725" s="387"/>
      <c r="Q11725" s="387"/>
    </row>
    <row r="11726" spans="15:17" ht="20.100000000000001" customHeight="1">
      <c r="O11726" s="387"/>
      <c r="P11726" s="387"/>
      <c r="Q11726" s="387"/>
    </row>
    <row r="11727" spans="15:17" ht="20.100000000000001" customHeight="1">
      <c r="O11727" s="387"/>
      <c r="P11727" s="387"/>
      <c r="Q11727" s="387"/>
    </row>
    <row r="11728" spans="15:17" ht="20.100000000000001" customHeight="1">
      <c r="O11728" s="387"/>
      <c r="P11728" s="387"/>
      <c r="Q11728" s="387"/>
    </row>
    <row r="11729" spans="15:17" ht="20.100000000000001" customHeight="1">
      <c r="O11729" s="387"/>
      <c r="P11729" s="387"/>
      <c r="Q11729" s="387"/>
    </row>
    <row r="11730" spans="15:17" ht="20.100000000000001" customHeight="1">
      <c r="O11730" s="387"/>
      <c r="P11730" s="387"/>
      <c r="Q11730" s="387"/>
    </row>
    <row r="11731" spans="15:17" ht="20.100000000000001" customHeight="1">
      <c r="O11731" s="387"/>
      <c r="P11731" s="387"/>
      <c r="Q11731" s="387"/>
    </row>
    <row r="11732" spans="15:17" ht="20.100000000000001" customHeight="1">
      <c r="O11732" s="387"/>
      <c r="P11732" s="387"/>
      <c r="Q11732" s="387"/>
    </row>
    <row r="11733" spans="15:17" ht="20.100000000000001" customHeight="1">
      <c r="O11733" s="387"/>
      <c r="P11733" s="387"/>
      <c r="Q11733" s="387"/>
    </row>
    <row r="11734" spans="15:17" ht="20.100000000000001" customHeight="1">
      <c r="O11734" s="387"/>
      <c r="P11734" s="387"/>
      <c r="Q11734" s="387"/>
    </row>
    <row r="11735" spans="15:17" ht="20.100000000000001" customHeight="1">
      <c r="O11735" s="387"/>
      <c r="P11735" s="387"/>
      <c r="Q11735" s="387"/>
    </row>
    <row r="11736" spans="15:17" ht="20.100000000000001" customHeight="1">
      <c r="O11736" s="387"/>
      <c r="P11736" s="387"/>
      <c r="Q11736" s="387"/>
    </row>
    <row r="11737" spans="15:17" ht="20.100000000000001" customHeight="1">
      <c r="O11737" s="387"/>
      <c r="P11737" s="387"/>
      <c r="Q11737" s="387"/>
    </row>
    <row r="11738" spans="15:17" ht="20.100000000000001" customHeight="1">
      <c r="O11738" s="387"/>
      <c r="P11738" s="387"/>
      <c r="Q11738" s="387"/>
    </row>
    <row r="11739" spans="15:17" ht="20.100000000000001" customHeight="1">
      <c r="O11739" s="387"/>
      <c r="P11739" s="387"/>
      <c r="Q11739" s="387"/>
    </row>
    <row r="11740" spans="15:17" ht="20.100000000000001" customHeight="1">
      <c r="O11740" s="387"/>
      <c r="P11740" s="387"/>
      <c r="Q11740" s="387"/>
    </row>
    <row r="11741" spans="15:17" ht="20.100000000000001" customHeight="1">
      <c r="O11741" s="387"/>
      <c r="P11741" s="387"/>
      <c r="Q11741" s="387"/>
    </row>
    <row r="11742" spans="15:17" ht="20.100000000000001" customHeight="1">
      <c r="O11742" s="387"/>
      <c r="P11742" s="387"/>
      <c r="Q11742" s="387"/>
    </row>
    <row r="11743" spans="15:17" ht="20.100000000000001" customHeight="1">
      <c r="O11743" s="387"/>
      <c r="P11743" s="387"/>
      <c r="Q11743" s="387"/>
    </row>
    <row r="11744" spans="15:17" ht="20.100000000000001" customHeight="1">
      <c r="O11744" s="387"/>
      <c r="P11744" s="387"/>
      <c r="Q11744" s="387"/>
    </row>
    <row r="11745" spans="15:17" ht="20.100000000000001" customHeight="1">
      <c r="O11745" s="387"/>
      <c r="P11745" s="387"/>
      <c r="Q11745" s="387"/>
    </row>
    <row r="11746" spans="15:17" ht="20.100000000000001" customHeight="1">
      <c r="O11746" s="387"/>
      <c r="P11746" s="387"/>
      <c r="Q11746" s="387"/>
    </row>
    <row r="11747" spans="15:17" ht="20.100000000000001" customHeight="1">
      <c r="O11747" s="387"/>
      <c r="P11747" s="387"/>
      <c r="Q11747" s="387"/>
    </row>
    <row r="11748" spans="15:17" ht="20.100000000000001" customHeight="1">
      <c r="O11748" s="387"/>
      <c r="P11748" s="387"/>
      <c r="Q11748" s="387"/>
    </row>
    <row r="11749" spans="15:17" ht="20.100000000000001" customHeight="1">
      <c r="O11749" s="387"/>
      <c r="P11749" s="387"/>
      <c r="Q11749" s="387"/>
    </row>
    <row r="11750" spans="15:17" ht="20.100000000000001" customHeight="1">
      <c r="O11750" s="387"/>
      <c r="P11750" s="387"/>
      <c r="Q11750" s="387"/>
    </row>
    <row r="11751" spans="15:17" ht="20.100000000000001" customHeight="1">
      <c r="O11751" s="387"/>
      <c r="P11751" s="387"/>
      <c r="Q11751" s="387"/>
    </row>
    <row r="11752" spans="15:17" ht="20.100000000000001" customHeight="1">
      <c r="O11752" s="387"/>
      <c r="P11752" s="387"/>
      <c r="Q11752" s="387"/>
    </row>
    <row r="11753" spans="15:17" ht="20.100000000000001" customHeight="1">
      <c r="O11753" s="387"/>
      <c r="P11753" s="387"/>
      <c r="Q11753" s="387"/>
    </row>
    <row r="11754" spans="15:17" ht="20.100000000000001" customHeight="1">
      <c r="O11754" s="387"/>
      <c r="P11754" s="387"/>
      <c r="Q11754" s="387"/>
    </row>
    <row r="11755" spans="15:17" ht="20.100000000000001" customHeight="1">
      <c r="O11755" s="387"/>
      <c r="P11755" s="387"/>
      <c r="Q11755" s="387"/>
    </row>
    <row r="11756" spans="15:17" ht="20.100000000000001" customHeight="1">
      <c r="O11756" s="387"/>
      <c r="P11756" s="387"/>
      <c r="Q11756" s="387"/>
    </row>
    <row r="11757" spans="15:17" ht="20.100000000000001" customHeight="1">
      <c r="O11757" s="387"/>
      <c r="P11757" s="387"/>
      <c r="Q11757" s="387"/>
    </row>
    <row r="11758" spans="15:17" ht="20.100000000000001" customHeight="1">
      <c r="O11758" s="387"/>
      <c r="P11758" s="387"/>
      <c r="Q11758" s="387"/>
    </row>
    <row r="11759" spans="15:17" ht="20.100000000000001" customHeight="1">
      <c r="O11759" s="387"/>
      <c r="P11759" s="387"/>
      <c r="Q11759" s="387"/>
    </row>
    <row r="11760" spans="15:17" ht="20.100000000000001" customHeight="1">
      <c r="O11760" s="387"/>
      <c r="P11760" s="387"/>
      <c r="Q11760" s="387"/>
    </row>
    <row r="11761" spans="15:17" ht="20.100000000000001" customHeight="1">
      <c r="O11761" s="387"/>
      <c r="P11761" s="387"/>
      <c r="Q11761" s="387"/>
    </row>
    <row r="11762" spans="15:17" ht="20.100000000000001" customHeight="1">
      <c r="O11762" s="387"/>
      <c r="P11762" s="387"/>
      <c r="Q11762" s="387"/>
    </row>
    <row r="11763" spans="15:17" ht="20.100000000000001" customHeight="1">
      <c r="O11763" s="387"/>
      <c r="P11763" s="387"/>
      <c r="Q11763" s="387"/>
    </row>
    <row r="11764" spans="15:17" ht="20.100000000000001" customHeight="1">
      <c r="O11764" s="387"/>
      <c r="P11764" s="387"/>
      <c r="Q11764" s="387"/>
    </row>
    <row r="11765" spans="15:17" ht="20.100000000000001" customHeight="1">
      <c r="O11765" s="387"/>
      <c r="P11765" s="387"/>
      <c r="Q11765" s="387"/>
    </row>
    <row r="11766" spans="15:17" ht="20.100000000000001" customHeight="1">
      <c r="O11766" s="387"/>
      <c r="P11766" s="387"/>
      <c r="Q11766" s="387"/>
    </row>
    <row r="11767" spans="15:17" ht="20.100000000000001" customHeight="1">
      <c r="O11767" s="387"/>
      <c r="P11767" s="387"/>
      <c r="Q11767" s="387"/>
    </row>
    <row r="11768" spans="15:17" ht="20.100000000000001" customHeight="1">
      <c r="O11768" s="387"/>
      <c r="P11768" s="387"/>
      <c r="Q11768" s="387"/>
    </row>
    <row r="11769" spans="15:17" ht="20.100000000000001" customHeight="1">
      <c r="O11769" s="387"/>
      <c r="P11769" s="387"/>
      <c r="Q11769" s="387"/>
    </row>
    <row r="11770" spans="15:17" ht="20.100000000000001" customHeight="1">
      <c r="O11770" s="387"/>
      <c r="P11770" s="387"/>
      <c r="Q11770" s="387"/>
    </row>
    <row r="11771" spans="15:17" ht="20.100000000000001" customHeight="1">
      <c r="O11771" s="387"/>
      <c r="P11771" s="387"/>
      <c r="Q11771" s="387"/>
    </row>
    <row r="11772" spans="15:17" ht="20.100000000000001" customHeight="1">
      <c r="O11772" s="387"/>
      <c r="P11772" s="387"/>
      <c r="Q11772" s="387"/>
    </row>
    <row r="11773" spans="15:17" ht="20.100000000000001" customHeight="1">
      <c r="O11773" s="387"/>
      <c r="P11773" s="387"/>
      <c r="Q11773" s="387"/>
    </row>
    <row r="11774" spans="15:17" ht="20.100000000000001" customHeight="1">
      <c r="O11774" s="387"/>
      <c r="P11774" s="387"/>
      <c r="Q11774" s="387"/>
    </row>
    <row r="11775" spans="15:17" ht="20.100000000000001" customHeight="1">
      <c r="O11775" s="387"/>
      <c r="P11775" s="387"/>
      <c r="Q11775" s="387"/>
    </row>
    <row r="11776" spans="15:17" ht="20.100000000000001" customHeight="1">
      <c r="O11776" s="387"/>
      <c r="P11776" s="387"/>
      <c r="Q11776" s="387"/>
    </row>
    <row r="11777" spans="15:17" ht="20.100000000000001" customHeight="1">
      <c r="O11777" s="387"/>
      <c r="P11777" s="387"/>
      <c r="Q11777" s="387"/>
    </row>
    <row r="11778" spans="15:17" ht="20.100000000000001" customHeight="1">
      <c r="O11778" s="387"/>
      <c r="P11778" s="387"/>
      <c r="Q11778" s="387"/>
    </row>
    <row r="11779" spans="15:17" ht="20.100000000000001" customHeight="1">
      <c r="O11779" s="387"/>
      <c r="P11779" s="387"/>
      <c r="Q11779" s="387"/>
    </row>
    <row r="11780" spans="15:17" ht="20.100000000000001" customHeight="1">
      <c r="O11780" s="387"/>
      <c r="P11780" s="387"/>
      <c r="Q11780" s="387"/>
    </row>
    <row r="11781" spans="15:17" ht="20.100000000000001" customHeight="1">
      <c r="O11781" s="387"/>
      <c r="P11781" s="387"/>
      <c r="Q11781" s="387"/>
    </row>
    <row r="11782" spans="15:17" ht="20.100000000000001" customHeight="1">
      <c r="O11782" s="387"/>
      <c r="P11782" s="387"/>
      <c r="Q11782" s="387"/>
    </row>
    <row r="11783" spans="15:17" ht="20.100000000000001" customHeight="1">
      <c r="O11783" s="387"/>
      <c r="P11783" s="387"/>
      <c r="Q11783" s="387"/>
    </row>
    <row r="11784" spans="15:17" ht="20.100000000000001" customHeight="1">
      <c r="O11784" s="387"/>
      <c r="P11784" s="387"/>
      <c r="Q11784" s="387"/>
    </row>
    <row r="11785" spans="15:17" ht="20.100000000000001" customHeight="1">
      <c r="O11785" s="387"/>
      <c r="P11785" s="387"/>
      <c r="Q11785" s="387"/>
    </row>
    <row r="11786" spans="15:17" ht="20.100000000000001" customHeight="1">
      <c r="O11786" s="387"/>
      <c r="P11786" s="387"/>
      <c r="Q11786" s="387"/>
    </row>
    <row r="11787" spans="15:17" ht="20.100000000000001" customHeight="1">
      <c r="O11787" s="387"/>
      <c r="P11787" s="387"/>
      <c r="Q11787" s="387"/>
    </row>
    <row r="11788" spans="15:17" ht="20.100000000000001" customHeight="1">
      <c r="O11788" s="387"/>
      <c r="P11788" s="387"/>
      <c r="Q11788" s="387"/>
    </row>
    <row r="11789" spans="15:17" ht="20.100000000000001" customHeight="1">
      <c r="O11789" s="387"/>
      <c r="P11789" s="387"/>
      <c r="Q11789" s="387"/>
    </row>
    <row r="11790" spans="15:17" ht="20.100000000000001" customHeight="1">
      <c r="O11790" s="387"/>
      <c r="P11790" s="387"/>
      <c r="Q11790" s="387"/>
    </row>
    <row r="11791" spans="15:17" ht="20.100000000000001" customHeight="1">
      <c r="O11791" s="387"/>
      <c r="P11791" s="387"/>
      <c r="Q11791" s="387"/>
    </row>
    <row r="11792" spans="15:17" ht="20.100000000000001" customHeight="1">
      <c r="O11792" s="387"/>
      <c r="P11792" s="387"/>
      <c r="Q11792" s="387"/>
    </row>
    <row r="11793" spans="15:17" ht="20.100000000000001" customHeight="1">
      <c r="O11793" s="387"/>
      <c r="P11793" s="387"/>
      <c r="Q11793" s="387"/>
    </row>
    <row r="11794" spans="15:17" ht="20.100000000000001" customHeight="1">
      <c r="O11794" s="387"/>
      <c r="P11794" s="387"/>
      <c r="Q11794" s="387"/>
    </row>
    <row r="11795" spans="15:17" ht="20.100000000000001" customHeight="1">
      <c r="O11795" s="387"/>
      <c r="P11795" s="387"/>
      <c r="Q11795" s="387"/>
    </row>
    <row r="11796" spans="15:17" ht="20.100000000000001" customHeight="1">
      <c r="O11796" s="387"/>
      <c r="P11796" s="387"/>
      <c r="Q11796" s="387"/>
    </row>
    <row r="11797" spans="15:17" ht="20.100000000000001" customHeight="1">
      <c r="O11797" s="387"/>
      <c r="P11797" s="387"/>
      <c r="Q11797" s="387"/>
    </row>
    <row r="11798" spans="15:17" ht="20.100000000000001" customHeight="1">
      <c r="O11798" s="387"/>
      <c r="P11798" s="387"/>
      <c r="Q11798" s="387"/>
    </row>
    <row r="11799" spans="15:17" ht="20.100000000000001" customHeight="1">
      <c r="O11799" s="387"/>
      <c r="P11799" s="387"/>
      <c r="Q11799" s="387"/>
    </row>
    <row r="11800" spans="15:17" ht="20.100000000000001" customHeight="1">
      <c r="O11800" s="387"/>
      <c r="P11800" s="387"/>
      <c r="Q11800" s="387"/>
    </row>
    <row r="11801" spans="15:17" ht="20.100000000000001" customHeight="1">
      <c r="O11801" s="387"/>
      <c r="P11801" s="387"/>
      <c r="Q11801" s="387"/>
    </row>
    <row r="11802" spans="15:17" ht="20.100000000000001" customHeight="1">
      <c r="O11802" s="387"/>
      <c r="P11802" s="387"/>
      <c r="Q11802" s="387"/>
    </row>
    <row r="11803" spans="15:17" ht="20.100000000000001" customHeight="1">
      <c r="O11803" s="387"/>
      <c r="P11803" s="387"/>
      <c r="Q11803" s="387"/>
    </row>
    <row r="11804" spans="15:17" ht="20.100000000000001" customHeight="1">
      <c r="O11804" s="387"/>
      <c r="P11804" s="387"/>
      <c r="Q11804" s="387"/>
    </row>
    <row r="11805" spans="15:17" ht="20.100000000000001" customHeight="1">
      <c r="O11805" s="387"/>
      <c r="P11805" s="387"/>
      <c r="Q11805" s="387"/>
    </row>
    <row r="11806" spans="15:17" ht="20.100000000000001" customHeight="1">
      <c r="O11806" s="387"/>
      <c r="P11806" s="387"/>
      <c r="Q11806" s="387"/>
    </row>
    <row r="11807" spans="15:17" ht="20.100000000000001" customHeight="1">
      <c r="O11807" s="387"/>
      <c r="P11807" s="387"/>
      <c r="Q11807" s="387"/>
    </row>
    <row r="11808" spans="15:17" ht="20.100000000000001" customHeight="1">
      <c r="O11808" s="387"/>
      <c r="P11808" s="387"/>
      <c r="Q11808" s="387"/>
    </row>
    <row r="11809" spans="15:17" ht="20.100000000000001" customHeight="1">
      <c r="O11809" s="387"/>
      <c r="P11809" s="387"/>
      <c r="Q11809" s="387"/>
    </row>
    <row r="11810" spans="15:17" ht="20.100000000000001" customHeight="1">
      <c r="O11810" s="387"/>
      <c r="P11810" s="387"/>
      <c r="Q11810" s="387"/>
    </row>
    <row r="11811" spans="15:17" ht="20.100000000000001" customHeight="1">
      <c r="O11811" s="387"/>
      <c r="P11811" s="387"/>
      <c r="Q11811" s="387"/>
    </row>
    <row r="11812" spans="15:17" ht="20.100000000000001" customHeight="1">
      <c r="O11812" s="387"/>
      <c r="P11812" s="387"/>
      <c r="Q11812" s="387"/>
    </row>
    <row r="11813" spans="15:17" ht="20.100000000000001" customHeight="1">
      <c r="O11813" s="387"/>
      <c r="P11813" s="387"/>
      <c r="Q11813" s="387"/>
    </row>
    <row r="11814" spans="15:17" ht="20.100000000000001" customHeight="1">
      <c r="O11814" s="387"/>
      <c r="P11814" s="387"/>
      <c r="Q11814" s="387"/>
    </row>
    <row r="11815" spans="15:17" ht="20.100000000000001" customHeight="1">
      <c r="O11815" s="387"/>
      <c r="P11815" s="387"/>
      <c r="Q11815" s="387"/>
    </row>
    <row r="11816" spans="15:17" ht="20.100000000000001" customHeight="1">
      <c r="O11816" s="387"/>
      <c r="P11816" s="387"/>
      <c r="Q11816" s="387"/>
    </row>
    <row r="11817" spans="15:17" ht="20.100000000000001" customHeight="1">
      <c r="O11817" s="387"/>
      <c r="P11817" s="387"/>
      <c r="Q11817" s="387"/>
    </row>
    <row r="11818" spans="15:17" ht="20.100000000000001" customHeight="1">
      <c r="O11818" s="387"/>
      <c r="P11818" s="387"/>
      <c r="Q11818" s="387"/>
    </row>
    <row r="11819" spans="15:17" ht="20.100000000000001" customHeight="1">
      <c r="O11819" s="387"/>
      <c r="P11819" s="387"/>
      <c r="Q11819" s="387"/>
    </row>
    <row r="11820" spans="15:17" ht="20.100000000000001" customHeight="1">
      <c r="O11820" s="387"/>
      <c r="P11820" s="387"/>
      <c r="Q11820" s="387"/>
    </row>
    <row r="11821" spans="15:17" ht="20.100000000000001" customHeight="1">
      <c r="O11821" s="387"/>
      <c r="P11821" s="387"/>
      <c r="Q11821" s="387"/>
    </row>
    <row r="11822" spans="15:17" ht="20.100000000000001" customHeight="1">
      <c r="O11822" s="387"/>
      <c r="P11822" s="387"/>
      <c r="Q11822" s="387"/>
    </row>
    <row r="11823" spans="15:17" ht="20.100000000000001" customHeight="1">
      <c r="O11823" s="387"/>
      <c r="P11823" s="387"/>
      <c r="Q11823" s="387"/>
    </row>
    <row r="11824" spans="15:17" ht="20.100000000000001" customHeight="1">
      <c r="O11824" s="387"/>
      <c r="P11824" s="387"/>
      <c r="Q11824" s="387"/>
    </row>
    <row r="11825" spans="15:17" ht="20.100000000000001" customHeight="1">
      <c r="O11825" s="387"/>
      <c r="P11825" s="387"/>
      <c r="Q11825" s="387"/>
    </row>
    <row r="11826" spans="15:17" ht="20.100000000000001" customHeight="1">
      <c r="O11826" s="387"/>
      <c r="P11826" s="387"/>
      <c r="Q11826" s="387"/>
    </row>
    <row r="11827" spans="15:17" ht="20.100000000000001" customHeight="1">
      <c r="O11827" s="387"/>
      <c r="P11827" s="387"/>
      <c r="Q11827" s="387"/>
    </row>
    <row r="11828" spans="15:17" ht="20.100000000000001" customHeight="1">
      <c r="O11828" s="387"/>
      <c r="P11828" s="387"/>
      <c r="Q11828" s="387"/>
    </row>
    <row r="11829" spans="15:17" ht="20.100000000000001" customHeight="1">
      <c r="O11829" s="387"/>
      <c r="P11829" s="387"/>
      <c r="Q11829" s="387"/>
    </row>
    <row r="11830" spans="15:17" ht="20.100000000000001" customHeight="1">
      <c r="O11830" s="387"/>
      <c r="P11830" s="387"/>
      <c r="Q11830" s="387"/>
    </row>
    <row r="11831" spans="15:17" ht="20.100000000000001" customHeight="1">
      <c r="O11831" s="387"/>
      <c r="P11831" s="387"/>
      <c r="Q11831" s="387"/>
    </row>
    <row r="11832" spans="15:17" ht="20.100000000000001" customHeight="1">
      <c r="O11832" s="387"/>
      <c r="P11832" s="387"/>
      <c r="Q11832" s="387"/>
    </row>
    <row r="11833" spans="15:17" ht="20.100000000000001" customHeight="1">
      <c r="O11833" s="387"/>
      <c r="P11833" s="387"/>
      <c r="Q11833" s="387"/>
    </row>
    <row r="11834" spans="15:17" ht="20.100000000000001" customHeight="1">
      <c r="O11834" s="387"/>
      <c r="P11834" s="387"/>
      <c r="Q11834" s="387"/>
    </row>
    <row r="11835" spans="15:17" ht="20.100000000000001" customHeight="1">
      <c r="O11835" s="387"/>
      <c r="P11835" s="387"/>
      <c r="Q11835" s="387"/>
    </row>
    <row r="11836" spans="15:17" ht="20.100000000000001" customHeight="1">
      <c r="O11836" s="387"/>
      <c r="P11836" s="387"/>
      <c r="Q11836" s="387"/>
    </row>
    <row r="11837" spans="15:17" ht="20.100000000000001" customHeight="1">
      <c r="O11837" s="387"/>
      <c r="P11837" s="387"/>
      <c r="Q11837" s="387"/>
    </row>
    <row r="11838" spans="15:17" ht="20.100000000000001" customHeight="1">
      <c r="O11838" s="387"/>
      <c r="P11838" s="387"/>
      <c r="Q11838" s="387"/>
    </row>
    <row r="11839" spans="15:17" ht="20.100000000000001" customHeight="1">
      <c r="O11839" s="387"/>
      <c r="P11839" s="387"/>
      <c r="Q11839" s="387"/>
    </row>
    <row r="11840" spans="15:17" ht="20.100000000000001" customHeight="1">
      <c r="O11840" s="387"/>
      <c r="P11840" s="387"/>
      <c r="Q11840" s="387"/>
    </row>
    <row r="11841" spans="15:17" ht="20.100000000000001" customHeight="1">
      <c r="O11841" s="387"/>
      <c r="P11841" s="387"/>
      <c r="Q11841" s="387"/>
    </row>
    <row r="11842" spans="15:17" ht="20.100000000000001" customHeight="1">
      <c r="O11842" s="387"/>
      <c r="P11842" s="387"/>
      <c r="Q11842" s="387"/>
    </row>
    <row r="11843" spans="15:17" ht="20.100000000000001" customHeight="1">
      <c r="O11843" s="387"/>
      <c r="P11843" s="387"/>
      <c r="Q11843" s="387"/>
    </row>
    <row r="11844" spans="15:17" ht="20.100000000000001" customHeight="1">
      <c r="O11844" s="387"/>
      <c r="P11844" s="387"/>
      <c r="Q11844" s="387"/>
    </row>
    <row r="11845" spans="15:17" ht="20.100000000000001" customHeight="1">
      <c r="O11845" s="387"/>
      <c r="P11845" s="387"/>
      <c r="Q11845" s="387"/>
    </row>
    <row r="11846" spans="15:17" ht="20.100000000000001" customHeight="1">
      <c r="O11846" s="387"/>
      <c r="P11846" s="387"/>
      <c r="Q11846" s="387"/>
    </row>
    <row r="11847" spans="15:17" ht="20.100000000000001" customHeight="1">
      <c r="O11847" s="387"/>
      <c r="P11847" s="387"/>
      <c r="Q11847" s="387"/>
    </row>
    <row r="11848" spans="15:17" ht="20.100000000000001" customHeight="1">
      <c r="O11848" s="387"/>
      <c r="P11848" s="387"/>
      <c r="Q11848" s="387"/>
    </row>
    <row r="11849" spans="15:17" ht="20.100000000000001" customHeight="1">
      <c r="O11849" s="387"/>
      <c r="P11849" s="387"/>
      <c r="Q11849" s="387"/>
    </row>
    <row r="11850" spans="15:17" ht="20.100000000000001" customHeight="1">
      <c r="O11850" s="387"/>
      <c r="P11850" s="387"/>
      <c r="Q11850" s="387"/>
    </row>
    <row r="11851" spans="15:17" ht="20.100000000000001" customHeight="1">
      <c r="O11851" s="387"/>
      <c r="P11851" s="387"/>
      <c r="Q11851" s="387"/>
    </row>
    <row r="11852" spans="15:17" ht="20.100000000000001" customHeight="1">
      <c r="O11852" s="387"/>
      <c r="P11852" s="387"/>
      <c r="Q11852" s="387"/>
    </row>
    <row r="11853" spans="15:17" ht="20.100000000000001" customHeight="1">
      <c r="O11853" s="387"/>
      <c r="P11853" s="387"/>
      <c r="Q11853" s="387"/>
    </row>
    <row r="11854" spans="15:17" ht="20.100000000000001" customHeight="1">
      <c r="O11854" s="387"/>
      <c r="P11854" s="387"/>
      <c r="Q11854" s="387"/>
    </row>
    <row r="11855" spans="15:17" ht="20.100000000000001" customHeight="1">
      <c r="O11855" s="387"/>
      <c r="P11855" s="387"/>
      <c r="Q11855" s="387"/>
    </row>
    <row r="11856" spans="15:17" ht="20.100000000000001" customHeight="1">
      <c r="O11856" s="387"/>
      <c r="P11856" s="387"/>
      <c r="Q11856" s="387"/>
    </row>
    <row r="11857" spans="15:17" ht="20.100000000000001" customHeight="1">
      <c r="O11857" s="387"/>
      <c r="P11857" s="387"/>
      <c r="Q11857" s="387"/>
    </row>
    <row r="11858" spans="15:17" ht="20.100000000000001" customHeight="1">
      <c r="O11858" s="387"/>
      <c r="P11858" s="387"/>
      <c r="Q11858" s="387"/>
    </row>
    <row r="11859" spans="15:17" ht="20.100000000000001" customHeight="1">
      <c r="O11859" s="387"/>
      <c r="P11859" s="387"/>
      <c r="Q11859" s="387"/>
    </row>
    <row r="11860" spans="15:17" ht="20.100000000000001" customHeight="1">
      <c r="O11860" s="387"/>
      <c r="P11860" s="387"/>
      <c r="Q11860" s="387"/>
    </row>
    <row r="11861" spans="15:17" ht="20.100000000000001" customHeight="1">
      <c r="O11861" s="387"/>
      <c r="P11861" s="387"/>
      <c r="Q11861" s="387"/>
    </row>
    <row r="11862" spans="15:17" ht="20.100000000000001" customHeight="1">
      <c r="O11862" s="387"/>
      <c r="P11862" s="387"/>
      <c r="Q11862" s="387"/>
    </row>
    <row r="11863" spans="15:17" ht="20.100000000000001" customHeight="1">
      <c r="O11863" s="387"/>
      <c r="P11863" s="387"/>
      <c r="Q11863" s="387"/>
    </row>
    <row r="11864" spans="15:17" ht="20.100000000000001" customHeight="1">
      <c r="O11864" s="387"/>
      <c r="P11864" s="387"/>
      <c r="Q11864" s="387"/>
    </row>
    <row r="11865" spans="15:17" ht="20.100000000000001" customHeight="1">
      <c r="O11865" s="387"/>
      <c r="P11865" s="387"/>
      <c r="Q11865" s="387"/>
    </row>
    <row r="11866" spans="15:17" ht="20.100000000000001" customHeight="1">
      <c r="O11866" s="387"/>
      <c r="P11866" s="387"/>
      <c r="Q11866" s="387"/>
    </row>
    <row r="11867" spans="15:17" ht="20.100000000000001" customHeight="1">
      <c r="O11867" s="387"/>
      <c r="P11867" s="387"/>
      <c r="Q11867" s="387"/>
    </row>
    <row r="11868" spans="15:17" ht="20.100000000000001" customHeight="1">
      <c r="O11868" s="387"/>
      <c r="P11868" s="387"/>
      <c r="Q11868" s="387"/>
    </row>
    <row r="11869" spans="15:17" ht="20.100000000000001" customHeight="1">
      <c r="O11869" s="387"/>
      <c r="P11869" s="387"/>
      <c r="Q11869" s="387"/>
    </row>
    <row r="11870" spans="15:17" ht="20.100000000000001" customHeight="1">
      <c r="O11870" s="387"/>
      <c r="P11870" s="387"/>
      <c r="Q11870" s="387"/>
    </row>
    <row r="11871" spans="15:17" ht="20.100000000000001" customHeight="1">
      <c r="O11871" s="387"/>
      <c r="P11871" s="387"/>
      <c r="Q11871" s="387"/>
    </row>
    <row r="11872" spans="15:17" ht="20.100000000000001" customHeight="1">
      <c r="O11872" s="387"/>
      <c r="P11872" s="387"/>
      <c r="Q11872" s="387"/>
    </row>
    <row r="11873" spans="15:17" ht="20.100000000000001" customHeight="1">
      <c r="O11873" s="387"/>
      <c r="P11873" s="387"/>
      <c r="Q11873" s="387"/>
    </row>
    <row r="11874" spans="15:17" ht="20.100000000000001" customHeight="1">
      <c r="O11874" s="387"/>
      <c r="P11874" s="387"/>
      <c r="Q11874" s="387"/>
    </row>
    <row r="11875" spans="15:17" ht="20.100000000000001" customHeight="1">
      <c r="O11875" s="387"/>
      <c r="P11875" s="387"/>
      <c r="Q11875" s="387"/>
    </row>
    <row r="11876" spans="15:17" ht="20.100000000000001" customHeight="1">
      <c r="O11876" s="387"/>
      <c r="P11876" s="387"/>
      <c r="Q11876" s="387"/>
    </row>
    <row r="11877" spans="15:17" ht="20.100000000000001" customHeight="1">
      <c r="O11877" s="387"/>
      <c r="P11877" s="387"/>
      <c r="Q11877" s="387"/>
    </row>
    <row r="11878" spans="15:17" ht="20.100000000000001" customHeight="1">
      <c r="O11878" s="387"/>
      <c r="P11878" s="387"/>
      <c r="Q11878" s="387"/>
    </row>
    <row r="11879" spans="15:17" ht="20.100000000000001" customHeight="1">
      <c r="O11879" s="387"/>
      <c r="P11879" s="387"/>
      <c r="Q11879" s="387"/>
    </row>
    <row r="11880" spans="15:17" ht="20.100000000000001" customHeight="1">
      <c r="O11880" s="387"/>
      <c r="P11880" s="387"/>
      <c r="Q11880" s="387"/>
    </row>
    <row r="11881" spans="15:17" ht="20.100000000000001" customHeight="1">
      <c r="O11881" s="387"/>
      <c r="P11881" s="387"/>
      <c r="Q11881" s="387"/>
    </row>
    <row r="11882" spans="15:17" ht="20.100000000000001" customHeight="1">
      <c r="O11882" s="387"/>
      <c r="P11882" s="387"/>
      <c r="Q11882" s="387"/>
    </row>
    <row r="11883" spans="15:17" ht="20.100000000000001" customHeight="1">
      <c r="O11883" s="387"/>
      <c r="P11883" s="387"/>
      <c r="Q11883" s="387"/>
    </row>
    <row r="11884" spans="15:17" ht="20.100000000000001" customHeight="1">
      <c r="O11884" s="387"/>
      <c r="P11884" s="387"/>
      <c r="Q11884" s="387"/>
    </row>
    <row r="11885" spans="15:17" ht="20.100000000000001" customHeight="1">
      <c r="O11885" s="387"/>
      <c r="P11885" s="387"/>
      <c r="Q11885" s="387"/>
    </row>
    <row r="11886" spans="15:17" ht="20.100000000000001" customHeight="1">
      <c r="O11886" s="387"/>
      <c r="P11886" s="387"/>
      <c r="Q11886" s="387"/>
    </row>
    <row r="11887" spans="15:17" ht="20.100000000000001" customHeight="1">
      <c r="O11887" s="387"/>
      <c r="P11887" s="387"/>
      <c r="Q11887" s="387"/>
    </row>
    <row r="11888" spans="15:17" ht="20.100000000000001" customHeight="1">
      <c r="O11888" s="387"/>
      <c r="P11888" s="387"/>
      <c r="Q11888" s="387"/>
    </row>
    <row r="11889" spans="15:17" ht="20.100000000000001" customHeight="1">
      <c r="O11889" s="387"/>
      <c r="P11889" s="387"/>
      <c r="Q11889" s="387"/>
    </row>
    <row r="11890" spans="15:17" ht="20.100000000000001" customHeight="1">
      <c r="O11890" s="387"/>
      <c r="P11890" s="387"/>
      <c r="Q11890" s="387"/>
    </row>
    <row r="11891" spans="15:17" ht="20.100000000000001" customHeight="1">
      <c r="O11891" s="387"/>
      <c r="P11891" s="387"/>
      <c r="Q11891" s="387"/>
    </row>
    <row r="11892" spans="15:17" ht="20.100000000000001" customHeight="1">
      <c r="O11892" s="387"/>
      <c r="P11892" s="387"/>
      <c r="Q11892" s="387"/>
    </row>
    <row r="11893" spans="15:17" ht="20.100000000000001" customHeight="1">
      <c r="O11893" s="387"/>
      <c r="P11893" s="387"/>
      <c r="Q11893" s="387"/>
    </row>
    <row r="11894" spans="15:17" ht="20.100000000000001" customHeight="1">
      <c r="O11894" s="387"/>
      <c r="P11894" s="387"/>
      <c r="Q11894" s="387"/>
    </row>
    <row r="11895" spans="15:17" ht="20.100000000000001" customHeight="1">
      <c r="O11895" s="387"/>
      <c r="P11895" s="387"/>
      <c r="Q11895" s="387"/>
    </row>
    <row r="11896" spans="15:17" ht="20.100000000000001" customHeight="1">
      <c r="O11896" s="387"/>
      <c r="P11896" s="387"/>
      <c r="Q11896" s="387"/>
    </row>
    <row r="11897" spans="15:17" ht="20.100000000000001" customHeight="1">
      <c r="O11897" s="387"/>
      <c r="P11897" s="387"/>
      <c r="Q11897" s="387"/>
    </row>
    <row r="11898" spans="15:17" ht="20.100000000000001" customHeight="1">
      <c r="O11898" s="387"/>
      <c r="P11898" s="387"/>
      <c r="Q11898" s="387"/>
    </row>
    <row r="11899" spans="15:17" ht="20.100000000000001" customHeight="1">
      <c r="O11899" s="387"/>
      <c r="P11899" s="387"/>
      <c r="Q11899" s="387"/>
    </row>
    <row r="11900" spans="15:17" ht="20.100000000000001" customHeight="1">
      <c r="O11900" s="387"/>
      <c r="P11900" s="387"/>
      <c r="Q11900" s="387"/>
    </row>
    <row r="11901" spans="15:17" ht="20.100000000000001" customHeight="1">
      <c r="O11901" s="387"/>
      <c r="P11901" s="387"/>
      <c r="Q11901" s="387"/>
    </row>
    <row r="11902" spans="15:17" ht="20.100000000000001" customHeight="1">
      <c r="O11902" s="387"/>
      <c r="P11902" s="387"/>
      <c r="Q11902" s="387"/>
    </row>
    <row r="11903" spans="15:17" ht="20.100000000000001" customHeight="1">
      <c r="O11903" s="387"/>
      <c r="P11903" s="387"/>
      <c r="Q11903" s="387"/>
    </row>
    <row r="11904" spans="15:17" ht="20.100000000000001" customHeight="1">
      <c r="O11904" s="387"/>
      <c r="P11904" s="387"/>
      <c r="Q11904" s="387"/>
    </row>
    <row r="11905" spans="15:17" ht="20.100000000000001" customHeight="1">
      <c r="O11905" s="387"/>
      <c r="P11905" s="387"/>
      <c r="Q11905" s="387"/>
    </row>
    <row r="11906" spans="15:17" ht="20.100000000000001" customHeight="1">
      <c r="O11906" s="387"/>
      <c r="P11906" s="387"/>
      <c r="Q11906" s="387"/>
    </row>
    <row r="11907" spans="15:17" ht="20.100000000000001" customHeight="1">
      <c r="O11907" s="387"/>
      <c r="P11907" s="387"/>
      <c r="Q11907" s="387"/>
    </row>
    <row r="11908" spans="15:17" ht="20.100000000000001" customHeight="1">
      <c r="O11908" s="387"/>
      <c r="P11908" s="387"/>
      <c r="Q11908" s="387"/>
    </row>
    <row r="11909" spans="15:17" ht="20.100000000000001" customHeight="1">
      <c r="O11909" s="387"/>
      <c r="P11909" s="387"/>
      <c r="Q11909" s="387"/>
    </row>
    <row r="11910" spans="15:17" ht="20.100000000000001" customHeight="1">
      <c r="O11910" s="387"/>
      <c r="P11910" s="387"/>
      <c r="Q11910" s="387"/>
    </row>
    <row r="11911" spans="15:17" ht="20.100000000000001" customHeight="1">
      <c r="O11911" s="387"/>
      <c r="P11911" s="387"/>
      <c r="Q11911" s="387"/>
    </row>
    <row r="11912" spans="15:17" ht="20.100000000000001" customHeight="1">
      <c r="O11912" s="387"/>
      <c r="P11912" s="387"/>
      <c r="Q11912" s="387"/>
    </row>
    <row r="11913" spans="15:17" ht="20.100000000000001" customHeight="1">
      <c r="O11913" s="387"/>
      <c r="P11913" s="387"/>
      <c r="Q11913" s="387"/>
    </row>
    <row r="11914" spans="15:17" ht="20.100000000000001" customHeight="1">
      <c r="O11914" s="387"/>
      <c r="P11914" s="387"/>
      <c r="Q11914" s="387"/>
    </row>
    <row r="11915" spans="15:17" ht="20.100000000000001" customHeight="1">
      <c r="O11915" s="387"/>
      <c r="P11915" s="387"/>
      <c r="Q11915" s="387"/>
    </row>
    <row r="11916" spans="15:17" ht="20.100000000000001" customHeight="1">
      <c r="O11916" s="387"/>
      <c r="P11916" s="387"/>
      <c r="Q11916" s="387"/>
    </row>
    <row r="11917" spans="15:17" ht="20.100000000000001" customHeight="1">
      <c r="O11917" s="387"/>
      <c r="P11917" s="387"/>
      <c r="Q11917" s="387"/>
    </row>
    <row r="11918" spans="15:17" ht="20.100000000000001" customHeight="1">
      <c r="O11918" s="387"/>
      <c r="P11918" s="387"/>
      <c r="Q11918" s="387"/>
    </row>
    <row r="11919" spans="15:17" ht="20.100000000000001" customHeight="1">
      <c r="O11919" s="387"/>
      <c r="P11919" s="387"/>
      <c r="Q11919" s="387"/>
    </row>
    <row r="11920" spans="15:17" ht="20.100000000000001" customHeight="1">
      <c r="O11920" s="387"/>
      <c r="P11920" s="387"/>
      <c r="Q11920" s="387"/>
    </row>
    <row r="11921" spans="15:17" ht="20.100000000000001" customHeight="1">
      <c r="O11921" s="387"/>
      <c r="P11921" s="387"/>
      <c r="Q11921" s="387"/>
    </row>
    <row r="11922" spans="15:17" ht="20.100000000000001" customHeight="1">
      <c r="O11922" s="387"/>
      <c r="P11922" s="387"/>
      <c r="Q11922" s="387"/>
    </row>
    <row r="11923" spans="15:17" ht="20.100000000000001" customHeight="1">
      <c r="O11923" s="387"/>
      <c r="P11923" s="387"/>
      <c r="Q11923" s="387"/>
    </row>
    <row r="11924" spans="15:17" ht="20.100000000000001" customHeight="1">
      <c r="O11924" s="387"/>
      <c r="P11924" s="387"/>
      <c r="Q11924" s="387"/>
    </row>
    <row r="11925" spans="15:17" ht="20.100000000000001" customHeight="1">
      <c r="O11925" s="387"/>
      <c r="P11925" s="387"/>
      <c r="Q11925" s="387"/>
    </row>
    <row r="11926" spans="15:17" ht="20.100000000000001" customHeight="1">
      <c r="O11926" s="387"/>
      <c r="P11926" s="387"/>
      <c r="Q11926" s="387"/>
    </row>
    <row r="11927" spans="15:17" ht="20.100000000000001" customHeight="1">
      <c r="O11927" s="387"/>
      <c r="P11927" s="387"/>
      <c r="Q11927" s="387"/>
    </row>
    <row r="11928" spans="15:17" ht="20.100000000000001" customHeight="1">
      <c r="O11928" s="387"/>
      <c r="P11928" s="387"/>
      <c r="Q11928" s="387"/>
    </row>
    <row r="11929" spans="15:17" ht="20.100000000000001" customHeight="1">
      <c r="O11929" s="387"/>
      <c r="P11929" s="387"/>
      <c r="Q11929" s="387"/>
    </row>
    <row r="11930" spans="15:17" ht="20.100000000000001" customHeight="1">
      <c r="O11930" s="387"/>
      <c r="P11930" s="387"/>
      <c r="Q11930" s="387"/>
    </row>
    <row r="11931" spans="15:17" ht="20.100000000000001" customHeight="1">
      <c r="O11931" s="387"/>
      <c r="P11931" s="387"/>
      <c r="Q11931" s="387"/>
    </row>
    <row r="11932" spans="15:17" ht="20.100000000000001" customHeight="1">
      <c r="O11932" s="387"/>
      <c r="P11932" s="387"/>
      <c r="Q11932" s="387"/>
    </row>
    <row r="11933" spans="15:17" ht="20.100000000000001" customHeight="1">
      <c r="O11933" s="387"/>
      <c r="P11933" s="387"/>
      <c r="Q11933" s="387"/>
    </row>
    <row r="11934" spans="15:17" ht="20.100000000000001" customHeight="1">
      <c r="O11934" s="387"/>
      <c r="P11934" s="387"/>
      <c r="Q11934" s="387"/>
    </row>
    <row r="11935" spans="15:17" ht="20.100000000000001" customHeight="1">
      <c r="O11935" s="387"/>
      <c r="P11935" s="387"/>
      <c r="Q11935" s="387"/>
    </row>
    <row r="11936" spans="15:17" ht="20.100000000000001" customHeight="1">
      <c r="O11936" s="387"/>
      <c r="P11936" s="387"/>
      <c r="Q11936" s="387"/>
    </row>
    <row r="11937" spans="15:17" ht="20.100000000000001" customHeight="1">
      <c r="O11937" s="387"/>
      <c r="P11937" s="387"/>
      <c r="Q11937" s="387"/>
    </row>
    <row r="11938" spans="15:17" ht="20.100000000000001" customHeight="1">
      <c r="O11938" s="387"/>
      <c r="P11938" s="387"/>
      <c r="Q11938" s="387"/>
    </row>
    <row r="11939" spans="15:17" ht="20.100000000000001" customHeight="1">
      <c r="O11939" s="387"/>
      <c r="P11939" s="387"/>
      <c r="Q11939" s="387"/>
    </row>
    <row r="11940" spans="15:17" ht="20.100000000000001" customHeight="1">
      <c r="O11940" s="387"/>
      <c r="P11940" s="387"/>
      <c r="Q11940" s="387"/>
    </row>
    <row r="11941" spans="15:17" ht="20.100000000000001" customHeight="1">
      <c r="O11941" s="387"/>
      <c r="P11941" s="387"/>
      <c r="Q11941" s="387"/>
    </row>
    <row r="11942" spans="15:17" ht="20.100000000000001" customHeight="1">
      <c r="O11942" s="387"/>
      <c r="P11942" s="387"/>
      <c r="Q11942" s="387"/>
    </row>
    <row r="11943" spans="15:17" ht="20.100000000000001" customHeight="1">
      <c r="O11943" s="387"/>
      <c r="P11943" s="387"/>
      <c r="Q11943" s="387"/>
    </row>
    <row r="11944" spans="15:17" ht="20.100000000000001" customHeight="1">
      <c r="O11944" s="387"/>
      <c r="P11944" s="387"/>
      <c r="Q11944" s="387"/>
    </row>
    <row r="11945" spans="15:17" ht="20.100000000000001" customHeight="1">
      <c r="O11945" s="387"/>
      <c r="P11945" s="387"/>
      <c r="Q11945" s="387"/>
    </row>
    <row r="11946" spans="15:17" ht="20.100000000000001" customHeight="1">
      <c r="O11946" s="387"/>
      <c r="P11946" s="387"/>
      <c r="Q11946" s="387"/>
    </row>
    <row r="11947" spans="15:17" ht="20.100000000000001" customHeight="1">
      <c r="O11947" s="387"/>
      <c r="P11947" s="387"/>
      <c r="Q11947" s="387"/>
    </row>
    <row r="11948" spans="15:17" ht="20.100000000000001" customHeight="1">
      <c r="O11948" s="387"/>
      <c r="P11948" s="387"/>
      <c r="Q11948" s="387"/>
    </row>
    <row r="11949" spans="15:17" ht="20.100000000000001" customHeight="1">
      <c r="O11949" s="387"/>
      <c r="P11949" s="387"/>
      <c r="Q11949" s="387"/>
    </row>
    <row r="11950" spans="15:17" ht="20.100000000000001" customHeight="1">
      <c r="O11950" s="387"/>
      <c r="P11950" s="387"/>
      <c r="Q11950" s="387"/>
    </row>
    <row r="11951" spans="15:17" ht="20.100000000000001" customHeight="1">
      <c r="O11951" s="387"/>
      <c r="P11951" s="387"/>
      <c r="Q11951" s="387"/>
    </row>
    <row r="11952" spans="15:17" ht="20.100000000000001" customHeight="1">
      <c r="O11952" s="387"/>
      <c r="P11952" s="387"/>
      <c r="Q11952" s="387"/>
    </row>
    <row r="11953" spans="15:17" ht="20.100000000000001" customHeight="1">
      <c r="O11953" s="387"/>
      <c r="P11953" s="387"/>
      <c r="Q11953" s="387"/>
    </row>
    <row r="11954" spans="15:17" ht="20.100000000000001" customHeight="1">
      <c r="O11954" s="387"/>
      <c r="P11954" s="387"/>
      <c r="Q11954" s="387"/>
    </row>
    <row r="11955" spans="15:17" ht="20.100000000000001" customHeight="1">
      <c r="O11955" s="387"/>
      <c r="P11955" s="387"/>
      <c r="Q11955" s="387"/>
    </row>
    <row r="11956" spans="15:17" ht="20.100000000000001" customHeight="1">
      <c r="O11956" s="387"/>
      <c r="P11956" s="387"/>
      <c r="Q11956" s="387"/>
    </row>
    <row r="11957" spans="15:17" ht="20.100000000000001" customHeight="1">
      <c r="O11957" s="387"/>
      <c r="P11957" s="387"/>
      <c r="Q11957" s="387"/>
    </row>
    <row r="11958" spans="15:17" ht="20.100000000000001" customHeight="1">
      <c r="O11958" s="387"/>
      <c r="P11958" s="387"/>
      <c r="Q11958" s="387"/>
    </row>
    <row r="11959" spans="15:17" ht="20.100000000000001" customHeight="1">
      <c r="O11959" s="387"/>
      <c r="P11959" s="387"/>
      <c r="Q11959" s="387"/>
    </row>
    <row r="11960" spans="15:17" ht="20.100000000000001" customHeight="1">
      <c r="O11960" s="387"/>
      <c r="P11960" s="387"/>
      <c r="Q11960" s="387"/>
    </row>
    <row r="11961" spans="15:17" ht="20.100000000000001" customHeight="1">
      <c r="O11961" s="387"/>
      <c r="P11961" s="387"/>
      <c r="Q11961" s="387"/>
    </row>
    <row r="11962" spans="15:17" ht="20.100000000000001" customHeight="1">
      <c r="O11962" s="387"/>
      <c r="P11962" s="387"/>
      <c r="Q11962" s="387"/>
    </row>
    <row r="11963" spans="15:17" ht="20.100000000000001" customHeight="1">
      <c r="O11963" s="387"/>
      <c r="P11963" s="387"/>
      <c r="Q11963" s="387"/>
    </row>
    <row r="11964" spans="15:17" ht="20.100000000000001" customHeight="1">
      <c r="O11964" s="387"/>
      <c r="P11964" s="387"/>
      <c r="Q11964" s="387"/>
    </row>
    <row r="11965" spans="15:17" ht="20.100000000000001" customHeight="1">
      <c r="O11965" s="387"/>
      <c r="P11965" s="387"/>
      <c r="Q11965" s="387"/>
    </row>
    <row r="11966" spans="15:17" ht="20.100000000000001" customHeight="1">
      <c r="O11966" s="387"/>
      <c r="P11966" s="387"/>
      <c r="Q11966" s="387"/>
    </row>
    <row r="11967" spans="15:17" ht="20.100000000000001" customHeight="1">
      <c r="O11967" s="387"/>
      <c r="P11967" s="387"/>
      <c r="Q11967" s="387"/>
    </row>
    <row r="11968" spans="15:17" ht="20.100000000000001" customHeight="1">
      <c r="O11968" s="387"/>
      <c r="P11968" s="387"/>
      <c r="Q11968" s="387"/>
    </row>
    <row r="11969" spans="15:17" ht="20.100000000000001" customHeight="1">
      <c r="O11969" s="387"/>
      <c r="P11969" s="387"/>
      <c r="Q11969" s="387"/>
    </row>
    <row r="11970" spans="15:17" ht="20.100000000000001" customHeight="1">
      <c r="O11970" s="387"/>
      <c r="P11970" s="387"/>
      <c r="Q11970" s="387"/>
    </row>
    <row r="11971" spans="15:17" ht="20.100000000000001" customHeight="1">
      <c r="O11971" s="387"/>
      <c r="P11971" s="387"/>
      <c r="Q11971" s="387"/>
    </row>
    <row r="11972" spans="15:17" ht="20.100000000000001" customHeight="1">
      <c r="O11972" s="387"/>
      <c r="P11972" s="387"/>
      <c r="Q11972" s="387"/>
    </row>
    <row r="11973" spans="15:17" ht="20.100000000000001" customHeight="1">
      <c r="O11973" s="387"/>
      <c r="P11973" s="387"/>
      <c r="Q11973" s="387"/>
    </row>
    <row r="11974" spans="15:17" ht="20.100000000000001" customHeight="1">
      <c r="O11974" s="387"/>
      <c r="P11974" s="387"/>
      <c r="Q11974" s="387"/>
    </row>
    <row r="11975" spans="15:17" ht="20.100000000000001" customHeight="1">
      <c r="O11975" s="387"/>
      <c r="P11975" s="387"/>
      <c r="Q11975" s="387"/>
    </row>
    <row r="11976" spans="15:17" ht="20.100000000000001" customHeight="1">
      <c r="O11976" s="387"/>
      <c r="P11976" s="387"/>
      <c r="Q11976" s="387"/>
    </row>
    <row r="11977" spans="15:17" ht="20.100000000000001" customHeight="1">
      <c r="O11977" s="387"/>
      <c r="P11977" s="387"/>
      <c r="Q11977" s="387"/>
    </row>
    <row r="11978" spans="15:17" ht="20.100000000000001" customHeight="1">
      <c r="O11978" s="387"/>
      <c r="P11978" s="387"/>
      <c r="Q11978" s="387"/>
    </row>
    <row r="11979" spans="15:17" ht="20.100000000000001" customHeight="1">
      <c r="O11979" s="387"/>
      <c r="P11979" s="387"/>
      <c r="Q11979" s="387"/>
    </row>
    <row r="11980" spans="15:17" ht="20.100000000000001" customHeight="1">
      <c r="O11980" s="387"/>
      <c r="P11980" s="387"/>
      <c r="Q11980" s="387"/>
    </row>
    <row r="11981" spans="15:17" ht="20.100000000000001" customHeight="1">
      <c r="O11981" s="387"/>
      <c r="P11981" s="387"/>
      <c r="Q11981" s="387"/>
    </row>
    <row r="11982" spans="15:17" ht="20.100000000000001" customHeight="1">
      <c r="O11982" s="387"/>
      <c r="P11982" s="387"/>
      <c r="Q11982" s="387"/>
    </row>
    <row r="11983" spans="15:17" ht="20.100000000000001" customHeight="1">
      <c r="O11983" s="387"/>
      <c r="P11983" s="387"/>
      <c r="Q11983" s="387"/>
    </row>
    <row r="11984" spans="15:17" ht="20.100000000000001" customHeight="1">
      <c r="O11984" s="387"/>
      <c r="P11984" s="387"/>
      <c r="Q11984" s="387"/>
    </row>
    <row r="11985" spans="15:17" ht="20.100000000000001" customHeight="1">
      <c r="O11985" s="387"/>
      <c r="P11985" s="387"/>
      <c r="Q11985" s="387"/>
    </row>
    <row r="11986" spans="15:17" ht="20.100000000000001" customHeight="1">
      <c r="O11986" s="387"/>
      <c r="P11986" s="387"/>
      <c r="Q11986" s="387"/>
    </row>
    <row r="11987" spans="15:17" ht="20.100000000000001" customHeight="1">
      <c r="O11987" s="387"/>
      <c r="P11987" s="387"/>
      <c r="Q11987" s="387"/>
    </row>
    <row r="11988" spans="15:17" ht="20.100000000000001" customHeight="1">
      <c r="O11988" s="387"/>
      <c r="P11988" s="387"/>
      <c r="Q11988" s="387"/>
    </row>
    <row r="11989" spans="15:17" ht="20.100000000000001" customHeight="1">
      <c r="O11989" s="387"/>
      <c r="P11989" s="387"/>
      <c r="Q11989" s="387"/>
    </row>
    <row r="11990" spans="15:17" ht="20.100000000000001" customHeight="1">
      <c r="O11990" s="387"/>
      <c r="P11990" s="387"/>
      <c r="Q11990" s="387"/>
    </row>
    <row r="11991" spans="15:17" ht="20.100000000000001" customHeight="1">
      <c r="O11991" s="387"/>
      <c r="P11991" s="387"/>
      <c r="Q11991" s="387"/>
    </row>
    <row r="11992" spans="15:17" ht="20.100000000000001" customHeight="1">
      <c r="O11992" s="387"/>
      <c r="P11992" s="387"/>
      <c r="Q11992" s="387"/>
    </row>
    <row r="11993" spans="15:17" ht="20.100000000000001" customHeight="1">
      <c r="O11993" s="387"/>
      <c r="P11993" s="387"/>
      <c r="Q11993" s="387"/>
    </row>
    <row r="11994" spans="15:17" ht="20.100000000000001" customHeight="1">
      <c r="O11994" s="387"/>
      <c r="P11994" s="387"/>
      <c r="Q11994" s="387"/>
    </row>
    <row r="11995" spans="15:17" ht="20.100000000000001" customHeight="1">
      <c r="O11995" s="387"/>
      <c r="P11995" s="387"/>
      <c r="Q11995" s="387"/>
    </row>
    <row r="11996" spans="15:17" ht="20.100000000000001" customHeight="1">
      <c r="O11996" s="387"/>
      <c r="P11996" s="387"/>
      <c r="Q11996" s="387"/>
    </row>
    <row r="11997" spans="15:17" ht="20.100000000000001" customHeight="1">
      <c r="O11997" s="387"/>
      <c r="P11997" s="387"/>
      <c r="Q11997" s="387"/>
    </row>
    <row r="11998" spans="15:17" ht="20.100000000000001" customHeight="1">
      <c r="O11998" s="387"/>
      <c r="P11998" s="387"/>
      <c r="Q11998" s="387"/>
    </row>
    <row r="11999" spans="15:17" ht="20.100000000000001" customHeight="1">
      <c r="O11999" s="387"/>
      <c r="P11999" s="387"/>
      <c r="Q11999" s="387"/>
    </row>
    <row r="12000" spans="15:17" ht="20.100000000000001" customHeight="1">
      <c r="O12000" s="387"/>
      <c r="P12000" s="387"/>
      <c r="Q12000" s="387"/>
    </row>
    <row r="12001" spans="15:17" ht="20.100000000000001" customHeight="1">
      <c r="O12001" s="387"/>
      <c r="P12001" s="387"/>
      <c r="Q12001" s="387"/>
    </row>
    <row r="12002" spans="15:17" ht="20.100000000000001" customHeight="1">
      <c r="O12002" s="387"/>
      <c r="P12002" s="387"/>
      <c r="Q12002" s="387"/>
    </row>
    <row r="12003" spans="15:17" ht="20.100000000000001" customHeight="1">
      <c r="O12003" s="387"/>
      <c r="P12003" s="387"/>
      <c r="Q12003" s="387"/>
    </row>
    <row r="12004" spans="15:17" ht="20.100000000000001" customHeight="1">
      <c r="O12004" s="387"/>
      <c r="P12004" s="387"/>
      <c r="Q12004" s="387"/>
    </row>
    <row r="12005" spans="15:17" ht="20.100000000000001" customHeight="1">
      <c r="O12005" s="387"/>
      <c r="P12005" s="387"/>
      <c r="Q12005" s="387"/>
    </row>
    <row r="12006" spans="15:17" ht="20.100000000000001" customHeight="1">
      <c r="O12006" s="387"/>
      <c r="P12006" s="387"/>
      <c r="Q12006" s="387"/>
    </row>
    <row r="12007" spans="15:17" ht="20.100000000000001" customHeight="1">
      <c r="O12007" s="387"/>
      <c r="P12007" s="387"/>
      <c r="Q12007" s="387"/>
    </row>
    <row r="12008" spans="15:17" ht="20.100000000000001" customHeight="1">
      <c r="O12008" s="387"/>
      <c r="P12008" s="387"/>
      <c r="Q12008" s="387"/>
    </row>
    <row r="12009" spans="15:17" ht="20.100000000000001" customHeight="1">
      <c r="O12009" s="387"/>
      <c r="P12009" s="387"/>
      <c r="Q12009" s="387"/>
    </row>
    <row r="12010" spans="15:17" ht="20.100000000000001" customHeight="1">
      <c r="O12010" s="387"/>
      <c r="P12010" s="387"/>
      <c r="Q12010" s="387"/>
    </row>
    <row r="12011" spans="15:17" ht="20.100000000000001" customHeight="1">
      <c r="O12011" s="387"/>
      <c r="P12011" s="387"/>
      <c r="Q12011" s="387"/>
    </row>
    <row r="12012" spans="15:17" ht="20.100000000000001" customHeight="1">
      <c r="O12012" s="387"/>
      <c r="P12012" s="387"/>
      <c r="Q12012" s="387"/>
    </row>
    <row r="12013" spans="15:17" ht="20.100000000000001" customHeight="1">
      <c r="O12013" s="387"/>
      <c r="P12013" s="387"/>
      <c r="Q12013" s="387"/>
    </row>
    <row r="12014" spans="15:17" ht="20.100000000000001" customHeight="1">
      <c r="O12014" s="387"/>
      <c r="P12014" s="387"/>
      <c r="Q12014" s="387"/>
    </row>
    <row r="12015" spans="15:17" ht="20.100000000000001" customHeight="1">
      <c r="O12015" s="387"/>
      <c r="P12015" s="387"/>
      <c r="Q12015" s="387"/>
    </row>
    <row r="12016" spans="15:17" ht="20.100000000000001" customHeight="1">
      <c r="O12016" s="387"/>
      <c r="P12016" s="387"/>
      <c r="Q12016" s="387"/>
    </row>
    <row r="12017" spans="15:17" ht="20.100000000000001" customHeight="1">
      <c r="O12017" s="387"/>
      <c r="P12017" s="387"/>
      <c r="Q12017" s="387"/>
    </row>
    <row r="12018" spans="15:17" ht="20.100000000000001" customHeight="1">
      <c r="O12018" s="387"/>
      <c r="P12018" s="387"/>
      <c r="Q12018" s="387"/>
    </row>
    <row r="12019" spans="15:17" ht="20.100000000000001" customHeight="1">
      <c r="O12019" s="387"/>
      <c r="P12019" s="387"/>
      <c r="Q12019" s="387"/>
    </row>
    <row r="12020" spans="15:17" ht="20.100000000000001" customHeight="1">
      <c r="O12020" s="387"/>
      <c r="P12020" s="387"/>
      <c r="Q12020" s="387"/>
    </row>
    <row r="12021" spans="15:17" ht="20.100000000000001" customHeight="1">
      <c r="O12021" s="387"/>
      <c r="P12021" s="387"/>
      <c r="Q12021" s="387"/>
    </row>
    <row r="12022" spans="15:17" ht="20.100000000000001" customHeight="1">
      <c r="O12022" s="387"/>
      <c r="P12022" s="387"/>
      <c r="Q12022" s="387"/>
    </row>
    <row r="12023" spans="15:17" ht="20.100000000000001" customHeight="1">
      <c r="O12023" s="387"/>
      <c r="P12023" s="387"/>
      <c r="Q12023" s="387"/>
    </row>
    <row r="12024" spans="15:17" ht="20.100000000000001" customHeight="1">
      <c r="O12024" s="387"/>
      <c r="P12024" s="387"/>
      <c r="Q12024" s="387"/>
    </row>
    <row r="12025" spans="15:17" ht="20.100000000000001" customHeight="1">
      <c r="O12025" s="387"/>
      <c r="P12025" s="387"/>
      <c r="Q12025" s="387"/>
    </row>
    <row r="12026" spans="15:17" ht="20.100000000000001" customHeight="1">
      <c r="O12026" s="387"/>
      <c r="P12026" s="387"/>
      <c r="Q12026" s="387"/>
    </row>
    <row r="12027" spans="15:17" ht="20.100000000000001" customHeight="1">
      <c r="O12027" s="387"/>
      <c r="P12027" s="387"/>
      <c r="Q12027" s="387"/>
    </row>
    <row r="12028" spans="15:17" ht="20.100000000000001" customHeight="1">
      <c r="O12028" s="387"/>
      <c r="P12028" s="387"/>
      <c r="Q12028" s="387"/>
    </row>
    <row r="12029" spans="15:17" ht="20.100000000000001" customHeight="1">
      <c r="O12029" s="387"/>
      <c r="P12029" s="387"/>
      <c r="Q12029" s="387"/>
    </row>
    <row r="12030" spans="15:17" ht="20.100000000000001" customHeight="1">
      <c r="O12030" s="387"/>
      <c r="P12030" s="387"/>
      <c r="Q12030" s="387"/>
    </row>
    <row r="12031" spans="15:17" ht="20.100000000000001" customHeight="1">
      <c r="O12031" s="387"/>
      <c r="P12031" s="387"/>
      <c r="Q12031" s="387"/>
    </row>
    <row r="12032" spans="15:17" ht="20.100000000000001" customHeight="1">
      <c r="O12032" s="387"/>
      <c r="P12032" s="387"/>
      <c r="Q12032" s="387"/>
    </row>
    <row r="12033" spans="15:17" ht="20.100000000000001" customHeight="1">
      <c r="O12033" s="387"/>
      <c r="P12033" s="387"/>
      <c r="Q12033" s="387"/>
    </row>
    <row r="12034" spans="15:17" ht="20.100000000000001" customHeight="1">
      <c r="O12034" s="387"/>
      <c r="P12034" s="387"/>
      <c r="Q12034" s="387"/>
    </row>
    <row r="12035" spans="15:17" ht="20.100000000000001" customHeight="1">
      <c r="O12035" s="387"/>
      <c r="P12035" s="387"/>
      <c r="Q12035" s="387"/>
    </row>
    <row r="12036" spans="15:17" ht="20.100000000000001" customHeight="1">
      <c r="O12036" s="387"/>
      <c r="P12036" s="387"/>
      <c r="Q12036" s="387"/>
    </row>
    <row r="12037" spans="15:17" ht="20.100000000000001" customHeight="1">
      <c r="O12037" s="387"/>
      <c r="P12037" s="387"/>
      <c r="Q12037" s="387"/>
    </row>
    <row r="12038" spans="15:17" ht="20.100000000000001" customHeight="1">
      <c r="O12038" s="387"/>
      <c r="P12038" s="387"/>
      <c r="Q12038" s="387"/>
    </row>
    <row r="12039" spans="15:17" ht="20.100000000000001" customHeight="1">
      <c r="O12039" s="387"/>
      <c r="P12039" s="387"/>
      <c r="Q12039" s="387"/>
    </row>
    <row r="12040" spans="15:17" ht="20.100000000000001" customHeight="1">
      <c r="O12040" s="387"/>
      <c r="P12040" s="387"/>
      <c r="Q12040" s="387"/>
    </row>
    <row r="12041" spans="15:17" ht="20.100000000000001" customHeight="1">
      <c r="O12041" s="387"/>
      <c r="P12041" s="387"/>
      <c r="Q12041" s="387"/>
    </row>
    <row r="12042" spans="15:17" ht="20.100000000000001" customHeight="1">
      <c r="O12042" s="387"/>
      <c r="P12042" s="387"/>
      <c r="Q12042" s="387"/>
    </row>
    <row r="12043" spans="15:17" ht="20.100000000000001" customHeight="1">
      <c r="O12043" s="387"/>
      <c r="P12043" s="387"/>
      <c r="Q12043" s="387"/>
    </row>
    <row r="12044" spans="15:17" ht="20.100000000000001" customHeight="1">
      <c r="O12044" s="387"/>
      <c r="P12044" s="387"/>
      <c r="Q12044" s="387"/>
    </row>
    <row r="12045" spans="15:17" ht="20.100000000000001" customHeight="1">
      <c r="O12045" s="387"/>
      <c r="P12045" s="387"/>
      <c r="Q12045" s="387"/>
    </row>
    <row r="12046" spans="15:17" ht="20.100000000000001" customHeight="1">
      <c r="O12046" s="387"/>
      <c r="P12046" s="387"/>
      <c r="Q12046" s="387"/>
    </row>
    <row r="12047" spans="15:17" ht="20.100000000000001" customHeight="1">
      <c r="O12047" s="387"/>
      <c r="P12047" s="387"/>
      <c r="Q12047" s="387"/>
    </row>
    <row r="12048" spans="15:17" ht="20.100000000000001" customHeight="1">
      <c r="O12048" s="387"/>
      <c r="P12048" s="387"/>
      <c r="Q12048" s="387"/>
    </row>
    <row r="12049" spans="15:17" ht="20.100000000000001" customHeight="1">
      <c r="O12049" s="387"/>
      <c r="P12049" s="387"/>
      <c r="Q12049" s="387"/>
    </row>
    <row r="12050" spans="15:17" ht="20.100000000000001" customHeight="1">
      <c r="O12050" s="387"/>
      <c r="P12050" s="387"/>
      <c r="Q12050" s="387"/>
    </row>
    <row r="12051" spans="15:17" ht="20.100000000000001" customHeight="1">
      <c r="O12051" s="387"/>
      <c r="P12051" s="387"/>
      <c r="Q12051" s="387"/>
    </row>
    <row r="12052" spans="15:17" ht="20.100000000000001" customHeight="1">
      <c r="O12052" s="387"/>
      <c r="P12052" s="387"/>
      <c r="Q12052" s="387"/>
    </row>
    <row r="12053" spans="15:17" ht="20.100000000000001" customHeight="1">
      <c r="O12053" s="387"/>
      <c r="P12053" s="387"/>
      <c r="Q12053" s="387"/>
    </row>
    <row r="12054" spans="15:17" ht="20.100000000000001" customHeight="1">
      <c r="O12054" s="387"/>
      <c r="P12054" s="387"/>
      <c r="Q12054" s="387"/>
    </row>
    <row r="12055" spans="15:17" ht="20.100000000000001" customHeight="1">
      <c r="O12055" s="387"/>
      <c r="P12055" s="387"/>
      <c r="Q12055" s="387"/>
    </row>
    <row r="12056" spans="15:17" ht="20.100000000000001" customHeight="1">
      <c r="O12056" s="387"/>
      <c r="P12056" s="387"/>
      <c r="Q12056" s="387"/>
    </row>
    <row r="12057" spans="15:17" ht="20.100000000000001" customHeight="1">
      <c r="O12057" s="387"/>
      <c r="P12057" s="387"/>
      <c r="Q12057" s="387"/>
    </row>
    <row r="12058" spans="15:17" ht="20.100000000000001" customHeight="1">
      <c r="O12058" s="387"/>
      <c r="P12058" s="387"/>
      <c r="Q12058" s="387"/>
    </row>
    <row r="12059" spans="15:17" ht="20.100000000000001" customHeight="1">
      <c r="O12059" s="387"/>
      <c r="P12059" s="387"/>
      <c r="Q12059" s="387"/>
    </row>
    <row r="12060" spans="15:17" ht="20.100000000000001" customHeight="1">
      <c r="O12060" s="387"/>
      <c r="P12060" s="387"/>
      <c r="Q12060" s="387"/>
    </row>
    <row r="12061" spans="15:17" ht="20.100000000000001" customHeight="1">
      <c r="O12061" s="387"/>
      <c r="P12061" s="387"/>
      <c r="Q12061" s="387"/>
    </row>
    <row r="12062" spans="15:17" ht="20.100000000000001" customHeight="1">
      <c r="O12062" s="387"/>
      <c r="P12062" s="387"/>
      <c r="Q12062" s="387"/>
    </row>
    <row r="12063" spans="15:17" ht="20.100000000000001" customHeight="1">
      <c r="O12063" s="387"/>
      <c r="P12063" s="387"/>
      <c r="Q12063" s="387"/>
    </row>
    <row r="12064" spans="15:17" ht="20.100000000000001" customHeight="1">
      <c r="O12064" s="387"/>
      <c r="P12064" s="387"/>
      <c r="Q12064" s="387"/>
    </row>
    <row r="12065" spans="15:17" ht="20.100000000000001" customHeight="1">
      <c r="O12065" s="387"/>
      <c r="P12065" s="387"/>
      <c r="Q12065" s="387"/>
    </row>
    <row r="12066" spans="15:17" ht="20.100000000000001" customHeight="1">
      <c r="O12066" s="387"/>
      <c r="P12066" s="387"/>
      <c r="Q12066" s="387"/>
    </row>
    <row r="12067" spans="15:17" ht="20.100000000000001" customHeight="1">
      <c r="O12067" s="387"/>
      <c r="P12067" s="387"/>
      <c r="Q12067" s="387"/>
    </row>
    <row r="12068" spans="15:17" ht="20.100000000000001" customHeight="1">
      <c r="O12068" s="387"/>
      <c r="P12068" s="387"/>
      <c r="Q12068" s="387"/>
    </row>
    <row r="12069" spans="15:17" ht="20.100000000000001" customHeight="1">
      <c r="O12069" s="387"/>
      <c r="P12069" s="387"/>
      <c r="Q12069" s="387"/>
    </row>
    <row r="12070" spans="15:17" ht="20.100000000000001" customHeight="1">
      <c r="O12070" s="387"/>
      <c r="P12070" s="387"/>
      <c r="Q12070" s="387"/>
    </row>
    <row r="12071" spans="15:17" ht="20.100000000000001" customHeight="1">
      <c r="O12071" s="387"/>
      <c r="P12071" s="387"/>
      <c r="Q12071" s="387"/>
    </row>
    <row r="12072" spans="15:17" ht="20.100000000000001" customHeight="1">
      <c r="O12072" s="387"/>
      <c r="P12072" s="387"/>
      <c r="Q12072" s="387"/>
    </row>
    <row r="12073" spans="15:17" ht="20.100000000000001" customHeight="1">
      <c r="O12073" s="387"/>
      <c r="P12073" s="387"/>
      <c r="Q12073" s="387"/>
    </row>
    <row r="12074" spans="15:17" ht="20.100000000000001" customHeight="1">
      <c r="O12074" s="387"/>
      <c r="P12074" s="387"/>
      <c r="Q12074" s="387"/>
    </row>
    <row r="12075" spans="15:17" ht="20.100000000000001" customHeight="1">
      <c r="O12075" s="387"/>
      <c r="P12075" s="387"/>
      <c r="Q12075" s="387"/>
    </row>
    <row r="12076" spans="15:17" ht="20.100000000000001" customHeight="1">
      <c r="O12076" s="387"/>
      <c r="P12076" s="387"/>
      <c r="Q12076" s="387"/>
    </row>
    <row r="12077" spans="15:17" ht="20.100000000000001" customHeight="1">
      <c r="O12077" s="387"/>
      <c r="P12077" s="387"/>
      <c r="Q12077" s="387"/>
    </row>
    <row r="12078" spans="15:17" ht="20.100000000000001" customHeight="1">
      <c r="O12078" s="387"/>
      <c r="P12078" s="387"/>
      <c r="Q12078" s="387"/>
    </row>
    <row r="12079" spans="15:17" ht="20.100000000000001" customHeight="1">
      <c r="O12079" s="387"/>
      <c r="P12079" s="387"/>
      <c r="Q12079" s="387"/>
    </row>
    <row r="12080" spans="15:17" ht="20.100000000000001" customHeight="1">
      <c r="O12080" s="387"/>
      <c r="P12080" s="387"/>
      <c r="Q12080" s="387"/>
    </row>
    <row r="12081" spans="15:17" ht="20.100000000000001" customHeight="1">
      <c r="O12081" s="387"/>
      <c r="P12081" s="387"/>
      <c r="Q12081" s="387"/>
    </row>
    <row r="12082" spans="15:17" ht="20.100000000000001" customHeight="1">
      <c r="O12082" s="387"/>
      <c r="P12082" s="387"/>
      <c r="Q12082" s="387"/>
    </row>
    <row r="12083" spans="15:17" ht="20.100000000000001" customHeight="1">
      <c r="O12083" s="387"/>
      <c r="P12083" s="387"/>
      <c r="Q12083" s="387"/>
    </row>
    <row r="12084" spans="15:17" ht="20.100000000000001" customHeight="1">
      <c r="O12084" s="387"/>
      <c r="P12084" s="387"/>
      <c r="Q12084" s="387"/>
    </row>
    <row r="12085" spans="15:17" ht="20.100000000000001" customHeight="1">
      <c r="O12085" s="387"/>
      <c r="P12085" s="387"/>
      <c r="Q12085" s="387"/>
    </row>
    <row r="12086" spans="15:17" ht="20.100000000000001" customHeight="1">
      <c r="O12086" s="387"/>
      <c r="P12086" s="387"/>
      <c r="Q12086" s="387"/>
    </row>
    <row r="12087" spans="15:17" ht="20.100000000000001" customHeight="1">
      <c r="O12087" s="387"/>
      <c r="P12087" s="387"/>
      <c r="Q12087" s="387"/>
    </row>
    <row r="12088" spans="15:17" ht="20.100000000000001" customHeight="1">
      <c r="O12088" s="387"/>
      <c r="P12088" s="387"/>
      <c r="Q12088" s="387"/>
    </row>
    <row r="12089" spans="15:17" ht="20.100000000000001" customHeight="1">
      <c r="O12089" s="387"/>
      <c r="P12089" s="387"/>
      <c r="Q12089" s="387"/>
    </row>
    <row r="12090" spans="15:17" ht="20.100000000000001" customHeight="1">
      <c r="O12090" s="387"/>
      <c r="P12090" s="387"/>
      <c r="Q12090" s="387"/>
    </row>
    <row r="12091" spans="15:17" ht="20.100000000000001" customHeight="1">
      <c r="O12091" s="387"/>
      <c r="P12091" s="387"/>
      <c r="Q12091" s="387"/>
    </row>
    <row r="12092" spans="15:17" ht="20.100000000000001" customHeight="1">
      <c r="O12092" s="387"/>
      <c r="P12092" s="387"/>
      <c r="Q12092" s="387"/>
    </row>
    <row r="12093" spans="15:17" ht="20.100000000000001" customHeight="1">
      <c r="O12093" s="387"/>
      <c r="P12093" s="387"/>
      <c r="Q12093" s="387"/>
    </row>
    <row r="12094" spans="15:17" ht="20.100000000000001" customHeight="1">
      <c r="O12094" s="387"/>
      <c r="P12094" s="387"/>
      <c r="Q12094" s="387"/>
    </row>
    <row r="12095" spans="15:17" ht="20.100000000000001" customHeight="1">
      <c r="O12095" s="387"/>
      <c r="P12095" s="387"/>
      <c r="Q12095" s="387"/>
    </row>
    <row r="12096" spans="15:17" ht="20.100000000000001" customHeight="1">
      <c r="O12096" s="387"/>
      <c r="P12096" s="387"/>
      <c r="Q12096" s="387"/>
    </row>
    <row r="12097" spans="15:17" ht="20.100000000000001" customHeight="1">
      <c r="O12097" s="387"/>
      <c r="P12097" s="387"/>
      <c r="Q12097" s="387"/>
    </row>
    <row r="12098" spans="15:17" ht="20.100000000000001" customHeight="1">
      <c r="O12098" s="387"/>
      <c r="P12098" s="387"/>
      <c r="Q12098" s="387"/>
    </row>
    <row r="12099" spans="15:17" ht="20.100000000000001" customHeight="1">
      <c r="O12099" s="387"/>
      <c r="P12099" s="387"/>
      <c r="Q12099" s="387"/>
    </row>
    <row r="12100" spans="15:17" ht="20.100000000000001" customHeight="1">
      <c r="O12100" s="387"/>
      <c r="P12100" s="387"/>
      <c r="Q12100" s="387"/>
    </row>
    <row r="12101" spans="15:17" ht="20.100000000000001" customHeight="1">
      <c r="O12101" s="387"/>
      <c r="P12101" s="387"/>
      <c r="Q12101" s="387"/>
    </row>
    <row r="12102" spans="15:17" ht="20.100000000000001" customHeight="1">
      <c r="O12102" s="387"/>
      <c r="P12102" s="387"/>
      <c r="Q12102" s="387"/>
    </row>
    <row r="12103" spans="15:17" ht="20.100000000000001" customHeight="1">
      <c r="O12103" s="387"/>
      <c r="P12103" s="387"/>
      <c r="Q12103" s="387"/>
    </row>
    <row r="12104" spans="15:17" ht="20.100000000000001" customHeight="1">
      <c r="O12104" s="387"/>
      <c r="P12104" s="387"/>
      <c r="Q12104" s="387"/>
    </row>
    <row r="12105" spans="15:17" ht="20.100000000000001" customHeight="1">
      <c r="O12105" s="387"/>
      <c r="P12105" s="387"/>
      <c r="Q12105" s="387"/>
    </row>
    <row r="12106" spans="15:17" ht="20.100000000000001" customHeight="1">
      <c r="O12106" s="387"/>
      <c r="P12106" s="387"/>
      <c r="Q12106" s="387"/>
    </row>
    <row r="12107" spans="15:17" ht="20.100000000000001" customHeight="1">
      <c r="O12107" s="387"/>
      <c r="P12107" s="387"/>
      <c r="Q12107" s="387"/>
    </row>
    <row r="12108" spans="15:17" ht="20.100000000000001" customHeight="1">
      <c r="O12108" s="387"/>
      <c r="P12108" s="387"/>
      <c r="Q12108" s="387"/>
    </row>
    <row r="12109" spans="15:17" ht="20.100000000000001" customHeight="1">
      <c r="O12109" s="387"/>
      <c r="P12109" s="387"/>
      <c r="Q12109" s="387"/>
    </row>
    <row r="12110" spans="15:17" ht="20.100000000000001" customHeight="1">
      <c r="O12110" s="387"/>
      <c r="P12110" s="387"/>
      <c r="Q12110" s="387"/>
    </row>
    <row r="12111" spans="15:17" ht="20.100000000000001" customHeight="1">
      <c r="O12111" s="387"/>
      <c r="P12111" s="387"/>
      <c r="Q12111" s="387"/>
    </row>
    <row r="12112" spans="15:17" ht="20.100000000000001" customHeight="1">
      <c r="O12112" s="387"/>
      <c r="P12112" s="387"/>
      <c r="Q12112" s="387"/>
    </row>
    <row r="12113" spans="15:17" ht="20.100000000000001" customHeight="1">
      <c r="O12113" s="387"/>
      <c r="P12113" s="387"/>
      <c r="Q12113" s="387"/>
    </row>
    <row r="12114" spans="15:17" ht="20.100000000000001" customHeight="1">
      <c r="O12114" s="387"/>
      <c r="P12114" s="387"/>
      <c r="Q12114" s="387"/>
    </row>
    <row r="12115" spans="15:17" ht="20.100000000000001" customHeight="1">
      <c r="O12115" s="387"/>
      <c r="P12115" s="387"/>
      <c r="Q12115" s="387"/>
    </row>
    <row r="12116" spans="15:17" ht="20.100000000000001" customHeight="1">
      <c r="O12116" s="387"/>
      <c r="P12116" s="387"/>
      <c r="Q12116" s="387"/>
    </row>
    <row r="12117" spans="15:17" ht="20.100000000000001" customHeight="1">
      <c r="O12117" s="387"/>
      <c r="P12117" s="387"/>
      <c r="Q12117" s="387"/>
    </row>
    <row r="12118" spans="15:17" ht="20.100000000000001" customHeight="1">
      <c r="O12118" s="387"/>
      <c r="P12118" s="387"/>
      <c r="Q12118" s="387"/>
    </row>
    <row r="12119" spans="15:17" ht="20.100000000000001" customHeight="1">
      <c r="O12119" s="387"/>
      <c r="P12119" s="387"/>
      <c r="Q12119" s="387"/>
    </row>
    <row r="12120" spans="15:17" ht="20.100000000000001" customHeight="1">
      <c r="O12120" s="387"/>
      <c r="P12120" s="387"/>
      <c r="Q12120" s="387"/>
    </row>
    <row r="12121" spans="15:17" ht="20.100000000000001" customHeight="1">
      <c r="O12121" s="387"/>
      <c r="P12121" s="387"/>
      <c r="Q12121" s="387"/>
    </row>
    <row r="12122" spans="15:17" ht="20.100000000000001" customHeight="1">
      <c r="O12122" s="387"/>
      <c r="P12122" s="387"/>
      <c r="Q12122" s="387"/>
    </row>
    <row r="12123" spans="15:17" ht="20.100000000000001" customHeight="1">
      <c r="O12123" s="387"/>
      <c r="P12123" s="387"/>
      <c r="Q12123" s="387"/>
    </row>
    <row r="12124" spans="15:17" ht="20.100000000000001" customHeight="1">
      <c r="O12124" s="387"/>
      <c r="P12124" s="387"/>
      <c r="Q12124" s="387"/>
    </row>
    <row r="12125" spans="15:17" ht="20.100000000000001" customHeight="1">
      <c r="O12125" s="387"/>
      <c r="P12125" s="387"/>
      <c r="Q12125" s="387"/>
    </row>
    <row r="12126" spans="15:17" ht="20.100000000000001" customHeight="1">
      <c r="O12126" s="387"/>
      <c r="P12126" s="387"/>
      <c r="Q12126" s="387"/>
    </row>
    <row r="12127" spans="15:17" ht="20.100000000000001" customHeight="1">
      <c r="O12127" s="387"/>
      <c r="P12127" s="387"/>
      <c r="Q12127" s="387"/>
    </row>
    <row r="12128" spans="15:17" ht="20.100000000000001" customHeight="1">
      <c r="O12128" s="387"/>
      <c r="P12128" s="387"/>
      <c r="Q12128" s="387"/>
    </row>
    <row r="12129" spans="15:17" ht="20.100000000000001" customHeight="1">
      <c r="O12129" s="387"/>
      <c r="P12129" s="387"/>
      <c r="Q12129" s="387"/>
    </row>
    <row r="12130" spans="15:17" ht="20.100000000000001" customHeight="1">
      <c r="O12130" s="387"/>
      <c r="P12130" s="387"/>
      <c r="Q12130" s="387"/>
    </row>
    <row r="12131" spans="15:17" ht="20.100000000000001" customHeight="1">
      <c r="O12131" s="387"/>
      <c r="P12131" s="387"/>
      <c r="Q12131" s="387"/>
    </row>
    <row r="12132" spans="15:17" ht="20.100000000000001" customHeight="1">
      <c r="O12132" s="387"/>
      <c r="P12132" s="387"/>
      <c r="Q12132" s="387"/>
    </row>
    <row r="12133" spans="15:17" ht="20.100000000000001" customHeight="1">
      <c r="O12133" s="387"/>
      <c r="P12133" s="387"/>
      <c r="Q12133" s="387"/>
    </row>
    <row r="12134" spans="15:17" ht="20.100000000000001" customHeight="1">
      <c r="O12134" s="387"/>
      <c r="P12134" s="387"/>
      <c r="Q12134" s="387"/>
    </row>
    <row r="12135" spans="15:17" ht="20.100000000000001" customHeight="1">
      <c r="O12135" s="387"/>
      <c r="P12135" s="387"/>
      <c r="Q12135" s="387"/>
    </row>
    <row r="12136" spans="15:17" ht="20.100000000000001" customHeight="1">
      <c r="O12136" s="387"/>
      <c r="P12136" s="387"/>
      <c r="Q12136" s="387"/>
    </row>
    <row r="12137" spans="15:17" ht="20.100000000000001" customHeight="1">
      <c r="O12137" s="387"/>
      <c r="P12137" s="387"/>
      <c r="Q12137" s="387"/>
    </row>
    <row r="12138" spans="15:17" ht="20.100000000000001" customHeight="1">
      <c r="O12138" s="387"/>
      <c r="P12138" s="387"/>
      <c r="Q12138" s="387"/>
    </row>
    <row r="12139" spans="15:17" ht="20.100000000000001" customHeight="1">
      <c r="O12139" s="387"/>
      <c r="P12139" s="387"/>
      <c r="Q12139" s="387"/>
    </row>
    <row r="12140" spans="15:17" ht="20.100000000000001" customHeight="1">
      <c r="O12140" s="387"/>
      <c r="P12140" s="387"/>
      <c r="Q12140" s="387"/>
    </row>
    <row r="12141" spans="15:17" ht="20.100000000000001" customHeight="1">
      <c r="O12141" s="387"/>
      <c r="P12141" s="387"/>
      <c r="Q12141" s="387"/>
    </row>
    <row r="12142" spans="15:17" ht="20.100000000000001" customHeight="1">
      <c r="O12142" s="387"/>
      <c r="P12142" s="387"/>
      <c r="Q12142" s="387"/>
    </row>
    <row r="12143" spans="15:17" ht="20.100000000000001" customHeight="1">
      <c r="O12143" s="387"/>
      <c r="P12143" s="387"/>
      <c r="Q12143" s="387"/>
    </row>
    <row r="12144" spans="15:17" ht="20.100000000000001" customHeight="1">
      <c r="O12144" s="387"/>
      <c r="P12144" s="387"/>
      <c r="Q12144" s="387"/>
    </row>
    <row r="12145" spans="15:17" ht="20.100000000000001" customHeight="1">
      <c r="O12145" s="387"/>
      <c r="P12145" s="387"/>
      <c r="Q12145" s="387"/>
    </row>
    <row r="12146" spans="15:17" ht="20.100000000000001" customHeight="1">
      <c r="O12146" s="387"/>
      <c r="P12146" s="387"/>
      <c r="Q12146" s="387"/>
    </row>
    <row r="12147" spans="15:17" ht="20.100000000000001" customHeight="1">
      <c r="O12147" s="387"/>
      <c r="P12147" s="387"/>
      <c r="Q12147" s="387"/>
    </row>
    <row r="12148" spans="15:17" ht="20.100000000000001" customHeight="1">
      <c r="O12148" s="387"/>
      <c r="P12148" s="387"/>
      <c r="Q12148" s="387"/>
    </row>
    <row r="12149" spans="15:17" ht="20.100000000000001" customHeight="1">
      <c r="O12149" s="387"/>
      <c r="P12149" s="387"/>
      <c r="Q12149" s="387"/>
    </row>
    <row r="12150" spans="15:17" ht="20.100000000000001" customHeight="1">
      <c r="O12150" s="387"/>
      <c r="P12150" s="387"/>
      <c r="Q12150" s="387"/>
    </row>
    <row r="12151" spans="15:17" ht="20.100000000000001" customHeight="1">
      <c r="O12151" s="387"/>
      <c r="P12151" s="387"/>
      <c r="Q12151" s="387"/>
    </row>
    <row r="12152" spans="15:17" ht="20.100000000000001" customHeight="1">
      <c r="O12152" s="387"/>
      <c r="P12152" s="387"/>
      <c r="Q12152" s="387"/>
    </row>
    <row r="12153" spans="15:17" ht="20.100000000000001" customHeight="1">
      <c r="O12153" s="387"/>
      <c r="P12153" s="387"/>
      <c r="Q12153" s="387"/>
    </row>
    <row r="12154" spans="15:17" ht="20.100000000000001" customHeight="1">
      <c r="O12154" s="387"/>
      <c r="P12154" s="387"/>
      <c r="Q12154" s="387"/>
    </row>
    <row r="12155" spans="15:17" ht="20.100000000000001" customHeight="1">
      <c r="O12155" s="387"/>
      <c r="P12155" s="387"/>
      <c r="Q12155" s="387"/>
    </row>
    <row r="12156" spans="15:17" ht="20.100000000000001" customHeight="1">
      <c r="O12156" s="387"/>
      <c r="P12156" s="387"/>
      <c r="Q12156" s="387"/>
    </row>
    <row r="12157" spans="15:17" ht="20.100000000000001" customHeight="1">
      <c r="O12157" s="387"/>
      <c r="P12157" s="387"/>
      <c r="Q12157" s="387"/>
    </row>
    <row r="12158" spans="15:17" ht="20.100000000000001" customHeight="1">
      <c r="O12158" s="387"/>
      <c r="P12158" s="387"/>
      <c r="Q12158" s="387"/>
    </row>
    <row r="12159" spans="15:17" ht="20.100000000000001" customHeight="1">
      <c r="O12159" s="387"/>
      <c r="P12159" s="387"/>
      <c r="Q12159" s="387"/>
    </row>
    <row r="12160" spans="15:17" ht="20.100000000000001" customHeight="1">
      <c r="O12160" s="387"/>
      <c r="P12160" s="387"/>
      <c r="Q12160" s="387"/>
    </row>
    <row r="12161" spans="15:17" ht="20.100000000000001" customHeight="1">
      <c r="O12161" s="387"/>
      <c r="P12161" s="387"/>
      <c r="Q12161" s="387"/>
    </row>
    <row r="12162" spans="15:17" ht="20.100000000000001" customHeight="1">
      <c r="O12162" s="387"/>
      <c r="P12162" s="387"/>
      <c r="Q12162" s="387"/>
    </row>
    <row r="12163" spans="15:17" ht="20.100000000000001" customHeight="1">
      <c r="O12163" s="387"/>
      <c r="P12163" s="387"/>
      <c r="Q12163" s="387"/>
    </row>
    <row r="12164" spans="15:17" ht="20.100000000000001" customHeight="1">
      <c r="O12164" s="387"/>
      <c r="P12164" s="387"/>
      <c r="Q12164" s="387"/>
    </row>
    <row r="12165" spans="15:17" ht="20.100000000000001" customHeight="1">
      <c r="O12165" s="387"/>
      <c r="P12165" s="387"/>
      <c r="Q12165" s="387"/>
    </row>
    <row r="12166" spans="15:17" ht="20.100000000000001" customHeight="1">
      <c r="O12166" s="387"/>
      <c r="P12166" s="387"/>
      <c r="Q12166" s="387"/>
    </row>
    <row r="12167" spans="15:17" ht="20.100000000000001" customHeight="1">
      <c r="O12167" s="387"/>
      <c r="P12167" s="387"/>
      <c r="Q12167" s="387"/>
    </row>
    <row r="12168" spans="15:17" ht="20.100000000000001" customHeight="1">
      <c r="O12168" s="387"/>
      <c r="P12168" s="387"/>
      <c r="Q12168" s="387"/>
    </row>
    <row r="12169" spans="15:17" ht="20.100000000000001" customHeight="1">
      <c r="O12169" s="387"/>
      <c r="P12169" s="387"/>
      <c r="Q12169" s="387"/>
    </row>
    <row r="12170" spans="15:17" ht="20.100000000000001" customHeight="1">
      <c r="O12170" s="387"/>
      <c r="P12170" s="387"/>
      <c r="Q12170" s="387"/>
    </row>
    <row r="12171" spans="15:17" ht="20.100000000000001" customHeight="1">
      <c r="O12171" s="387"/>
      <c r="P12171" s="387"/>
      <c r="Q12171" s="387"/>
    </row>
    <row r="12172" spans="15:17" ht="20.100000000000001" customHeight="1">
      <c r="O12172" s="387"/>
      <c r="P12172" s="387"/>
      <c r="Q12172" s="387"/>
    </row>
    <row r="12173" spans="15:17" ht="20.100000000000001" customHeight="1">
      <c r="O12173" s="387"/>
      <c r="P12173" s="387"/>
      <c r="Q12173" s="387"/>
    </row>
    <row r="12174" spans="15:17" ht="20.100000000000001" customHeight="1">
      <c r="O12174" s="387"/>
      <c r="P12174" s="387"/>
      <c r="Q12174" s="387"/>
    </row>
    <row r="12175" spans="15:17" ht="20.100000000000001" customHeight="1">
      <c r="O12175" s="387"/>
      <c r="P12175" s="387"/>
      <c r="Q12175" s="387"/>
    </row>
    <row r="12176" spans="15:17" ht="20.100000000000001" customHeight="1">
      <c r="O12176" s="387"/>
      <c r="P12176" s="387"/>
      <c r="Q12176" s="387"/>
    </row>
    <row r="12177" spans="15:17" ht="20.100000000000001" customHeight="1">
      <c r="O12177" s="387"/>
      <c r="P12177" s="387"/>
      <c r="Q12177" s="387"/>
    </row>
    <row r="12178" spans="15:17" ht="20.100000000000001" customHeight="1">
      <c r="O12178" s="387"/>
      <c r="P12178" s="387"/>
      <c r="Q12178" s="387"/>
    </row>
    <row r="12179" spans="15:17" ht="20.100000000000001" customHeight="1">
      <c r="O12179" s="387"/>
      <c r="P12179" s="387"/>
      <c r="Q12179" s="387"/>
    </row>
    <row r="12180" spans="15:17" ht="20.100000000000001" customHeight="1">
      <c r="O12180" s="387"/>
      <c r="P12180" s="387"/>
      <c r="Q12180" s="387"/>
    </row>
    <row r="12181" spans="15:17" ht="20.100000000000001" customHeight="1">
      <c r="O12181" s="387"/>
      <c r="P12181" s="387"/>
      <c r="Q12181" s="387"/>
    </row>
    <row r="12182" spans="15:17" ht="20.100000000000001" customHeight="1">
      <c r="O12182" s="387"/>
      <c r="P12182" s="387"/>
      <c r="Q12182" s="387"/>
    </row>
    <row r="12183" spans="15:17" ht="20.100000000000001" customHeight="1">
      <c r="O12183" s="387"/>
      <c r="P12183" s="387"/>
      <c r="Q12183" s="387"/>
    </row>
    <row r="12184" spans="15:17" ht="20.100000000000001" customHeight="1">
      <c r="O12184" s="387"/>
      <c r="P12184" s="387"/>
      <c r="Q12184" s="387"/>
    </row>
    <row r="12185" spans="15:17" ht="20.100000000000001" customHeight="1">
      <c r="O12185" s="387"/>
      <c r="P12185" s="387"/>
      <c r="Q12185" s="387"/>
    </row>
    <row r="12186" spans="15:17" ht="20.100000000000001" customHeight="1">
      <c r="O12186" s="387"/>
      <c r="P12186" s="387"/>
      <c r="Q12186" s="387"/>
    </row>
    <row r="12187" spans="15:17" ht="20.100000000000001" customHeight="1">
      <c r="O12187" s="387"/>
      <c r="P12187" s="387"/>
      <c r="Q12187" s="387"/>
    </row>
    <row r="12188" spans="15:17" ht="20.100000000000001" customHeight="1">
      <c r="O12188" s="387"/>
      <c r="P12188" s="387"/>
      <c r="Q12188" s="387"/>
    </row>
    <row r="12189" spans="15:17" ht="20.100000000000001" customHeight="1">
      <c r="O12189" s="387"/>
      <c r="P12189" s="387"/>
      <c r="Q12189" s="387"/>
    </row>
    <row r="12190" spans="15:17" ht="20.100000000000001" customHeight="1">
      <c r="O12190" s="387"/>
      <c r="P12190" s="387"/>
      <c r="Q12190" s="387"/>
    </row>
    <row r="12191" spans="15:17" ht="20.100000000000001" customHeight="1">
      <c r="O12191" s="387"/>
      <c r="P12191" s="387"/>
      <c r="Q12191" s="387"/>
    </row>
    <row r="12192" spans="15:17" ht="20.100000000000001" customHeight="1">
      <c r="O12192" s="387"/>
      <c r="P12192" s="387"/>
      <c r="Q12192" s="387"/>
    </row>
    <row r="12193" spans="15:17" ht="20.100000000000001" customHeight="1">
      <c r="O12193" s="387"/>
      <c r="P12193" s="387"/>
      <c r="Q12193" s="387"/>
    </row>
    <row r="12194" spans="15:17" ht="20.100000000000001" customHeight="1">
      <c r="O12194" s="387"/>
      <c r="P12194" s="387"/>
      <c r="Q12194" s="387"/>
    </row>
    <row r="12195" spans="15:17" ht="20.100000000000001" customHeight="1">
      <c r="O12195" s="387"/>
      <c r="P12195" s="387"/>
      <c r="Q12195" s="387"/>
    </row>
    <row r="12196" spans="15:17" ht="20.100000000000001" customHeight="1">
      <c r="O12196" s="387"/>
      <c r="P12196" s="387"/>
      <c r="Q12196" s="387"/>
    </row>
    <row r="12197" spans="15:17" ht="20.100000000000001" customHeight="1">
      <c r="O12197" s="387"/>
      <c r="P12197" s="387"/>
      <c r="Q12197" s="387"/>
    </row>
    <row r="12198" spans="15:17" ht="20.100000000000001" customHeight="1">
      <c r="O12198" s="387"/>
      <c r="P12198" s="387"/>
      <c r="Q12198" s="387"/>
    </row>
    <row r="12199" spans="15:17" ht="20.100000000000001" customHeight="1">
      <c r="O12199" s="387"/>
      <c r="P12199" s="387"/>
      <c r="Q12199" s="387"/>
    </row>
    <row r="12200" spans="15:17" ht="20.100000000000001" customHeight="1">
      <c r="O12200" s="387"/>
      <c r="P12200" s="387"/>
      <c r="Q12200" s="387"/>
    </row>
    <row r="12201" spans="15:17" ht="20.100000000000001" customHeight="1">
      <c r="O12201" s="387"/>
      <c r="P12201" s="387"/>
      <c r="Q12201" s="387"/>
    </row>
    <row r="12202" spans="15:17" ht="20.100000000000001" customHeight="1">
      <c r="O12202" s="387"/>
      <c r="P12202" s="387"/>
      <c r="Q12202" s="387"/>
    </row>
    <row r="12203" spans="15:17" ht="20.100000000000001" customHeight="1">
      <c r="O12203" s="387"/>
      <c r="P12203" s="387"/>
      <c r="Q12203" s="387"/>
    </row>
    <row r="12204" spans="15:17" ht="20.100000000000001" customHeight="1">
      <c r="O12204" s="387"/>
      <c r="P12204" s="387"/>
      <c r="Q12204" s="387"/>
    </row>
    <row r="12205" spans="15:17" ht="20.100000000000001" customHeight="1">
      <c r="O12205" s="387"/>
      <c r="P12205" s="387"/>
      <c r="Q12205" s="387"/>
    </row>
    <row r="12206" spans="15:17" ht="20.100000000000001" customHeight="1">
      <c r="O12206" s="387"/>
      <c r="P12206" s="387"/>
      <c r="Q12206" s="387"/>
    </row>
    <row r="12207" spans="15:17" ht="20.100000000000001" customHeight="1">
      <c r="O12207" s="387"/>
      <c r="P12207" s="387"/>
      <c r="Q12207" s="387"/>
    </row>
    <row r="12208" spans="15:17" ht="20.100000000000001" customHeight="1">
      <c r="O12208" s="387"/>
      <c r="P12208" s="387"/>
      <c r="Q12208" s="387"/>
    </row>
    <row r="12209" spans="15:17" ht="20.100000000000001" customHeight="1">
      <c r="O12209" s="387"/>
      <c r="P12209" s="387"/>
      <c r="Q12209" s="387"/>
    </row>
    <row r="12210" spans="15:17" ht="20.100000000000001" customHeight="1">
      <c r="O12210" s="387"/>
      <c r="P12210" s="387"/>
      <c r="Q12210" s="387"/>
    </row>
    <row r="12211" spans="15:17" ht="20.100000000000001" customHeight="1">
      <c r="O12211" s="387"/>
      <c r="P12211" s="387"/>
      <c r="Q12211" s="387"/>
    </row>
    <row r="12212" spans="15:17" ht="20.100000000000001" customHeight="1">
      <c r="O12212" s="387"/>
      <c r="P12212" s="387"/>
      <c r="Q12212" s="387"/>
    </row>
    <row r="12213" spans="15:17" ht="20.100000000000001" customHeight="1">
      <c r="O12213" s="387"/>
      <c r="P12213" s="387"/>
      <c r="Q12213" s="387"/>
    </row>
    <row r="12214" spans="15:17" ht="20.100000000000001" customHeight="1">
      <c r="O12214" s="387"/>
      <c r="P12214" s="387"/>
      <c r="Q12214" s="387"/>
    </row>
    <row r="12215" spans="15:17" ht="20.100000000000001" customHeight="1">
      <c r="O12215" s="387"/>
      <c r="P12215" s="387"/>
      <c r="Q12215" s="387"/>
    </row>
    <row r="12216" spans="15:17" ht="20.100000000000001" customHeight="1">
      <c r="O12216" s="387"/>
      <c r="P12216" s="387"/>
      <c r="Q12216" s="387"/>
    </row>
    <row r="12217" spans="15:17" ht="20.100000000000001" customHeight="1">
      <c r="O12217" s="387"/>
      <c r="P12217" s="387"/>
      <c r="Q12217" s="387"/>
    </row>
    <row r="12218" spans="15:17" ht="20.100000000000001" customHeight="1">
      <c r="O12218" s="387"/>
      <c r="P12218" s="387"/>
      <c r="Q12218" s="387"/>
    </row>
    <row r="12219" spans="15:17" ht="20.100000000000001" customHeight="1">
      <c r="O12219" s="387"/>
      <c r="P12219" s="387"/>
      <c r="Q12219" s="387"/>
    </row>
    <row r="12220" spans="15:17" ht="20.100000000000001" customHeight="1">
      <c r="O12220" s="387"/>
      <c r="P12220" s="387"/>
      <c r="Q12220" s="387"/>
    </row>
    <row r="12221" spans="15:17" ht="20.100000000000001" customHeight="1">
      <c r="O12221" s="387"/>
      <c r="P12221" s="387"/>
      <c r="Q12221" s="387"/>
    </row>
    <row r="12222" spans="15:17" ht="20.100000000000001" customHeight="1">
      <c r="O12222" s="387"/>
      <c r="P12222" s="387"/>
      <c r="Q12222" s="387"/>
    </row>
    <row r="12223" spans="15:17" ht="20.100000000000001" customHeight="1">
      <c r="O12223" s="387"/>
      <c r="P12223" s="387"/>
      <c r="Q12223" s="387"/>
    </row>
    <row r="12224" spans="15:17" ht="20.100000000000001" customHeight="1">
      <c r="O12224" s="387"/>
      <c r="P12224" s="387"/>
      <c r="Q12224" s="387"/>
    </row>
    <row r="12225" spans="15:17" ht="20.100000000000001" customHeight="1">
      <c r="O12225" s="387"/>
      <c r="P12225" s="387"/>
      <c r="Q12225" s="387"/>
    </row>
    <row r="12226" spans="15:17" ht="20.100000000000001" customHeight="1">
      <c r="O12226" s="387"/>
      <c r="P12226" s="387"/>
      <c r="Q12226" s="387"/>
    </row>
    <row r="12227" spans="15:17" ht="20.100000000000001" customHeight="1">
      <c r="O12227" s="387"/>
      <c r="P12227" s="387"/>
      <c r="Q12227" s="387"/>
    </row>
    <row r="12228" spans="15:17" ht="20.100000000000001" customHeight="1">
      <c r="O12228" s="387"/>
      <c r="P12228" s="387"/>
      <c r="Q12228" s="387"/>
    </row>
    <row r="12229" spans="15:17" ht="20.100000000000001" customHeight="1">
      <c r="O12229" s="387"/>
      <c r="P12229" s="387"/>
      <c r="Q12229" s="387"/>
    </row>
    <row r="12230" spans="15:17" ht="20.100000000000001" customHeight="1">
      <c r="O12230" s="387"/>
      <c r="P12230" s="387"/>
      <c r="Q12230" s="387"/>
    </row>
    <row r="12231" spans="15:17" ht="20.100000000000001" customHeight="1">
      <c r="O12231" s="387"/>
      <c r="P12231" s="387"/>
      <c r="Q12231" s="387"/>
    </row>
    <row r="12232" spans="15:17" ht="20.100000000000001" customHeight="1">
      <c r="O12232" s="387"/>
      <c r="P12232" s="387"/>
      <c r="Q12232" s="387"/>
    </row>
    <row r="12233" spans="15:17" ht="20.100000000000001" customHeight="1">
      <c r="O12233" s="387"/>
      <c r="P12233" s="387"/>
      <c r="Q12233" s="387"/>
    </row>
    <row r="12234" spans="15:17" ht="20.100000000000001" customHeight="1">
      <c r="O12234" s="387"/>
      <c r="P12234" s="387"/>
      <c r="Q12234" s="387"/>
    </row>
    <row r="12235" spans="15:17" ht="20.100000000000001" customHeight="1">
      <c r="O12235" s="387"/>
      <c r="P12235" s="387"/>
      <c r="Q12235" s="387"/>
    </row>
    <row r="12236" spans="15:17" ht="20.100000000000001" customHeight="1">
      <c r="O12236" s="387"/>
      <c r="P12236" s="387"/>
      <c r="Q12236" s="387"/>
    </row>
    <row r="12237" spans="15:17" ht="20.100000000000001" customHeight="1">
      <c r="O12237" s="387"/>
      <c r="P12237" s="387"/>
      <c r="Q12237" s="387"/>
    </row>
    <row r="12238" spans="15:17" ht="20.100000000000001" customHeight="1">
      <c r="O12238" s="387"/>
      <c r="P12238" s="387"/>
      <c r="Q12238" s="387"/>
    </row>
    <row r="12239" spans="15:17" ht="20.100000000000001" customHeight="1">
      <c r="O12239" s="387"/>
      <c r="P12239" s="387"/>
      <c r="Q12239" s="387"/>
    </row>
    <row r="12240" spans="15:17" ht="20.100000000000001" customHeight="1">
      <c r="O12240" s="387"/>
      <c r="P12240" s="387"/>
      <c r="Q12240" s="387"/>
    </row>
    <row r="12241" spans="15:17" ht="20.100000000000001" customHeight="1">
      <c r="O12241" s="387"/>
      <c r="P12241" s="387"/>
      <c r="Q12241" s="387"/>
    </row>
    <row r="12242" spans="15:17" ht="20.100000000000001" customHeight="1">
      <c r="O12242" s="387"/>
      <c r="P12242" s="387"/>
      <c r="Q12242" s="387"/>
    </row>
    <row r="12243" spans="15:17" ht="20.100000000000001" customHeight="1">
      <c r="O12243" s="387"/>
      <c r="P12243" s="387"/>
      <c r="Q12243" s="387"/>
    </row>
    <row r="12244" spans="15:17" ht="20.100000000000001" customHeight="1">
      <c r="O12244" s="387"/>
      <c r="P12244" s="387"/>
      <c r="Q12244" s="387"/>
    </row>
    <row r="12245" spans="15:17" ht="20.100000000000001" customHeight="1">
      <c r="O12245" s="387"/>
      <c r="P12245" s="387"/>
      <c r="Q12245" s="387"/>
    </row>
    <row r="12246" spans="15:17" ht="20.100000000000001" customHeight="1">
      <c r="O12246" s="387"/>
      <c r="P12246" s="387"/>
      <c r="Q12246" s="387"/>
    </row>
    <row r="12247" spans="15:17" ht="20.100000000000001" customHeight="1">
      <c r="O12247" s="387"/>
      <c r="P12247" s="387"/>
      <c r="Q12247" s="387"/>
    </row>
    <row r="12248" spans="15:17" ht="20.100000000000001" customHeight="1">
      <c r="O12248" s="387"/>
      <c r="P12248" s="387"/>
      <c r="Q12248" s="387"/>
    </row>
    <row r="12249" spans="15:17" ht="20.100000000000001" customHeight="1">
      <c r="O12249" s="387"/>
      <c r="P12249" s="387"/>
      <c r="Q12249" s="387"/>
    </row>
    <row r="12250" spans="15:17" ht="20.100000000000001" customHeight="1">
      <c r="O12250" s="387"/>
      <c r="P12250" s="387"/>
      <c r="Q12250" s="387"/>
    </row>
    <row r="12251" spans="15:17" ht="20.100000000000001" customHeight="1">
      <c r="O12251" s="387"/>
      <c r="P12251" s="387"/>
      <c r="Q12251" s="387"/>
    </row>
    <row r="12252" spans="15:17" ht="20.100000000000001" customHeight="1">
      <c r="O12252" s="387"/>
      <c r="P12252" s="387"/>
      <c r="Q12252" s="387"/>
    </row>
    <row r="12253" spans="15:17" ht="20.100000000000001" customHeight="1">
      <c r="O12253" s="387"/>
      <c r="P12253" s="387"/>
      <c r="Q12253" s="387"/>
    </row>
    <row r="12254" spans="15:17" ht="20.100000000000001" customHeight="1">
      <c r="O12254" s="387"/>
      <c r="P12254" s="387"/>
      <c r="Q12254" s="387"/>
    </row>
    <row r="12255" spans="15:17" ht="20.100000000000001" customHeight="1">
      <c r="O12255" s="387"/>
      <c r="P12255" s="387"/>
      <c r="Q12255" s="387"/>
    </row>
    <row r="12256" spans="15:17" ht="20.100000000000001" customHeight="1">
      <c r="O12256" s="387"/>
      <c r="P12256" s="387"/>
      <c r="Q12256" s="387"/>
    </row>
    <row r="12257" spans="15:17" ht="20.100000000000001" customHeight="1">
      <c r="O12257" s="387"/>
      <c r="P12257" s="387"/>
      <c r="Q12257" s="387"/>
    </row>
    <row r="12258" spans="15:17" ht="20.100000000000001" customHeight="1">
      <c r="O12258" s="387"/>
      <c r="P12258" s="387"/>
      <c r="Q12258" s="387"/>
    </row>
    <row r="12259" spans="15:17" ht="20.100000000000001" customHeight="1">
      <c r="O12259" s="387"/>
      <c r="P12259" s="387"/>
      <c r="Q12259" s="387"/>
    </row>
    <row r="12260" spans="15:17" ht="20.100000000000001" customHeight="1">
      <c r="O12260" s="387"/>
      <c r="P12260" s="387"/>
      <c r="Q12260" s="387"/>
    </row>
    <row r="12261" spans="15:17" ht="20.100000000000001" customHeight="1">
      <c r="O12261" s="387"/>
      <c r="P12261" s="387"/>
      <c r="Q12261" s="387"/>
    </row>
    <row r="12262" spans="15:17" ht="20.100000000000001" customHeight="1">
      <c r="O12262" s="387"/>
      <c r="P12262" s="387"/>
      <c r="Q12262" s="387"/>
    </row>
    <row r="12263" spans="15:17" ht="20.100000000000001" customHeight="1">
      <c r="O12263" s="387"/>
      <c r="P12263" s="387"/>
      <c r="Q12263" s="387"/>
    </row>
    <row r="12264" spans="15:17" ht="20.100000000000001" customHeight="1">
      <c r="O12264" s="387"/>
      <c r="P12264" s="387"/>
      <c r="Q12264" s="387"/>
    </row>
    <row r="12265" spans="15:17" ht="20.100000000000001" customHeight="1">
      <c r="O12265" s="387"/>
      <c r="P12265" s="387"/>
      <c r="Q12265" s="387"/>
    </row>
    <row r="12266" spans="15:17" ht="20.100000000000001" customHeight="1">
      <c r="O12266" s="387"/>
      <c r="P12266" s="387"/>
      <c r="Q12266" s="387"/>
    </row>
    <row r="12267" spans="15:17" ht="20.100000000000001" customHeight="1">
      <c r="O12267" s="387"/>
      <c r="P12267" s="387"/>
      <c r="Q12267" s="387"/>
    </row>
    <row r="12268" spans="15:17" ht="20.100000000000001" customHeight="1">
      <c r="O12268" s="387"/>
      <c r="P12268" s="387"/>
      <c r="Q12268" s="387"/>
    </row>
    <row r="12269" spans="15:17" ht="20.100000000000001" customHeight="1">
      <c r="O12269" s="387"/>
      <c r="P12269" s="387"/>
      <c r="Q12269" s="387"/>
    </row>
    <row r="12270" spans="15:17" ht="20.100000000000001" customHeight="1">
      <c r="O12270" s="387"/>
      <c r="P12270" s="387"/>
      <c r="Q12270" s="387"/>
    </row>
    <row r="12271" spans="15:17" ht="20.100000000000001" customHeight="1">
      <c r="O12271" s="387"/>
      <c r="P12271" s="387"/>
      <c r="Q12271" s="387"/>
    </row>
    <row r="12272" spans="15:17" ht="20.100000000000001" customHeight="1">
      <c r="O12272" s="387"/>
      <c r="P12272" s="387"/>
      <c r="Q12272" s="387"/>
    </row>
    <row r="12273" spans="15:17" ht="20.100000000000001" customHeight="1">
      <c r="O12273" s="387"/>
      <c r="P12273" s="387"/>
      <c r="Q12273" s="387"/>
    </row>
    <row r="12274" spans="15:17" ht="20.100000000000001" customHeight="1">
      <c r="O12274" s="387"/>
      <c r="P12274" s="387"/>
      <c r="Q12274" s="387"/>
    </row>
    <row r="12275" spans="15:17" ht="20.100000000000001" customHeight="1">
      <c r="O12275" s="387"/>
      <c r="P12275" s="387"/>
      <c r="Q12275" s="387"/>
    </row>
    <row r="12276" spans="15:17" ht="20.100000000000001" customHeight="1">
      <c r="O12276" s="387"/>
      <c r="P12276" s="387"/>
      <c r="Q12276" s="387"/>
    </row>
    <row r="12277" spans="15:17" ht="20.100000000000001" customHeight="1">
      <c r="O12277" s="387"/>
      <c r="P12277" s="387"/>
      <c r="Q12277" s="387"/>
    </row>
    <row r="12278" spans="15:17" ht="20.100000000000001" customHeight="1">
      <c r="O12278" s="387"/>
      <c r="P12278" s="387"/>
      <c r="Q12278" s="387"/>
    </row>
    <row r="12279" spans="15:17" ht="20.100000000000001" customHeight="1">
      <c r="O12279" s="387"/>
      <c r="P12279" s="387"/>
      <c r="Q12279" s="387"/>
    </row>
    <row r="12280" spans="15:17" ht="20.100000000000001" customHeight="1">
      <c r="O12280" s="387"/>
      <c r="P12280" s="387"/>
      <c r="Q12280" s="387"/>
    </row>
    <row r="12281" spans="15:17" ht="20.100000000000001" customHeight="1">
      <c r="O12281" s="387"/>
      <c r="P12281" s="387"/>
      <c r="Q12281" s="387"/>
    </row>
    <row r="12282" spans="15:17" ht="20.100000000000001" customHeight="1">
      <c r="O12282" s="387"/>
      <c r="P12282" s="387"/>
      <c r="Q12282" s="387"/>
    </row>
    <row r="12283" spans="15:17" ht="20.100000000000001" customHeight="1">
      <c r="O12283" s="387"/>
      <c r="P12283" s="387"/>
      <c r="Q12283" s="387"/>
    </row>
    <row r="12284" spans="15:17" ht="20.100000000000001" customHeight="1">
      <c r="O12284" s="387"/>
      <c r="P12284" s="387"/>
      <c r="Q12284" s="387"/>
    </row>
    <row r="12285" spans="15:17" ht="20.100000000000001" customHeight="1">
      <c r="O12285" s="387"/>
      <c r="P12285" s="387"/>
      <c r="Q12285" s="387"/>
    </row>
    <row r="12286" spans="15:17" ht="20.100000000000001" customHeight="1">
      <c r="O12286" s="387"/>
      <c r="P12286" s="387"/>
      <c r="Q12286" s="387"/>
    </row>
    <row r="12287" spans="15:17" ht="20.100000000000001" customHeight="1">
      <c r="O12287" s="387"/>
      <c r="P12287" s="387"/>
      <c r="Q12287" s="387"/>
    </row>
    <row r="12288" spans="15:17" ht="20.100000000000001" customHeight="1">
      <c r="O12288" s="387"/>
      <c r="P12288" s="387"/>
      <c r="Q12288" s="387"/>
    </row>
    <row r="12289" spans="15:17" ht="20.100000000000001" customHeight="1">
      <c r="O12289" s="387"/>
      <c r="P12289" s="387"/>
      <c r="Q12289" s="387"/>
    </row>
    <row r="12290" spans="15:17" ht="20.100000000000001" customHeight="1">
      <c r="O12290" s="387"/>
      <c r="P12290" s="387"/>
      <c r="Q12290" s="387"/>
    </row>
    <row r="12291" spans="15:17" ht="20.100000000000001" customHeight="1">
      <c r="O12291" s="387"/>
      <c r="P12291" s="387"/>
      <c r="Q12291" s="387"/>
    </row>
    <row r="12292" spans="15:17" ht="20.100000000000001" customHeight="1">
      <c r="O12292" s="387"/>
      <c r="P12292" s="387"/>
      <c r="Q12292" s="387"/>
    </row>
    <row r="12293" spans="15:17" ht="20.100000000000001" customHeight="1">
      <c r="O12293" s="387"/>
      <c r="P12293" s="387"/>
      <c r="Q12293" s="387"/>
    </row>
    <row r="12294" spans="15:17" ht="20.100000000000001" customHeight="1">
      <c r="O12294" s="387"/>
      <c r="P12294" s="387"/>
      <c r="Q12294" s="387"/>
    </row>
    <row r="12295" spans="15:17" ht="20.100000000000001" customHeight="1">
      <c r="O12295" s="387"/>
      <c r="P12295" s="387"/>
      <c r="Q12295" s="387"/>
    </row>
    <row r="12296" spans="15:17" ht="20.100000000000001" customHeight="1">
      <c r="O12296" s="387"/>
      <c r="P12296" s="387"/>
      <c r="Q12296" s="387"/>
    </row>
    <row r="12297" spans="15:17" ht="20.100000000000001" customHeight="1">
      <c r="O12297" s="387"/>
      <c r="P12297" s="387"/>
      <c r="Q12297" s="387"/>
    </row>
    <row r="12298" spans="15:17" ht="20.100000000000001" customHeight="1">
      <c r="O12298" s="387"/>
      <c r="P12298" s="387"/>
      <c r="Q12298" s="387"/>
    </row>
    <row r="12299" spans="15:17" ht="20.100000000000001" customHeight="1">
      <c r="O12299" s="387"/>
      <c r="P12299" s="387"/>
      <c r="Q12299" s="387"/>
    </row>
    <row r="12300" spans="15:17" ht="20.100000000000001" customHeight="1">
      <c r="O12300" s="387"/>
      <c r="P12300" s="387"/>
      <c r="Q12300" s="387"/>
    </row>
    <row r="12301" spans="15:17" ht="20.100000000000001" customHeight="1">
      <c r="O12301" s="387"/>
      <c r="P12301" s="387"/>
      <c r="Q12301" s="387"/>
    </row>
    <row r="12302" spans="15:17" ht="20.100000000000001" customHeight="1">
      <c r="O12302" s="387"/>
      <c r="P12302" s="387"/>
      <c r="Q12302" s="387"/>
    </row>
    <row r="12303" spans="15:17" ht="20.100000000000001" customHeight="1">
      <c r="O12303" s="387"/>
      <c r="P12303" s="387"/>
      <c r="Q12303" s="387"/>
    </row>
    <row r="12304" spans="15:17" ht="20.100000000000001" customHeight="1">
      <c r="O12304" s="387"/>
      <c r="P12304" s="387"/>
      <c r="Q12304" s="387"/>
    </row>
    <row r="12305" spans="15:17" ht="20.100000000000001" customHeight="1">
      <c r="O12305" s="387"/>
      <c r="P12305" s="387"/>
      <c r="Q12305" s="387"/>
    </row>
    <row r="12306" spans="15:17" ht="20.100000000000001" customHeight="1">
      <c r="O12306" s="387"/>
      <c r="P12306" s="387"/>
      <c r="Q12306" s="387"/>
    </row>
    <row r="12307" spans="15:17" ht="20.100000000000001" customHeight="1">
      <c r="O12307" s="387"/>
      <c r="P12307" s="387"/>
      <c r="Q12307" s="387"/>
    </row>
    <row r="12308" spans="15:17" ht="20.100000000000001" customHeight="1">
      <c r="O12308" s="387"/>
      <c r="P12308" s="387"/>
      <c r="Q12308" s="387"/>
    </row>
    <row r="12309" spans="15:17" ht="20.100000000000001" customHeight="1">
      <c r="O12309" s="387"/>
      <c r="P12309" s="387"/>
      <c r="Q12309" s="387"/>
    </row>
    <row r="12310" spans="15:17" ht="20.100000000000001" customHeight="1">
      <c r="O12310" s="387"/>
      <c r="P12310" s="387"/>
      <c r="Q12310" s="387"/>
    </row>
    <row r="12311" spans="15:17" ht="20.100000000000001" customHeight="1">
      <c r="O12311" s="387"/>
      <c r="P12311" s="387"/>
      <c r="Q12311" s="387"/>
    </row>
    <row r="12312" spans="15:17" ht="20.100000000000001" customHeight="1">
      <c r="O12312" s="387"/>
      <c r="P12312" s="387"/>
      <c r="Q12312" s="387"/>
    </row>
    <row r="12313" spans="15:17" ht="20.100000000000001" customHeight="1">
      <c r="O12313" s="387"/>
      <c r="P12313" s="387"/>
      <c r="Q12313" s="387"/>
    </row>
    <row r="12314" spans="15:17" ht="20.100000000000001" customHeight="1">
      <c r="O12314" s="387"/>
      <c r="P12314" s="387"/>
      <c r="Q12314" s="387"/>
    </row>
    <row r="12315" spans="15:17" ht="20.100000000000001" customHeight="1">
      <c r="O12315" s="387"/>
      <c r="P12315" s="387"/>
      <c r="Q12315" s="387"/>
    </row>
    <row r="12316" spans="15:17" ht="20.100000000000001" customHeight="1">
      <c r="O12316" s="387"/>
      <c r="P12316" s="387"/>
      <c r="Q12316" s="387"/>
    </row>
    <row r="12317" spans="15:17" ht="20.100000000000001" customHeight="1">
      <c r="O12317" s="387"/>
      <c r="P12317" s="387"/>
      <c r="Q12317" s="387"/>
    </row>
    <row r="12318" spans="15:17" ht="20.100000000000001" customHeight="1">
      <c r="O12318" s="387"/>
      <c r="P12318" s="387"/>
      <c r="Q12318" s="387"/>
    </row>
    <row r="12319" spans="15:17" ht="20.100000000000001" customHeight="1">
      <c r="O12319" s="387"/>
      <c r="P12319" s="387"/>
      <c r="Q12319" s="387"/>
    </row>
    <row r="12320" spans="15:17" ht="20.100000000000001" customHeight="1">
      <c r="O12320" s="387"/>
      <c r="P12320" s="387"/>
      <c r="Q12320" s="387"/>
    </row>
    <row r="12321" spans="15:17" ht="20.100000000000001" customHeight="1">
      <c r="O12321" s="387"/>
      <c r="P12321" s="387"/>
      <c r="Q12321" s="387"/>
    </row>
    <row r="12322" spans="15:17" ht="20.100000000000001" customHeight="1">
      <c r="O12322" s="387"/>
      <c r="P12322" s="387"/>
      <c r="Q12322" s="387"/>
    </row>
    <row r="12323" spans="15:17" ht="20.100000000000001" customHeight="1">
      <c r="O12323" s="387"/>
      <c r="P12323" s="387"/>
      <c r="Q12323" s="387"/>
    </row>
    <row r="12324" spans="15:17" ht="20.100000000000001" customHeight="1">
      <c r="O12324" s="387"/>
      <c r="P12324" s="387"/>
      <c r="Q12324" s="387"/>
    </row>
    <row r="12325" spans="15:17" ht="20.100000000000001" customHeight="1">
      <c r="O12325" s="387"/>
      <c r="P12325" s="387"/>
      <c r="Q12325" s="387"/>
    </row>
    <row r="12326" spans="15:17" ht="20.100000000000001" customHeight="1">
      <c r="O12326" s="387"/>
      <c r="P12326" s="387"/>
      <c r="Q12326" s="387"/>
    </row>
    <row r="12327" spans="15:17" ht="20.100000000000001" customHeight="1">
      <c r="O12327" s="387"/>
      <c r="P12327" s="387"/>
      <c r="Q12327" s="387"/>
    </row>
    <row r="12328" spans="15:17" ht="20.100000000000001" customHeight="1">
      <c r="O12328" s="387"/>
      <c r="P12328" s="387"/>
      <c r="Q12328" s="387"/>
    </row>
    <row r="12329" spans="15:17" ht="20.100000000000001" customHeight="1">
      <c r="O12329" s="387"/>
      <c r="P12329" s="387"/>
      <c r="Q12329" s="387"/>
    </row>
    <row r="12330" spans="15:17" ht="20.100000000000001" customHeight="1">
      <c r="O12330" s="387"/>
      <c r="P12330" s="387"/>
      <c r="Q12330" s="387"/>
    </row>
    <row r="12331" spans="15:17" ht="20.100000000000001" customHeight="1">
      <c r="O12331" s="387"/>
      <c r="P12331" s="387"/>
      <c r="Q12331" s="387"/>
    </row>
    <row r="12332" spans="15:17" ht="20.100000000000001" customHeight="1">
      <c r="O12332" s="387"/>
      <c r="P12332" s="387"/>
      <c r="Q12332" s="387"/>
    </row>
    <row r="12333" spans="15:17" ht="20.100000000000001" customHeight="1">
      <c r="O12333" s="387"/>
      <c r="P12333" s="387"/>
      <c r="Q12333" s="387"/>
    </row>
    <row r="12334" spans="15:17" ht="20.100000000000001" customHeight="1">
      <c r="O12334" s="387"/>
      <c r="P12334" s="387"/>
      <c r="Q12334" s="387"/>
    </row>
    <row r="12335" spans="15:17" ht="20.100000000000001" customHeight="1">
      <c r="O12335" s="387"/>
      <c r="P12335" s="387"/>
      <c r="Q12335" s="387"/>
    </row>
    <row r="12336" spans="15:17" ht="20.100000000000001" customHeight="1">
      <c r="O12336" s="387"/>
      <c r="P12336" s="387"/>
      <c r="Q12336" s="387"/>
    </row>
    <row r="12337" spans="15:17" ht="20.100000000000001" customHeight="1">
      <c r="O12337" s="387"/>
      <c r="P12337" s="387"/>
      <c r="Q12337" s="387"/>
    </row>
    <row r="12338" spans="15:17" ht="20.100000000000001" customHeight="1">
      <c r="O12338" s="387"/>
      <c r="P12338" s="387"/>
      <c r="Q12338" s="387"/>
    </row>
    <row r="12339" spans="15:17" ht="20.100000000000001" customHeight="1">
      <c r="O12339" s="387"/>
      <c r="P12339" s="387"/>
      <c r="Q12339" s="387"/>
    </row>
    <row r="12340" spans="15:17" ht="20.100000000000001" customHeight="1">
      <c r="O12340" s="387"/>
      <c r="P12340" s="387"/>
      <c r="Q12340" s="387"/>
    </row>
    <row r="12341" spans="15:17" ht="20.100000000000001" customHeight="1">
      <c r="O12341" s="387"/>
      <c r="P12341" s="387"/>
      <c r="Q12341" s="387"/>
    </row>
    <row r="12342" spans="15:17" ht="20.100000000000001" customHeight="1">
      <c r="O12342" s="387"/>
      <c r="P12342" s="387"/>
      <c r="Q12342" s="387"/>
    </row>
    <row r="12343" spans="15:17" ht="20.100000000000001" customHeight="1">
      <c r="O12343" s="387"/>
      <c r="P12343" s="387"/>
      <c r="Q12343" s="387"/>
    </row>
    <row r="12344" spans="15:17" ht="20.100000000000001" customHeight="1">
      <c r="O12344" s="387"/>
      <c r="P12344" s="387"/>
      <c r="Q12344" s="387"/>
    </row>
    <row r="12345" spans="15:17" ht="20.100000000000001" customHeight="1">
      <c r="O12345" s="387"/>
      <c r="P12345" s="387"/>
      <c r="Q12345" s="387"/>
    </row>
    <row r="12346" spans="15:17" ht="20.100000000000001" customHeight="1">
      <c r="O12346" s="387"/>
      <c r="P12346" s="387"/>
      <c r="Q12346" s="387"/>
    </row>
    <row r="12347" spans="15:17" ht="20.100000000000001" customHeight="1">
      <c r="O12347" s="387"/>
      <c r="P12347" s="387"/>
      <c r="Q12347" s="387"/>
    </row>
    <row r="12348" spans="15:17" ht="20.100000000000001" customHeight="1">
      <c r="O12348" s="387"/>
      <c r="P12348" s="387"/>
      <c r="Q12348" s="387"/>
    </row>
    <row r="12349" spans="15:17" ht="20.100000000000001" customHeight="1">
      <c r="O12349" s="387"/>
      <c r="P12349" s="387"/>
      <c r="Q12349" s="387"/>
    </row>
    <row r="12350" spans="15:17" ht="20.100000000000001" customHeight="1">
      <c r="O12350" s="387"/>
      <c r="P12350" s="387"/>
      <c r="Q12350" s="387"/>
    </row>
    <row r="12351" spans="15:17" ht="20.100000000000001" customHeight="1">
      <c r="O12351" s="387"/>
      <c r="P12351" s="387"/>
      <c r="Q12351" s="387"/>
    </row>
    <row r="12352" spans="15:17" ht="20.100000000000001" customHeight="1">
      <c r="O12352" s="387"/>
      <c r="P12352" s="387"/>
      <c r="Q12352" s="387"/>
    </row>
    <row r="12353" spans="15:17" ht="20.100000000000001" customHeight="1">
      <c r="O12353" s="387"/>
      <c r="P12353" s="387"/>
      <c r="Q12353" s="387"/>
    </row>
    <row r="12354" spans="15:17" ht="20.100000000000001" customHeight="1">
      <c r="O12354" s="387"/>
      <c r="P12354" s="387"/>
      <c r="Q12354" s="387"/>
    </row>
    <row r="12355" spans="15:17" ht="20.100000000000001" customHeight="1">
      <c r="O12355" s="387"/>
      <c r="P12355" s="387"/>
      <c r="Q12355" s="387"/>
    </row>
    <row r="12356" spans="15:17" ht="20.100000000000001" customHeight="1">
      <c r="O12356" s="387"/>
      <c r="P12356" s="387"/>
      <c r="Q12356" s="387"/>
    </row>
    <row r="12357" spans="15:17" ht="20.100000000000001" customHeight="1">
      <c r="O12357" s="387"/>
      <c r="P12357" s="387"/>
      <c r="Q12357" s="387"/>
    </row>
    <row r="12358" spans="15:17" ht="20.100000000000001" customHeight="1">
      <c r="O12358" s="387"/>
      <c r="P12358" s="387"/>
      <c r="Q12358" s="387"/>
    </row>
    <row r="12359" spans="15:17" ht="20.100000000000001" customHeight="1">
      <c r="O12359" s="387"/>
      <c r="P12359" s="387"/>
      <c r="Q12359" s="387"/>
    </row>
    <row r="12360" spans="15:17" ht="20.100000000000001" customHeight="1">
      <c r="O12360" s="387"/>
      <c r="P12360" s="387"/>
      <c r="Q12360" s="387"/>
    </row>
    <row r="12361" spans="15:17" ht="20.100000000000001" customHeight="1">
      <c r="O12361" s="387"/>
      <c r="P12361" s="387"/>
      <c r="Q12361" s="387"/>
    </row>
    <row r="12362" spans="15:17" ht="20.100000000000001" customHeight="1">
      <c r="O12362" s="387"/>
      <c r="P12362" s="387"/>
      <c r="Q12362" s="387"/>
    </row>
    <row r="12363" spans="15:17" ht="20.100000000000001" customHeight="1">
      <c r="O12363" s="387"/>
      <c r="P12363" s="387"/>
      <c r="Q12363" s="387"/>
    </row>
    <row r="12364" spans="15:17" ht="20.100000000000001" customHeight="1">
      <c r="O12364" s="387"/>
      <c r="P12364" s="387"/>
      <c r="Q12364" s="387"/>
    </row>
    <row r="12365" spans="15:17" ht="20.100000000000001" customHeight="1">
      <c r="O12365" s="387"/>
      <c r="P12365" s="387"/>
      <c r="Q12365" s="387"/>
    </row>
    <row r="12366" spans="15:17" ht="20.100000000000001" customHeight="1">
      <c r="O12366" s="387"/>
      <c r="P12366" s="387"/>
      <c r="Q12366" s="387"/>
    </row>
    <row r="12367" spans="15:17" ht="20.100000000000001" customHeight="1">
      <c r="O12367" s="387"/>
      <c r="P12367" s="387"/>
      <c r="Q12367" s="387"/>
    </row>
    <row r="12368" spans="15:17" ht="20.100000000000001" customHeight="1">
      <c r="O12368" s="387"/>
      <c r="P12368" s="387"/>
      <c r="Q12368" s="387"/>
    </row>
    <row r="12369" spans="15:17" ht="20.100000000000001" customHeight="1">
      <c r="O12369" s="387"/>
      <c r="P12369" s="387"/>
      <c r="Q12369" s="387"/>
    </row>
    <row r="12370" spans="15:17" ht="20.100000000000001" customHeight="1">
      <c r="O12370" s="387"/>
      <c r="P12370" s="387"/>
      <c r="Q12370" s="387"/>
    </row>
    <row r="12371" spans="15:17" ht="20.100000000000001" customHeight="1">
      <c r="O12371" s="387"/>
      <c r="P12371" s="387"/>
      <c r="Q12371" s="387"/>
    </row>
    <row r="12372" spans="15:17" ht="20.100000000000001" customHeight="1">
      <c r="O12372" s="387"/>
      <c r="P12372" s="387"/>
      <c r="Q12372" s="387"/>
    </row>
    <row r="12373" spans="15:17" ht="20.100000000000001" customHeight="1">
      <c r="O12373" s="387"/>
      <c r="P12373" s="387"/>
      <c r="Q12373" s="387"/>
    </row>
    <row r="12374" spans="15:17" ht="20.100000000000001" customHeight="1">
      <c r="O12374" s="387"/>
      <c r="P12374" s="387"/>
      <c r="Q12374" s="387"/>
    </row>
    <row r="12375" spans="15:17" ht="20.100000000000001" customHeight="1">
      <c r="O12375" s="387"/>
      <c r="P12375" s="387"/>
      <c r="Q12375" s="387"/>
    </row>
    <row r="12376" spans="15:17" ht="20.100000000000001" customHeight="1">
      <c r="O12376" s="387"/>
      <c r="P12376" s="387"/>
      <c r="Q12376" s="387"/>
    </row>
    <row r="12377" spans="15:17" ht="20.100000000000001" customHeight="1">
      <c r="O12377" s="387"/>
      <c r="P12377" s="387"/>
      <c r="Q12377" s="387"/>
    </row>
    <row r="12378" spans="15:17" ht="20.100000000000001" customHeight="1">
      <c r="O12378" s="387"/>
      <c r="P12378" s="387"/>
      <c r="Q12378" s="387"/>
    </row>
    <row r="12379" spans="15:17" ht="20.100000000000001" customHeight="1">
      <c r="O12379" s="387"/>
      <c r="P12379" s="387"/>
      <c r="Q12379" s="387"/>
    </row>
    <row r="12380" spans="15:17" ht="20.100000000000001" customHeight="1">
      <c r="O12380" s="387"/>
      <c r="P12380" s="387"/>
      <c r="Q12380" s="387"/>
    </row>
    <row r="12381" spans="15:17" ht="20.100000000000001" customHeight="1">
      <c r="O12381" s="387"/>
      <c r="P12381" s="387"/>
      <c r="Q12381" s="387"/>
    </row>
    <row r="12382" spans="15:17" ht="20.100000000000001" customHeight="1">
      <c r="O12382" s="387"/>
      <c r="P12382" s="387"/>
      <c r="Q12382" s="387"/>
    </row>
    <row r="12383" spans="15:17" ht="20.100000000000001" customHeight="1">
      <c r="O12383" s="387"/>
      <c r="P12383" s="387"/>
      <c r="Q12383" s="387"/>
    </row>
    <row r="12384" spans="15:17" ht="20.100000000000001" customHeight="1">
      <c r="O12384" s="387"/>
      <c r="P12384" s="387"/>
      <c r="Q12384" s="387"/>
    </row>
    <row r="12385" spans="15:17" ht="20.100000000000001" customHeight="1">
      <c r="O12385" s="387"/>
      <c r="P12385" s="387"/>
      <c r="Q12385" s="387"/>
    </row>
    <row r="12386" spans="15:17" ht="20.100000000000001" customHeight="1">
      <c r="O12386" s="387"/>
      <c r="P12386" s="387"/>
      <c r="Q12386" s="387"/>
    </row>
    <row r="12387" spans="15:17" ht="20.100000000000001" customHeight="1">
      <c r="O12387" s="387"/>
      <c r="P12387" s="387"/>
      <c r="Q12387" s="387"/>
    </row>
    <row r="12388" spans="15:17" ht="20.100000000000001" customHeight="1">
      <c r="O12388" s="387"/>
      <c r="P12388" s="387"/>
      <c r="Q12388" s="387"/>
    </row>
    <row r="12389" spans="15:17" ht="20.100000000000001" customHeight="1">
      <c r="O12389" s="387"/>
      <c r="P12389" s="387"/>
      <c r="Q12389" s="387"/>
    </row>
    <row r="12390" spans="15:17" ht="20.100000000000001" customHeight="1">
      <c r="O12390" s="387"/>
      <c r="P12390" s="387"/>
      <c r="Q12390" s="387"/>
    </row>
    <row r="12391" spans="15:17" ht="20.100000000000001" customHeight="1">
      <c r="O12391" s="387"/>
      <c r="P12391" s="387"/>
      <c r="Q12391" s="387"/>
    </row>
    <row r="12392" spans="15:17" ht="20.100000000000001" customHeight="1">
      <c r="O12392" s="387"/>
      <c r="P12392" s="387"/>
      <c r="Q12392" s="387"/>
    </row>
    <row r="12393" spans="15:17" ht="20.100000000000001" customHeight="1">
      <c r="O12393" s="387"/>
      <c r="P12393" s="387"/>
      <c r="Q12393" s="387"/>
    </row>
    <row r="12394" spans="15:17" ht="20.100000000000001" customHeight="1">
      <c r="O12394" s="387"/>
      <c r="P12394" s="387"/>
      <c r="Q12394" s="387"/>
    </row>
    <row r="12395" spans="15:17" ht="20.100000000000001" customHeight="1">
      <c r="O12395" s="387"/>
      <c r="P12395" s="387"/>
      <c r="Q12395" s="387"/>
    </row>
    <row r="12396" spans="15:17" ht="20.100000000000001" customHeight="1">
      <c r="O12396" s="387"/>
      <c r="P12396" s="387"/>
      <c r="Q12396" s="387"/>
    </row>
    <row r="12397" spans="15:17" ht="20.100000000000001" customHeight="1">
      <c r="O12397" s="387"/>
      <c r="P12397" s="387"/>
      <c r="Q12397" s="387"/>
    </row>
    <row r="12398" spans="15:17" ht="20.100000000000001" customHeight="1">
      <c r="O12398" s="387"/>
      <c r="P12398" s="387"/>
      <c r="Q12398" s="387"/>
    </row>
    <row r="12399" spans="15:17" ht="20.100000000000001" customHeight="1">
      <c r="O12399" s="387"/>
      <c r="P12399" s="387"/>
      <c r="Q12399" s="387"/>
    </row>
    <row r="12400" spans="15:17" ht="20.100000000000001" customHeight="1">
      <c r="O12400" s="387"/>
      <c r="P12400" s="387"/>
      <c r="Q12400" s="387"/>
    </row>
    <row r="12401" spans="15:17" ht="20.100000000000001" customHeight="1">
      <c r="O12401" s="387"/>
      <c r="P12401" s="387"/>
      <c r="Q12401" s="387"/>
    </row>
    <row r="12402" spans="15:17" ht="20.100000000000001" customHeight="1">
      <c r="O12402" s="387"/>
      <c r="P12402" s="387"/>
      <c r="Q12402" s="387"/>
    </row>
    <row r="12403" spans="15:17" ht="20.100000000000001" customHeight="1">
      <c r="O12403" s="387"/>
      <c r="P12403" s="387"/>
      <c r="Q12403" s="387"/>
    </row>
    <row r="12404" spans="15:17" ht="20.100000000000001" customHeight="1">
      <c r="O12404" s="387"/>
      <c r="P12404" s="387"/>
      <c r="Q12404" s="387"/>
    </row>
    <row r="12405" spans="15:17" ht="20.100000000000001" customHeight="1">
      <c r="O12405" s="387"/>
      <c r="P12405" s="387"/>
      <c r="Q12405" s="387"/>
    </row>
    <row r="12406" spans="15:17" ht="20.100000000000001" customHeight="1">
      <c r="O12406" s="387"/>
      <c r="P12406" s="387"/>
      <c r="Q12406" s="387"/>
    </row>
    <row r="12407" spans="15:17" ht="20.100000000000001" customHeight="1">
      <c r="O12407" s="387"/>
      <c r="P12407" s="387"/>
      <c r="Q12407" s="387"/>
    </row>
    <row r="12408" spans="15:17" ht="20.100000000000001" customHeight="1">
      <c r="O12408" s="387"/>
      <c r="P12408" s="387"/>
      <c r="Q12408" s="387"/>
    </row>
    <row r="12409" spans="15:17" ht="20.100000000000001" customHeight="1">
      <c r="O12409" s="387"/>
      <c r="P12409" s="387"/>
      <c r="Q12409" s="387"/>
    </row>
    <row r="12410" spans="15:17" ht="20.100000000000001" customHeight="1">
      <c r="O12410" s="387"/>
      <c r="P12410" s="387"/>
      <c r="Q12410" s="387"/>
    </row>
    <row r="12411" spans="15:17" ht="20.100000000000001" customHeight="1">
      <c r="O12411" s="387"/>
      <c r="P12411" s="387"/>
      <c r="Q12411" s="387"/>
    </row>
    <row r="12412" spans="15:17" ht="20.100000000000001" customHeight="1">
      <c r="O12412" s="387"/>
      <c r="P12412" s="387"/>
      <c r="Q12412" s="387"/>
    </row>
    <row r="12413" spans="15:17" ht="20.100000000000001" customHeight="1">
      <c r="O12413" s="387"/>
      <c r="P12413" s="387"/>
      <c r="Q12413" s="387"/>
    </row>
    <row r="12414" spans="15:17" ht="20.100000000000001" customHeight="1">
      <c r="O12414" s="387"/>
      <c r="P12414" s="387"/>
      <c r="Q12414" s="387"/>
    </row>
    <row r="12415" spans="15:17" ht="20.100000000000001" customHeight="1">
      <c r="O12415" s="387"/>
      <c r="P12415" s="387"/>
      <c r="Q12415" s="387"/>
    </row>
    <row r="12416" spans="15:17" ht="20.100000000000001" customHeight="1">
      <c r="O12416" s="387"/>
      <c r="P12416" s="387"/>
      <c r="Q12416" s="387"/>
    </row>
    <row r="12417" spans="15:17" ht="20.100000000000001" customHeight="1">
      <c r="O12417" s="387"/>
      <c r="P12417" s="387"/>
      <c r="Q12417" s="387"/>
    </row>
    <row r="12418" spans="15:17" ht="20.100000000000001" customHeight="1">
      <c r="O12418" s="387"/>
      <c r="P12418" s="387"/>
      <c r="Q12418" s="387"/>
    </row>
    <row r="12419" spans="15:17" ht="20.100000000000001" customHeight="1">
      <c r="O12419" s="387"/>
      <c r="P12419" s="387"/>
      <c r="Q12419" s="387"/>
    </row>
    <row r="12420" spans="15:17" ht="20.100000000000001" customHeight="1">
      <c r="O12420" s="387"/>
      <c r="P12420" s="387"/>
      <c r="Q12420" s="387"/>
    </row>
    <row r="12421" spans="15:17" ht="20.100000000000001" customHeight="1">
      <c r="O12421" s="387"/>
      <c r="P12421" s="387"/>
      <c r="Q12421" s="387"/>
    </row>
    <row r="12422" spans="15:17" ht="20.100000000000001" customHeight="1">
      <c r="O12422" s="387"/>
      <c r="P12422" s="387"/>
      <c r="Q12422" s="387"/>
    </row>
    <row r="12423" spans="15:17" ht="20.100000000000001" customHeight="1">
      <c r="O12423" s="387"/>
      <c r="P12423" s="387"/>
      <c r="Q12423" s="387"/>
    </row>
    <row r="12424" spans="15:17" ht="20.100000000000001" customHeight="1">
      <c r="O12424" s="387"/>
      <c r="P12424" s="387"/>
      <c r="Q12424" s="387"/>
    </row>
    <row r="12425" spans="15:17" ht="20.100000000000001" customHeight="1">
      <c r="O12425" s="387"/>
      <c r="P12425" s="387"/>
      <c r="Q12425" s="387"/>
    </row>
    <row r="12426" spans="15:17" ht="20.100000000000001" customHeight="1">
      <c r="O12426" s="387"/>
      <c r="P12426" s="387"/>
      <c r="Q12426" s="387"/>
    </row>
    <row r="12427" spans="15:17" ht="20.100000000000001" customHeight="1">
      <c r="O12427" s="387"/>
      <c r="P12427" s="387"/>
      <c r="Q12427" s="387"/>
    </row>
    <row r="12428" spans="15:17" ht="20.100000000000001" customHeight="1">
      <c r="O12428" s="387"/>
      <c r="P12428" s="387"/>
      <c r="Q12428" s="387"/>
    </row>
    <row r="12429" spans="15:17" ht="20.100000000000001" customHeight="1">
      <c r="O12429" s="387"/>
      <c r="P12429" s="387"/>
      <c r="Q12429" s="387"/>
    </row>
    <row r="12430" spans="15:17" ht="20.100000000000001" customHeight="1">
      <c r="O12430" s="387"/>
      <c r="P12430" s="387"/>
      <c r="Q12430" s="387"/>
    </row>
    <row r="12431" spans="15:17" ht="20.100000000000001" customHeight="1">
      <c r="O12431" s="387"/>
      <c r="P12431" s="387"/>
      <c r="Q12431" s="387"/>
    </row>
    <row r="12432" spans="15:17" ht="20.100000000000001" customHeight="1">
      <c r="O12432" s="387"/>
      <c r="P12432" s="387"/>
      <c r="Q12432" s="387"/>
    </row>
    <row r="12433" spans="15:17" ht="20.100000000000001" customHeight="1">
      <c r="O12433" s="387"/>
      <c r="P12433" s="387"/>
      <c r="Q12433" s="387"/>
    </row>
    <row r="12434" spans="15:17" ht="20.100000000000001" customHeight="1">
      <c r="O12434" s="387"/>
      <c r="P12434" s="387"/>
      <c r="Q12434" s="387"/>
    </row>
    <row r="12435" spans="15:17" ht="20.100000000000001" customHeight="1">
      <c r="O12435" s="387"/>
      <c r="P12435" s="387"/>
      <c r="Q12435" s="387"/>
    </row>
    <row r="12436" spans="15:17" ht="20.100000000000001" customHeight="1">
      <c r="O12436" s="387"/>
      <c r="P12436" s="387"/>
      <c r="Q12436" s="387"/>
    </row>
    <row r="12437" spans="15:17" ht="20.100000000000001" customHeight="1">
      <c r="O12437" s="387"/>
      <c r="P12437" s="387"/>
      <c r="Q12437" s="387"/>
    </row>
    <row r="12438" spans="15:17" ht="20.100000000000001" customHeight="1">
      <c r="O12438" s="387"/>
      <c r="P12438" s="387"/>
      <c r="Q12438" s="387"/>
    </row>
    <row r="12439" spans="15:17" ht="20.100000000000001" customHeight="1">
      <c r="O12439" s="387"/>
      <c r="P12439" s="387"/>
      <c r="Q12439" s="387"/>
    </row>
    <row r="12440" spans="15:17" ht="20.100000000000001" customHeight="1">
      <c r="O12440" s="387"/>
      <c r="P12440" s="387"/>
      <c r="Q12440" s="387"/>
    </row>
    <row r="12441" spans="15:17" ht="20.100000000000001" customHeight="1">
      <c r="O12441" s="387"/>
      <c r="P12441" s="387"/>
      <c r="Q12441" s="387"/>
    </row>
    <row r="12442" spans="15:17" ht="20.100000000000001" customHeight="1">
      <c r="O12442" s="387"/>
      <c r="P12442" s="387"/>
      <c r="Q12442" s="387"/>
    </row>
    <row r="12443" spans="15:17" ht="20.100000000000001" customHeight="1">
      <c r="O12443" s="387"/>
      <c r="P12443" s="387"/>
      <c r="Q12443" s="387"/>
    </row>
    <row r="12444" spans="15:17" ht="20.100000000000001" customHeight="1">
      <c r="O12444" s="387"/>
      <c r="P12444" s="387"/>
      <c r="Q12444" s="387"/>
    </row>
    <row r="12445" spans="15:17" ht="20.100000000000001" customHeight="1">
      <c r="O12445" s="387"/>
      <c r="P12445" s="387"/>
      <c r="Q12445" s="387"/>
    </row>
    <row r="12446" spans="15:17" ht="20.100000000000001" customHeight="1">
      <c r="O12446" s="387"/>
      <c r="P12446" s="387"/>
      <c r="Q12446" s="387"/>
    </row>
    <row r="12447" spans="15:17" ht="20.100000000000001" customHeight="1">
      <c r="O12447" s="387"/>
      <c r="P12447" s="387"/>
      <c r="Q12447" s="387"/>
    </row>
    <row r="12448" spans="15:17" ht="20.100000000000001" customHeight="1">
      <c r="O12448" s="387"/>
      <c r="P12448" s="387"/>
      <c r="Q12448" s="387"/>
    </row>
    <row r="12449" spans="15:17" ht="20.100000000000001" customHeight="1">
      <c r="O12449" s="387"/>
      <c r="P12449" s="387"/>
      <c r="Q12449" s="387"/>
    </row>
    <row r="12450" spans="15:17" ht="20.100000000000001" customHeight="1">
      <c r="O12450" s="387"/>
      <c r="P12450" s="387"/>
      <c r="Q12450" s="387"/>
    </row>
    <row r="12451" spans="15:17" ht="20.100000000000001" customHeight="1">
      <c r="O12451" s="387"/>
      <c r="P12451" s="387"/>
      <c r="Q12451" s="387"/>
    </row>
    <row r="12452" spans="15:17" ht="20.100000000000001" customHeight="1">
      <c r="O12452" s="387"/>
      <c r="P12452" s="387"/>
      <c r="Q12452" s="387"/>
    </row>
    <row r="12453" spans="15:17" ht="20.100000000000001" customHeight="1">
      <c r="O12453" s="387"/>
      <c r="P12453" s="387"/>
      <c r="Q12453" s="387"/>
    </row>
    <row r="12454" spans="15:17" ht="20.100000000000001" customHeight="1">
      <c r="O12454" s="387"/>
      <c r="P12454" s="387"/>
      <c r="Q12454" s="387"/>
    </row>
    <row r="12455" spans="15:17" ht="20.100000000000001" customHeight="1">
      <c r="O12455" s="387"/>
      <c r="P12455" s="387"/>
      <c r="Q12455" s="387"/>
    </row>
    <row r="12456" spans="15:17" ht="20.100000000000001" customHeight="1">
      <c r="O12456" s="387"/>
      <c r="P12456" s="387"/>
      <c r="Q12456" s="387"/>
    </row>
    <row r="12457" spans="15:17" ht="20.100000000000001" customHeight="1">
      <c r="O12457" s="387"/>
      <c r="P12457" s="387"/>
      <c r="Q12457" s="387"/>
    </row>
    <row r="12458" spans="15:17" ht="20.100000000000001" customHeight="1">
      <c r="O12458" s="387"/>
      <c r="P12458" s="387"/>
      <c r="Q12458" s="387"/>
    </row>
    <row r="12459" spans="15:17" ht="20.100000000000001" customHeight="1">
      <c r="O12459" s="387"/>
      <c r="P12459" s="387"/>
      <c r="Q12459" s="387"/>
    </row>
    <row r="12460" spans="15:17" ht="20.100000000000001" customHeight="1">
      <c r="O12460" s="387"/>
      <c r="P12460" s="387"/>
      <c r="Q12460" s="387"/>
    </row>
    <row r="12461" spans="15:17" ht="20.100000000000001" customHeight="1">
      <c r="O12461" s="387"/>
      <c r="P12461" s="387"/>
      <c r="Q12461" s="387"/>
    </row>
    <row r="12462" spans="15:17" ht="20.100000000000001" customHeight="1">
      <c r="O12462" s="387"/>
      <c r="P12462" s="387"/>
      <c r="Q12462" s="387"/>
    </row>
    <row r="12463" spans="15:17" ht="20.100000000000001" customHeight="1">
      <c r="O12463" s="387"/>
      <c r="P12463" s="387"/>
      <c r="Q12463" s="387"/>
    </row>
    <row r="12464" spans="15:17" ht="20.100000000000001" customHeight="1">
      <c r="O12464" s="387"/>
      <c r="P12464" s="387"/>
      <c r="Q12464" s="387"/>
    </row>
    <row r="12465" spans="15:17" ht="20.100000000000001" customHeight="1">
      <c r="O12465" s="387"/>
      <c r="P12465" s="387"/>
      <c r="Q12465" s="387"/>
    </row>
    <row r="12466" spans="15:17" ht="20.100000000000001" customHeight="1">
      <c r="O12466" s="387"/>
      <c r="P12466" s="387"/>
      <c r="Q12466" s="387"/>
    </row>
    <row r="12467" spans="15:17" ht="20.100000000000001" customHeight="1">
      <c r="O12467" s="387"/>
      <c r="P12467" s="387"/>
      <c r="Q12467" s="387"/>
    </row>
    <row r="12468" spans="15:17" ht="20.100000000000001" customHeight="1">
      <c r="O12468" s="387"/>
      <c r="P12468" s="387"/>
      <c r="Q12468" s="387"/>
    </row>
    <row r="12469" spans="15:17" ht="20.100000000000001" customHeight="1">
      <c r="O12469" s="387"/>
      <c r="P12469" s="387"/>
      <c r="Q12469" s="387"/>
    </row>
    <row r="12470" spans="15:17" ht="20.100000000000001" customHeight="1">
      <c r="O12470" s="387"/>
      <c r="P12470" s="387"/>
      <c r="Q12470" s="387"/>
    </row>
    <row r="12471" spans="15:17" ht="20.100000000000001" customHeight="1">
      <c r="O12471" s="387"/>
      <c r="P12471" s="387"/>
      <c r="Q12471" s="387"/>
    </row>
    <row r="12472" spans="15:17" ht="20.100000000000001" customHeight="1">
      <c r="O12472" s="387"/>
      <c r="P12472" s="387"/>
      <c r="Q12472" s="387"/>
    </row>
    <row r="12473" spans="15:17" ht="20.100000000000001" customHeight="1">
      <c r="O12473" s="387"/>
      <c r="P12473" s="387"/>
      <c r="Q12473" s="387"/>
    </row>
    <row r="12474" spans="15:17" ht="20.100000000000001" customHeight="1">
      <c r="O12474" s="387"/>
      <c r="P12474" s="387"/>
      <c r="Q12474" s="387"/>
    </row>
    <row r="12475" spans="15:17" ht="20.100000000000001" customHeight="1">
      <c r="O12475" s="387"/>
      <c r="P12475" s="387"/>
      <c r="Q12475" s="387"/>
    </row>
    <row r="12476" spans="15:17" ht="20.100000000000001" customHeight="1">
      <c r="O12476" s="387"/>
      <c r="P12476" s="387"/>
      <c r="Q12476" s="387"/>
    </row>
    <row r="12477" spans="15:17" ht="20.100000000000001" customHeight="1">
      <c r="O12477" s="387"/>
      <c r="P12477" s="387"/>
      <c r="Q12477" s="387"/>
    </row>
    <row r="12478" spans="15:17" ht="20.100000000000001" customHeight="1">
      <c r="O12478" s="387"/>
      <c r="P12478" s="387"/>
      <c r="Q12478" s="387"/>
    </row>
    <row r="12479" spans="15:17" ht="20.100000000000001" customHeight="1">
      <c r="O12479" s="387"/>
      <c r="P12479" s="387"/>
      <c r="Q12479" s="387"/>
    </row>
    <row r="12480" spans="15:17" ht="20.100000000000001" customHeight="1">
      <c r="O12480" s="387"/>
      <c r="P12480" s="387"/>
      <c r="Q12480" s="387"/>
    </row>
    <row r="12481" spans="15:17" ht="20.100000000000001" customHeight="1">
      <c r="O12481" s="387"/>
      <c r="P12481" s="387"/>
      <c r="Q12481" s="387"/>
    </row>
    <row r="12482" spans="15:17" ht="20.100000000000001" customHeight="1">
      <c r="O12482" s="387"/>
      <c r="P12482" s="387"/>
      <c r="Q12482" s="387"/>
    </row>
    <row r="12483" spans="15:17" ht="20.100000000000001" customHeight="1">
      <c r="O12483" s="387"/>
      <c r="P12483" s="387"/>
      <c r="Q12483" s="387"/>
    </row>
    <row r="12484" spans="15:17" ht="20.100000000000001" customHeight="1">
      <c r="O12484" s="387"/>
      <c r="P12484" s="387"/>
      <c r="Q12484" s="387"/>
    </row>
    <row r="12485" spans="15:17" ht="20.100000000000001" customHeight="1">
      <c r="O12485" s="387"/>
      <c r="P12485" s="387"/>
      <c r="Q12485" s="387"/>
    </row>
    <row r="12486" spans="15:17" ht="20.100000000000001" customHeight="1">
      <c r="O12486" s="387"/>
      <c r="P12486" s="387"/>
      <c r="Q12486" s="387"/>
    </row>
    <row r="12487" spans="15:17" ht="20.100000000000001" customHeight="1">
      <c r="O12487" s="387"/>
      <c r="P12487" s="387"/>
      <c r="Q12487" s="387"/>
    </row>
    <row r="12488" spans="15:17" ht="20.100000000000001" customHeight="1">
      <c r="O12488" s="387"/>
      <c r="P12488" s="387"/>
      <c r="Q12488" s="387"/>
    </row>
    <row r="12489" spans="15:17" ht="20.100000000000001" customHeight="1">
      <c r="O12489" s="387"/>
      <c r="P12489" s="387"/>
      <c r="Q12489" s="387"/>
    </row>
    <row r="12490" spans="15:17" ht="20.100000000000001" customHeight="1">
      <c r="O12490" s="387"/>
      <c r="P12490" s="387"/>
      <c r="Q12490" s="387"/>
    </row>
    <row r="12491" spans="15:17" ht="20.100000000000001" customHeight="1">
      <c r="O12491" s="387"/>
      <c r="P12491" s="387"/>
      <c r="Q12491" s="387"/>
    </row>
    <row r="12492" spans="15:17" ht="20.100000000000001" customHeight="1">
      <c r="O12492" s="387"/>
      <c r="P12492" s="387"/>
      <c r="Q12492" s="387"/>
    </row>
    <row r="12493" spans="15:17" ht="20.100000000000001" customHeight="1">
      <c r="O12493" s="387"/>
      <c r="P12493" s="387"/>
      <c r="Q12493" s="387"/>
    </row>
    <row r="12494" spans="15:17" ht="20.100000000000001" customHeight="1">
      <c r="O12494" s="387"/>
      <c r="P12494" s="387"/>
      <c r="Q12494" s="387"/>
    </row>
    <row r="12495" spans="15:17" ht="20.100000000000001" customHeight="1">
      <c r="O12495" s="387"/>
      <c r="P12495" s="387"/>
      <c r="Q12495" s="387"/>
    </row>
    <row r="12496" spans="15:17" ht="20.100000000000001" customHeight="1">
      <c r="O12496" s="387"/>
      <c r="P12496" s="387"/>
      <c r="Q12496" s="387"/>
    </row>
    <row r="12497" spans="15:17" ht="20.100000000000001" customHeight="1">
      <c r="O12497" s="387"/>
      <c r="P12497" s="387"/>
      <c r="Q12497" s="387"/>
    </row>
    <row r="12498" spans="15:17" ht="20.100000000000001" customHeight="1">
      <c r="O12498" s="387"/>
      <c r="P12498" s="387"/>
      <c r="Q12498" s="387"/>
    </row>
    <row r="12499" spans="15:17" ht="20.100000000000001" customHeight="1">
      <c r="O12499" s="387"/>
      <c r="P12499" s="387"/>
      <c r="Q12499" s="387"/>
    </row>
    <row r="12500" spans="15:17" ht="20.100000000000001" customHeight="1">
      <c r="O12500" s="387"/>
      <c r="P12500" s="387"/>
      <c r="Q12500" s="387"/>
    </row>
    <row r="12501" spans="15:17" ht="20.100000000000001" customHeight="1">
      <c r="O12501" s="387"/>
      <c r="P12501" s="387"/>
      <c r="Q12501" s="387"/>
    </row>
    <row r="12502" spans="15:17" ht="20.100000000000001" customHeight="1">
      <c r="O12502" s="387"/>
      <c r="P12502" s="387"/>
      <c r="Q12502" s="387"/>
    </row>
    <row r="12503" spans="15:17" ht="20.100000000000001" customHeight="1">
      <c r="O12503" s="387"/>
      <c r="P12503" s="387"/>
      <c r="Q12503" s="387"/>
    </row>
    <row r="12504" spans="15:17" ht="20.100000000000001" customHeight="1">
      <c r="O12504" s="387"/>
      <c r="P12504" s="387"/>
      <c r="Q12504" s="387"/>
    </row>
    <row r="12505" spans="15:17" ht="20.100000000000001" customHeight="1">
      <c r="O12505" s="387"/>
      <c r="P12505" s="387"/>
      <c r="Q12505" s="387"/>
    </row>
    <row r="12506" spans="15:17" ht="20.100000000000001" customHeight="1">
      <c r="O12506" s="387"/>
      <c r="P12506" s="387"/>
      <c r="Q12506" s="387"/>
    </row>
    <row r="12507" spans="15:17" ht="20.100000000000001" customHeight="1">
      <c r="O12507" s="387"/>
      <c r="P12507" s="387"/>
      <c r="Q12507" s="387"/>
    </row>
    <row r="12508" spans="15:17" ht="20.100000000000001" customHeight="1">
      <c r="O12508" s="387"/>
      <c r="P12508" s="387"/>
      <c r="Q12508" s="387"/>
    </row>
    <row r="12509" spans="15:17" ht="20.100000000000001" customHeight="1">
      <c r="O12509" s="387"/>
      <c r="P12509" s="387"/>
      <c r="Q12509" s="387"/>
    </row>
    <row r="12510" spans="15:17" ht="20.100000000000001" customHeight="1">
      <c r="O12510" s="387"/>
      <c r="P12510" s="387"/>
      <c r="Q12510" s="387"/>
    </row>
    <row r="12511" spans="15:17" ht="20.100000000000001" customHeight="1">
      <c r="O12511" s="387"/>
      <c r="P12511" s="387"/>
      <c r="Q12511" s="387"/>
    </row>
    <row r="12512" spans="15:17" ht="20.100000000000001" customHeight="1">
      <c r="O12512" s="387"/>
      <c r="P12512" s="387"/>
      <c r="Q12512" s="387"/>
    </row>
    <row r="12513" spans="15:17" ht="20.100000000000001" customHeight="1">
      <c r="O12513" s="387"/>
      <c r="P12513" s="387"/>
      <c r="Q12513" s="387"/>
    </row>
    <row r="12514" spans="15:17" ht="20.100000000000001" customHeight="1">
      <c r="O12514" s="387"/>
      <c r="P12514" s="387"/>
      <c r="Q12514" s="387"/>
    </row>
    <row r="12515" spans="15:17" ht="20.100000000000001" customHeight="1">
      <c r="O12515" s="387"/>
      <c r="P12515" s="387"/>
      <c r="Q12515" s="387"/>
    </row>
    <row r="12516" spans="15:17" ht="20.100000000000001" customHeight="1">
      <c r="O12516" s="387"/>
      <c r="P12516" s="387"/>
      <c r="Q12516" s="387"/>
    </row>
    <row r="12517" spans="15:17" ht="20.100000000000001" customHeight="1">
      <c r="O12517" s="387"/>
      <c r="P12517" s="387"/>
      <c r="Q12517" s="387"/>
    </row>
    <row r="12518" spans="15:17" ht="20.100000000000001" customHeight="1">
      <c r="O12518" s="387"/>
      <c r="P12518" s="387"/>
      <c r="Q12518" s="387"/>
    </row>
    <row r="12519" spans="15:17" ht="20.100000000000001" customHeight="1">
      <c r="O12519" s="387"/>
      <c r="P12519" s="387"/>
      <c r="Q12519" s="387"/>
    </row>
    <row r="12520" spans="15:17" ht="20.100000000000001" customHeight="1">
      <c r="O12520" s="387"/>
      <c r="P12520" s="387"/>
      <c r="Q12520" s="387"/>
    </row>
    <row r="12521" spans="15:17" ht="20.100000000000001" customHeight="1">
      <c r="O12521" s="387"/>
      <c r="P12521" s="387"/>
      <c r="Q12521" s="387"/>
    </row>
    <row r="12522" spans="15:17" ht="20.100000000000001" customHeight="1">
      <c r="O12522" s="387"/>
      <c r="P12522" s="387"/>
      <c r="Q12522" s="387"/>
    </row>
    <row r="12523" spans="15:17" ht="20.100000000000001" customHeight="1">
      <c r="O12523" s="387"/>
      <c r="P12523" s="387"/>
      <c r="Q12523" s="387"/>
    </row>
    <row r="12524" spans="15:17" ht="20.100000000000001" customHeight="1">
      <c r="O12524" s="387"/>
      <c r="P12524" s="387"/>
      <c r="Q12524" s="387"/>
    </row>
    <row r="12525" spans="15:17" ht="20.100000000000001" customHeight="1">
      <c r="O12525" s="387"/>
      <c r="P12525" s="387"/>
      <c r="Q12525" s="387"/>
    </row>
    <row r="12526" spans="15:17" ht="20.100000000000001" customHeight="1">
      <c r="O12526" s="387"/>
      <c r="P12526" s="387"/>
      <c r="Q12526" s="387"/>
    </row>
    <row r="12527" spans="15:17" ht="20.100000000000001" customHeight="1">
      <c r="O12527" s="387"/>
      <c r="P12527" s="387"/>
      <c r="Q12527" s="387"/>
    </row>
    <row r="12528" spans="15:17" ht="20.100000000000001" customHeight="1">
      <c r="O12528" s="387"/>
      <c r="P12528" s="387"/>
      <c r="Q12528" s="387"/>
    </row>
    <row r="12529" spans="15:17" ht="20.100000000000001" customHeight="1">
      <c r="O12529" s="387"/>
      <c r="P12529" s="387"/>
      <c r="Q12529" s="387"/>
    </row>
    <row r="12530" spans="15:17" ht="20.100000000000001" customHeight="1">
      <c r="O12530" s="387"/>
      <c r="P12530" s="387"/>
      <c r="Q12530" s="387"/>
    </row>
    <row r="12531" spans="15:17" ht="20.100000000000001" customHeight="1">
      <c r="O12531" s="387"/>
      <c r="P12531" s="387"/>
      <c r="Q12531" s="387"/>
    </row>
    <row r="12532" spans="15:17" ht="20.100000000000001" customHeight="1">
      <c r="O12532" s="387"/>
      <c r="P12532" s="387"/>
      <c r="Q12532" s="387"/>
    </row>
    <row r="12533" spans="15:17" ht="20.100000000000001" customHeight="1">
      <c r="O12533" s="387"/>
      <c r="P12533" s="387"/>
      <c r="Q12533" s="387"/>
    </row>
    <row r="12534" spans="15:17" ht="20.100000000000001" customHeight="1">
      <c r="O12534" s="387"/>
      <c r="P12534" s="387"/>
      <c r="Q12534" s="387"/>
    </row>
    <row r="12535" spans="15:17" ht="20.100000000000001" customHeight="1">
      <c r="O12535" s="387"/>
      <c r="P12535" s="387"/>
      <c r="Q12535" s="387"/>
    </row>
    <row r="12536" spans="15:17" ht="20.100000000000001" customHeight="1">
      <c r="O12536" s="387"/>
      <c r="P12536" s="387"/>
      <c r="Q12536" s="387"/>
    </row>
    <row r="12537" spans="15:17" ht="20.100000000000001" customHeight="1">
      <c r="O12537" s="387"/>
      <c r="P12537" s="387"/>
      <c r="Q12537" s="387"/>
    </row>
    <row r="12538" spans="15:17" ht="20.100000000000001" customHeight="1">
      <c r="O12538" s="387"/>
      <c r="P12538" s="387"/>
      <c r="Q12538" s="387"/>
    </row>
    <row r="12539" spans="15:17" ht="20.100000000000001" customHeight="1">
      <c r="O12539" s="387"/>
      <c r="P12539" s="387"/>
      <c r="Q12539" s="387"/>
    </row>
    <row r="12540" spans="15:17" ht="20.100000000000001" customHeight="1">
      <c r="O12540" s="387"/>
      <c r="P12540" s="387"/>
      <c r="Q12540" s="387"/>
    </row>
    <row r="12541" spans="15:17" ht="20.100000000000001" customHeight="1">
      <c r="O12541" s="387"/>
      <c r="P12541" s="387"/>
      <c r="Q12541" s="387"/>
    </row>
    <row r="12542" spans="15:17" ht="20.100000000000001" customHeight="1">
      <c r="O12542" s="387"/>
      <c r="P12542" s="387"/>
      <c r="Q12542" s="387"/>
    </row>
    <row r="12543" spans="15:17" ht="20.100000000000001" customHeight="1">
      <c r="O12543" s="387"/>
      <c r="P12543" s="387"/>
      <c r="Q12543" s="387"/>
    </row>
    <row r="12544" spans="15:17" ht="20.100000000000001" customHeight="1">
      <c r="O12544" s="387"/>
      <c r="P12544" s="387"/>
      <c r="Q12544" s="387"/>
    </row>
    <row r="12545" spans="15:17" ht="20.100000000000001" customHeight="1">
      <c r="O12545" s="387"/>
      <c r="P12545" s="387"/>
      <c r="Q12545" s="387"/>
    </row>
    <row r="12546" spans="15:17" ht="20.100000000000001" customHeight="1">
      <c r="O12546" s="387"/>
      <c r="P12546" s="387"/>
      <c r="Q12546" s="387"/>
    </row>
    <row r="12547" spans="15:17" ht="20.100000000000001" customHeight="1">
      <c r="O12547" s="387"/>
      <c r="P12547" s="387"/>
      <c r="Q12547" s="387"/>
    </row>
    <row r="12548" spans="15:17" ht="20.100000000000001" customHeight="1">
      <c r="O12548" s="387"/>
      <c r="P12548" s="387"/>
      <c r="Q12548" s="387"/>
    </row>
    <row r="12549" spans="15:17" ht="20.100000000000001" customHeight="1">
      <c r="O12549" s="387"/>
      <c r="P12549" s="387"/>
      <c r="Q12549" s="387"/>
    </row>
    <row r="12550" spans="15:17" ht="20.100000000000001" customHeight="1">
      <c r="O12550" s="387"/>
      <c r="P12550" s="387"/>
      <c r="Q12550" s="387"/>
    </row>
    <row r="12551" spans="15:17" ht="20.100000000000001" customHeight="1">
      <c r="O12551" s="387"/>
      <c r="P12551" s="387"/>
      <c r="Q12551" s="387"/>
    </row>
    <row r="12552" spans="15:17" ht="20.100000000000001" customHeight="1">
      <c r="O12552" s="387"/>
      <c r="P12552" s="387"/>
      <c r="Q12552" s="387"/>
    </row>
    <row r="12553" spans="15:17" ht="20.100000000000001" customHeight="1">
      <c r="O12553" s="387"/>
      <c r="P12553" s="387"/>
      <c r="Q12553" s="387"/>
    </row>
    <row r="12554" spans="15:17" ht="20.100000000000001" customHeight="1">
      <c r="O12554" s="387"/>
      <c r="P12554" s="387"/>
      <c r="Q12554" s="387"/>
    </row>
    <row r="12555" spans="15:17" ht="20.100000000000001" customHeight="1">
      <c r="O12555" s="387"/>
      <c r="P12555" s="387"/>
      <c r="Q12555" s="387"/>
    </row>
    <row r="12556" spans="15:17" ht="20.100000000000001" customHeight="1">
      <c r="O12556" s="387"/>
      <c r="P12556" s="387"/>
      <c r="Q12556" s="387"/>
    </row>
    <row r="12557" spans="15:17" ht="20.100000000000001" customHeight="1">
      <c r="O12557" s="387"/>
      <c r="P12557" s="387"/>
      <c r="Q12557" s="387"/>
    </row>
    <row r="12558" spans="15:17" ht="20.100000000000001" customHeight="1">
      <c r="O12558" s="387"/>
      <c r="P12558" s="387"/>
      <c r="Q12558" s="387"/>
    </row>
    <row r="12559" spans="15:17" ht="20.100000000000001" customHeight="1">
      <c r="O12559" s="387"/>
      <c r="P12559" s="387"/>
      <c r="Q12559" s="387"/>
    </row>
    <row r="12560" spans="15:17" ht="20.100000000000001" customHeight="1">
      <c r="O12560" s="387"/>
      <c r="P12560" s="387"/>
      <c r="Q12560" s="387"/>
    </row>
    <row r="12561" spans="15:17" ht="20.100000000000001" customHeight="1">
      <c r="O12561" s="387"/>
      <c r="P12561" s="387"/>
      <c r="Q12561" s="387"/>
    </row>
    <row r="12562" spans="15:17" ht="20.100000000000001" customHeight="1">
      <c r="O12562" s="387"/>
      <c r="P12562" s="387"/>
      <c r="Q12562" s="387"/>
    </row>
    <row r="12563" spans="15:17" ht="20.100000000000001" customHeight="1">
      <c r="O12563" s="387"/>
      <c r="P12563" s="387"/>
      <c r="Q12563" s="387"/>
    </row>
    <row r="12564" spans="15:17" ht="20.100000000000001" customHeight="1">
      <c r="O12564" s="387"/>
      <c r="P12564" s="387"/>
      <c r="Q12564" s="387"/>
    </row>
    <row r="12565" spans="15:17" ht="20.100000000000001" customHeight="1">
      <c r="O12565" s="387"/>
      <c r="P12565" s="387"/>
      <c r="Q12565" s="387"/>
    </row>
    <row r="12566" spans="15:17" ht="20.100000000000001" customHeight="1">
      <c r="O12566" s="387"/>
      <c r="P12566" s="387"/>
      <c r="Q12566" s="387"/>
    </row>
    <row r="12567" spans="15:17" ht="20.100000000000001" customHeight="1">
      <c r="O12567" s="387"/>
      <c r="P12567" s="387"/>
      <c r="Q12567" s="387"/>
    </row>
    <row r="12568" spans="15:17" ht="20.100000000000001" customHeight="1">
      <c r="O12568" s="387"/>
      <c r="P12568" s="387"/>
      <c r="Q12568" s="387"/>
    </row>
    <row r="12569" spans="15:17" ht="20.100000000000001" customHeight="1">
      <c r="O12569" s="387"/>
      <c r="P12569" s="387"/>
      <c r="Q12569" s="387"/>
    </row>
    <row r="12570" spans="15:17" ht="20.100000000000001" customHeight="1">
      <c r="O12570" s="387"/>
      <c r="P12570" s="387"/>
      <c r="Q12570" s="387"/>
    </row>
    <row r="12571" spans="15:17" ht="20.100000000000001" customHeight="1">
      <c r="O12571" s="387"/>
      <c r="P12571" s="387"/>
      <c r="Q12571" s="387"/>
    </row>
    <row r="12572" spans="15:17" ht="20.100000000000001" customHeight="1">
      <c r="O12572" s="387"/>
      <c r="P12572" s="387"/>
      <c r="Q12572" s="387"/>
    </row>
    <row r="12573" spans="15:17" ht="20.100000000000001" customHeight="1">
      <c r="O12573" s="387"/>
      <c r="P12573" s="387"/>
      <c r="Q12573" s="387"/>
    </row>
    <row r="12574" spans="15:17" ht="20.100000000000001" customHeight="1">
      <c r="O12574" s="387"/>
      <c r="P12574" s="387"/>
      <c r="Q12574" s="387"/>
    </row>
    <row r="12575" spans="15:17" ht="20.100000000000001" customHeight="1">
      <c r="O12575" s="387"/>
      <c r="P12575" s="387"/>
      <c r="Q12575" s="387"/>
    </row>
    <row r="12576" spans="15:17" ht="20.100000000000001" customHeight="1">
      <c r="O12576" s="387"/>
      <c r="P12576" s="387"/>
      <c r="Q12576" s="387"/>
    </row>
    <row r="12577" spans="15:17" ht="20.100000000000001" customHeight="1">
      <c r="O12577" s="387"/>
      <c r="P12577" s="387"/>
      <c r="Q12577" s="387"/>
    </row>
    <row r="12578" spans="15:17" ht="20.100000000000001" customHeight="1">
      <c r="O12578" s="387"/>
      <c r="P12578" s="387"/>
      <c r="Q12578" s="387"/>
    </row>
    <row r="12579" spans="15:17" ht="20.100000000000001" customHeight="1">
      <c r="O12579" s="387"/>
      <c r="P12579" s="387"/>
      <c r="Q12579" s="387"/>
    </row>
    <row r="12580" spans="15:17" ht="20.100000000000001" customHeight="1">
      <c r="O12580" s="387"/>
      <c r="P12580" s="387"/>
      <c r="Q12580" s="387"/>
    </row>
    <row r="12581" spans="15:17" ht="20.100000000000001" customHeight="1">
      <c r="O12581" s="387"/>
      <c r="P12581" s="387"/>
      <c r="Q12581" s="387"/>
    </row>
    <row r="12582" spans="15:17" ht="20.100000000000001" customHeight="1">
      <c r="O12582" s="387"/>
      <c r="P12582" s="387"/>
      <c r="Q12582" s="387"/>
    </row>
    <row r="12583" spans="15:17" ht="20.100000000000001" customHeight="1">
      <c r="O12583" s="387"/>
      <c r="P12583" s="387"/>
      <c r="Q12583" s="387"/>
    </row>
    <row r="12584" spans="15:17" ht="20.100000000000001" customHeight="1">
      <c r="O12584" s="387"/>
      <c r="P12584" s="387"/>
      <c r="Q12584" s="387"/>
    </row>
    <row r="12585" spans="15:17" ht="20.100000000000001" customHeight="1">
      <c r="O12585" s="387"/>
      <c r="P12585" s="387"/>
      <c r="Q12585" s="387"/>
    </row>
    <row r="12586" spans="15:17" ht="20.100000000000001" customHeight="1">
      <c r="O12586" s="387"/>
      <c r="P12586" s="387"/>
      <c r="Q12586" s="387"/>
    </row>
    <row r="12587" spans="15:17" ht="20.100000000000001" customHeight="1">
      <c r="O12587" s="387"/>
      <c r="P12587" s="387"/>
      <c r="Q12587" s="387"/>
    </row>
    <row r="12588" spans="15:17" ht="20.100000000000001" customHeight="1">
      <c r="O12588" s="387"/>
      <c r="P12588" s="387"/>
      <c r="Q12588" s="387"/>
    </row>
    <row r="12589" spans="15:17" ht="20.100000000000001" customHeight="1">
      <c r="O12589" s="387"/>
      <c r="P12589" s="387"/>
      <c r="Q12589" s="387"/>
    </row>
    <row r="12590" spans="15:17" ht="20.100000000000001" customHeight="1">
      <c r="O12590" s="387"/>
      <c r="P12590" s="387"/>
      <c r="Q12590" s="387"/>
    </row>
    <row r="12591" spans="15:17" ht="20.100000000000001" customHeight="1">
      <c r="O12591" s="387"/>
      <c r="P12591" s="387"/>
      <c r="Q12591" s="387"/>
    </row>
    <row r="12592" spans="15:17" ht="20.100000000000001" customHeight="1">
      <c r="O12592" s="387"/>
      <c r="P12592" s="387"/>
      <c r="Q12592" s="387"/>
    </row>
    <row r="12593" spans="15:17" ht="20.100000000000001" customHeight="1">
      <c r="O12593" s="387"/>
      <c r="P12593" s="387"/>
      <c r="Q12593" s="387"/>
    </row>
    <row r="12594" spans="15:17" ht="20.100000000000001" customHeight="1">
      <c r="O12594" s="387"/>
      <c r="P12594" s="387"/>
      <c r="Q12594" s="387"/>
    </row>
    <row r="12595" spans="15:17" ht="20.100000000000001" customHeight="1">
      <c r="O12595" s="387"/>
      <c r="P12595" s="387"/>
      <c r="Q12595" s="387"/>
    </row>
    <row r="12596" spans="15:17" ht="20.100000000000001" customHeight="1">
      <c r="O12596" s="387"/>
      <c r="P12596" s="387"/>
      <c r="Q12596" s="387"/>
    </row>
    <row r="12597" spans="15:17" ht="20.100000000000001" customHeight="1">
      <c r="O12597" s="387"/>
      <c r="P12597" s="387"/>
      <c r="Q12597" s="387"/>
    </row>
    <row r="12598" spans="15:17" ht="20.100000000000001" customHeight="1">
      <c r="O12598" s="387"/>
      <c r="P12598" s="387"/>
      <c r="Q12598" s="387"/>
    </row>
    <row r="12599" spans="15:17" ht="20.100000000000001" customHeight="1">
      <c r="O12599" s="387"/>
      <c r="P12599" s="387"/>
      <c r="Q12599" s="387"/>
    </row>
    <row r="12600" spans="15:17" ht="20.100000000000001" customHeight="1">
      <c r="O12600" s="387"/>
      <c r="P12600" s="387"/>
      <c r="Q12600" s="387"/>
    </row>
    <row r="12601" spans="15:17" ht="20.100000000000001" customHeight="1">
      <c r="O12601" s="387"/>
      <c r="P12601" s="387"/>
      <c r="Q12601" s="387"/>
    </row>
    <row r="12602" spans="15:17" ht="20.100000000000001" customHeight="1">
      <c r="O12602" s="387"/>
      <c r="P12602" s="387"/>
      <c r="Q12602" s="387"/>
    </row>
    <row r="12603" spans="15:17" ht="20.100000000000001" customHeight="1">
      <c r="O12603" s="387"/>
      <c r="P12603" s="387"/>
      <c r="Q12603" s="387"/>
    </row>
    <row r="12604" spans="15:17" ht="20.100000000000001" customHeight="1">
      <c r="O12604" s="387"/>
      <c r="P12604" s="387"/>
      <c r="Q12604" s="387"/>
    </row>
    <row r="12605" spans="15:17" ht="20.100000000000001" customHeight="1">
      <c r="O12605" s="387"/>
      <c r="P12605" s="387"/>
      <c r="Q12605" s="387"/>
    </row>
    <row r="12606" spans="15:17" ht="20.100000000000001" customHeight="1">
      <c r="O12606" s="387"/>
      <c r="P12606" s="387"/>
      <c r="Q12606" s="387"/>
    </row>
    <row r="12607" spans="15:17" ht="20.100000000000001" customHeight="1">
      <c r="O12607" s="387"/>
      <c r="P12607" s="387"/>
      <c r="Q12607" s="387"/>
    </row>
    <row r="12608" spans="15:17" ht="20.100000000000001" customHeight="1">
      <c r="O12608" s="387"/>
      <c r="P12608" s="387"/>
      <c r="Q12608" s="387"/>
    </row>
    <row r="12609" spans="15:17" ht="20.100000000000001" customHeight="1">
      <c r="O12609" s="387"/>
      <c r="P12609" s="387"/>
      <c r="Q12609" s="387"/>
    </row>
    <row r="12610" spans="15:17" ht="20.100000000000001" customHeight="1">
      <c r="O12610" s="387"/>
      <c r="P12610" s="387"/>
      <c r="Q12610" s="387"/>
    </row>
    <row r="1048576" spans="1:17" ht="20.100000000000001" customHeight="1">
      <c r="A1048576" s="391"/>
      <c r="B1048576" s="376"/>
      <c r="D1048576" s="395"/>
      <c r="E1048576" s="376"/>
      <c r="K1048576" s="377"/>
      <c r="N1048576" s="380"/>
      <c r="Q1048576" s="377"/>
    </row>
  </sheetData>
  <mergeCells count="15">
    <mergeCell ref="R1:V1"/>
    <mergeCell ref="X1:AB1"/>
    <mergeCell ref="AD1:AH1"/>
    <mergeCell ref="L1:P1"/>
    <mergeCell ref="A26:C26"/>
    <mergeCell ref="A6:C6"/>
    <mergeCell ref="A11:C11"/>
    <mergeCell ref="A21:C21"/>
    <mergeCell ref="A1:E1"/>
    <mergeCell ref="A16:C16"/>
    <mergeCell ref="D26:E26"/>
    <mergeCell ref="D21:E21"/>
    <mergeCell ref="D16:E16"/>
    <mergeCell ref="D11:E11"/>
    <mergeCell ref="D6:E6"/>
  </mergeCells>
  <pageMargins left="0" right="0" top="0" bottom="0" header="0" footer="0"/>
  <pageSetup scale="59" orientation="portrait" verticalDpi="300" r:id="rId1"/>
  <rowBreaks count="53" manualBreakCount="53">
    <brk id="26" max="5" man="1"/>
    <brk id="637" max="5" man="1"/>
    <brk id="7605" max="5" man="1"/>
    <brk id="7625" max="5" man="1"/>
    <brk id="7654" max="5" man="1"/>
    <brk id="7675" max="5" man="1"/>
    <brk id="7699" max="5" man="1"/>
    <brk id="7722" max="5" man="1"/>
    <brk id="7735" max="5" man="1"/>
    <brk id="7749" max="5" man="1"/>
    <brk id="7763" max="5" man="1"/>
    <brk id="8044" max="5" man="1"/>
    <brk id="8067" max="5" man="1"/>
    <brk id="8099" max="5" man="1"/>
    <brk id="8113" min="1" max="11" man="1"/>
    <brk id="8130" min="1" max="11" man="1"/>
    <brk id="8148" min="1" max="11" man="1"/>
    <brk id="8166" min="1" max="11" man="1"/>
    <brk id="8196" min="1" max="11" man="1"/>
    <brk id="8215" min="1" max="11" man="1"/>
    <brk id="8233" min="1" max="11" man="1"/>
    <brk id="8254" min="1" max="11" man="1"/>
    <brk id="8282" min="1" max="11" man="1"/>
    <brk id="8315" min="1" max="11" man="1"/>
    <brk id="8344" min="1" max="11" man="1"/>
    <brk id="8362" min="1" max="11" man="1"/>
    <brk id="8378" min="1" max="11" man="1"/>
    <brk id="8393" min="1" max="11" man="1"/>
    <brk id="8407" min="1" max="11" man="1"/>
    <brk id="8422" min="1" max="11" man="1"/>
    <brk id="8436" min="1" max="11" man="1"/>
    <brk id="8458" min="1" max="11" man="1"/>
    <brk id="8474" min="1" max="11" man="1"/>
    <brk id="8495" min="1" max="11" man="1"/>
    <brk id="8515" min="1" max="11" man="1"/>
    <brk id="8530" min="1" max="11" man="1"/>
    <brk id="8557" min="1" max="11" man="1"/>
    <brk id="8589" min="1" max="11" man="1"/>
    <brk id="8622" min="1" max="11" man="1"/>
    <brk id="8640" min="1" max="11" man="1"/>
    <brk id="8664" min="1" max="11" man="1"/>
    <brk id="8696" min="1" max="11" man="1"/>
    <brk id="8734" min="1" max="11" man="1"/>
    <brk id="8770" min="1" max="11" man="1"/>
    <brk id="8793" min="1" max="11" man="1"/>
    <brk id="8822" min="1" max="11" man="1"/>
    <brk id="8858" min="1" max="11" man="1"/>
    <brk id="8882" min="1" max="11" man="1"/>
    <brk id="8896" min="1" max="11" man="1"/>
    <brk id="8928" min="1" max="11" man="1"/>
    <brk id="8960" min="1" max="11" man="1"/>
    <brk id="8992" min="1" max="11" man="1"/>
    <brk id="9021" min="1" max="12" man="1"/>
  </rowBreaks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19"/>
  <sheetViews>
    <sheetView view="pageBreakPreview" zoomScale="60" zoomScaleNormal="68" workbookViewId="0">
      <selection activeCell="H7" sqref="H7"/>
    </sheetView>
  </sheetViews>
  <sheetFormatPr defaultColWidth="2.7109375" defaultRowHeight="30" customHeight="1"/>
  <cols>
    <col min="1" max="1" width="5.7109375" style="137" customWidth="1"/>
    <col min="2" max="2" width="7.28515625" style="138" customWidth="1"/>
    <col min="3" max="3" width="4.85546875" style="138" customWidth="1"/>
    <col min="4" max="4" width="5.7109375" style="138" customWidth="1"/>
    <col min="5" max="5" width="4.5703125" style="138" customWidth="1"/>
    <col min="6" max="6" width="0.5703125" style="138" customWidth="1"/>
    <col min="7" max="7" width="6.28515625" style="25" customWidth="1"/>
    <col min="8" max="8" width="8.42578125" style="138" customWidth="1"/>
    <col min="9" max="9" width="4.42578125" style="138" customWidth="1"/>
    <col min="10" max="10" width="4.28515625" style="138" customWidth="1"/>
    <col min="11" max="11" width="7.42578125" style="139" customWidth="1"/>
    <col min="12" max="12" width="0.5703125" style="39" customWidth="1"/>
    <col min="13" max="16384" width="2.7109375" style="39"/>
  </cols>
  <sheetData>
    <row r="1" spans="1:13" s="133" customFormat="1" ht="46.5" customHeight="1">
      <c r="A1" s="707" t="s">
        <v>91</v>
      </c>
      <c r="B1" s="707"/>
      <c r="C1" s="707"/>
      <c r="D1" s="707"/>
      <c r="E1" s="707"/>
      <c r="F1" s="131"/>
      <c r="G1" s="707" t="s">
        <v>92</v>
      </c>
      <c r="H1" s="707"/>
      <c r="I1" s="707"/>
      <c r="J1" s="707"/>
      <c r="K1" s="707"/>
      <c r="L1" s="132"/>
    </row>
    <row r="2" spans="1:13" ht="44.25" customHeight="1">
      <c r="A2" s="125" t="s">
        <v>4</v>
      </c>
      <c r="B2" s="54" t="s">
        <v>3</v>
      </c>
      <c r="C2" s="54" t="s">
        <v>0</v>
      </c>
      <c r="D2" s="54" t="s">
        <v>1</v>
      </c>
      <c r="E2" s="104" t="s">
        <v>60</v>
      </c>
      <c r="F2" s="105"/>
      <c r="G2" s="128" t="s">
        <v>4</v>
      </c>
      <c r="H2" s="54" t="s">
        <v>3</v>
      </c>
      <c r="I2" s="54" t="s">
        <v>0</v>
      </c>
      <c r="J2" s="54" t="s">
        <v>1</v>
      </c>
      <c r="K2" s="54" t="s">
        <v>60</v>
      </c>
      <c r="L2" s="134"/>
    </row>
    <row r="3" spans="1:13" ht="44.25" customHeight="1">
      <c r="A3" s="124">
        <v>150</v>
      </c>
      <c r="B3" s="106" t="s">
        <v>125</v>
      </c>
      <c r="C3" s="55">
        <v>132</v>
      </c>
      <c r="D3" s="107">
        <v>0</v>
      </c>
      <c r="E3" s="108">
        <f>+C3-D3</f>
        <v>132</v>
      </c>
      <c r="F3" s="105"/>
      <c r="G3" s="129">
        <v>160</v>
      </c>
      <c r="H3" s="106" t="s">
        <v>125</v>
      </c>
      <c r="I3" s="55">
        <v>132</v>
      </c>
      <c r="J3" s="55">
        <v>0</v>
      </c>
      <c r="K3" s="56">
        <f>+I3-J3</f>
        <v>132</v>
      </c>
      <c r="L3" s="111"/>
    </row>
    <row r="4" spans="1:13" ht="44.25" customHeight="1">
      <c r="A4" s="124">
        <v>149</v>
      </c>
      <c r="B4" s="106" t="s">
        <v>125</v>
      </c>
      <c r="C4" s="55">
        <v>132</v>
      </c>
      <c r="D4" s="107">
        <v>0</v>
      </c>
      <c r="E4" s="108">
        <f t="shared" ref="E4:E16" si="0">+C4-D4</f>
        <v>132</v>
      </c>
      <c r="F4" s="105"/>
      <c r="G4" s="129">
        <v>159</v>
      </c>
      <c r="H4" s="106" t="s">
        <v>125</v>
      </c>
      <c r="I4" s="55">
        <v>132</v>
      </c>
      <c r="J4" s="55">
        <v>0</v>
      </c>
      <c r="K4" s="56">
        <f>+I4-J4</f>
        <v>132</v>
      </c>
      <c r="L4" s="111"/>
    </row>
    <row r="5" spans="1:13" ht="44.25" customHeight="1">
      <c r="A5" s="135" t="s">
        <v>83</v>
      </c>
      <c r="B5" s="28">
        <f>+D5*58</f>
        <v>0</v>
      </c>
      <c r="C5" s="57">
        <f>+SUM(C3:C4)</f>
        <v>264</v>
      </c>
      <c r="D5" s="57">
        <f>+SUM(D3:D4)</f>
        <v>0</v>
      </c>
      <c r="E5" s="57">
        <f>+SUM(E3:E4)</f>
        <v>264</v>
      </c>
      <c r="F5" s="109"/>
      <c r="G5" s="130" t="s">
        <v>83</v>
      </c>
      <c r="H5" s="28">
        <f>+J5*58</f>
        <v>0</v>
      </c>
      <c r="I5" s="57">
        <f>+SUM(I4)</f>
        <v>132</v>
      </c>
      <c r="J5" s="57">
        <f>+SUM(J4)</f>
        <v>0</v>
      </c>
      <c r="K5" s="57">
        <f>+SUM(K4)</f>
        <v>132</v>
      </c>
      <c r="L5" s="119"/>
    </row>
    <row r="6" spans="1:13" ht="44.25" customHeight="1">
      <c r="A6" s="708" t="s">
        <v>84</v>
      </c>
      <c r="B6" s="704"/>
      <c r="C6" s="705"/>
      <c r="D6" s="708">
        <f>+B5/6</f>
        <v>0</v>
      </c>
      <c r="E6" s="705"/>
      <c r="F6" s="109"/>
      <c r="G6" s="703" t="s">
        <v>84</v>
      </c>
      <c r="H6" s="704"/>
      <c r="I6" s="705"/>
      <c r="J6" s="708">
        <f>+H5/6</f>
        <v>0</v>
      </c>
      <c r="K6" s="705"/>
      <c r="L6" s="109"/>
      <c r="M6" s="110"/>
    </row>
    <row r="7" spans="1:13" ht="44.25" customHeight="1">
      <c r="A7" s="124">
        <v>148</v>
      </c>
      <c r="B7" s="106" t="s">
        <v>124</v>
      </c>
      <c r="C7" s="55">
        <v>132</v>
      </c>
      <c r="D7" s="107">
        <v>0</v>
      </c>
      <c r="E7" s="56">
        <f t="shared" si="0"/>
        <v>132</v>
      </c>
      <c r="F7" s="109"/>
      <c r="G7" s="124">
        <v>158</v>
      </c>
      <c r="H7" s="106" t="s">
        <v>131</v>
      </c>
      <c r="I7" s="55">
        <v>132</v>
      </c>
      <c r="J7" s="107">
        <v>0</v>
      </c>
      <c r="K7" s="56">
        <f>+I7-J7</f>
        <v>132</v>
      </c>
      <c r="L7" s="111"/>
    </row>
    <row r="8" spans="1:13" ht="44.25" customHeight="1">
      <c r="A8" s="124">
        <v>147</v>
      </c>
      <c r="B8" s="106" t="s">
        <v>124</v>
      </c>
      <c r="C8" s="55">
        <v>132</v>
      </c>
      <c r="D8" s="107">
        <v>0</v>
      </c>
      <c r="E8" s="56">
        <f t="shared" si="0"/>
        <v>132</v>
      </c>
      <c r="F8" s="109"/>
      <c r="G8" s="130" t="s">
        <v>83</v>
      </c>
      <c r="H8" s="28">
        <f>+J8*58</f>
        <v>0</v>
      </c>
      <c r="I8" s="57">
        <f>+SUM(I7)</f>
        <v>132</v>
      </c>
      <c r="J8" s="57">
        <f>+SUM(J7)</f>
        <v>0</v>
      </c>
      <c r="K8" s="57">
        <f>+SUM(K7)</f>
        <v>132</v>
      </c>
      <c r="L8" s="109"/>
      <c r="M8" s="110"/>
    </row>
    <row r="9" spans="1:13" ht="44.25" customHeight="1">
      <c r="A9" s="124">
        <v>146</v>
      </c>
      <c r="B9" s="106" t="s">
        <v>124</v>
      </c>
      <c r="C9" s="55">
        <v>132</v>
      </c>
      <c r="D9" s="107">
        <v>0</v>
      </c>
      <c r="E9" s="56">
        <f t="shared" si="0"/>
        <v>132</v>
      </c>
      <c r="F9" s="109"/>
      <c r="G9" s="703" t="s">
        <v>84</v>
      </c>
      <c r="H9" s="704"/>
      <c r="I9" s="705"/>
      <c r="J9" s="708">
        <f>+H8/6</f>
        <v>0</v>
      </c>
      <c r="K9" s="705"/>
      <c r="L9" s="109"/>
      <c r="M9" s="110"/>
    </row>
    <row r="10" spans="1:13" ht="44.25" customHeight="1">
      <c r="A10" s="126">
        <v>145</v>
      </c>
      <c r="B10" s="106" t="s">
        <v>124</v>
      </c>
      <c r="C10" s="55">
        <v>132</v>
      </c>
      <c r="D10" s="112">
        <v>0</v>
      </c>
      <c r="E10" s="56">
        <f t="shared" si="0"/>
        <v>132</v>
      </c>
      <c r="F10" s="109"/>
      <c r="G10" s="124">
        <v>157</v>
      </c>
      <c r="H10" s="106" t="s">
        <v>130</v>
      </c>
      <c r="I10" s="55">
        <v>132</v>
      </c>
      <c r="J10" s="107">
        <v>0</v>
      </c>
      <c r="K10" s="56">
        <f>+I10-J10</f>
        <v>132</v>
      </c>
      <c r="L10" s="111"/>
    </row>
    <row r="11" spans="1:13" ht="44.25" customHeight="1">
      <c r="A11" s="135" t="s">
        <v>83</v>
      </c>
      <c r="B11" s="28">
        <f>+D11*58</f>
        <v>0</v>
      </c>
      <c r="C11" s="57">
        <f>+SUM(C7:C10)</f>
        <v>528</v>
      </c>
      <c r="D11" s="57">
        <f>+SUM(D7:D10)</f>
        <v>0</v>
      </c>
      <c r="E11" s="57">
        <f>+SUM(E7:E10)</f>
        <v>528</v>
      </c>
      <c r="F11" s="109"/>
      <c r="G11" s="130" t="s">
        <v>83</v>
      </c>
      <c r="H11" s="28">
        <f>+J11*58</f>
        <v>0</v>
      </c>
      <c r="I11" s="57">
        <f>+SUM(I10)</f>
        <v>132</v>
      </c>
      <c r="J11" s="57">
        <f>+SUM(J10)</f>
        <v>0</v>
      </c>
      <c r="K11" s="57">
        <f>+SUM(K10)</f>
        <v>132</v>
      </c>
      <c r="L11" s="119"/>
    </row>
    <row r="12" spans="1:13" ht="44.25" customHeight="1">
      <c r="A12" s="708" t="s">
        <v>84</v>
      </c>
      <c r="B12" s="704"/>
      <c r="C12" s="705"/>
      <c r="D12" s="708">
        <f>+B11/6</f>
        <v>0</v>
      </c>
      <c r="E12" s="705"/>
      <c r="F12" s="109"/>
      <c r="G12" s="703" t="s">
        <v>84</v>
      </c>
      <c r="H12" s="704"/>
      <c r="I12" s="705"/>
      <c r="J12" s="708">
        <f>+H11/6</f>
        <v>0</v>
      </c>
      <c r="K12" s="705"/>
      <c r="L12" s="119"/>
    </row>
    <row r="13" spans="1:13" ht="44.25" customHeight="1">
      <c r="A13" s="124">
        <v>144</v>
      </c>
      <c r="B13" s="106" t="s">
        <v>131</v>
      </c>
      <c r="C13" s="55">
        <v>132</v>
      </c>
      <c r="D13" s="113">
        <v>82</v>
      </c>
      <c r="E13" s="56">
        <f t="shared" si="0"/>
        <v>50</v>
      </c>
      <c r="F13" s="105"/>
      <c r="G13" s="129">
        <v>156</v>
      </c>
      <c r="H13" s="106" t="s">
        <v>129</v>
      </c>
      <c r="I13" s="55">
        <v>132</v>
      </c>
      <c r="J13" s="107">
        <v>0</v>
      </c>
      <c r="K13" s="56">
        <f>+I13-J13</f>
        <v>132</v>
      </c>
      <c r="L13" s="111"/>
    </row>
    <row r="14" spans="1:13" ht="44.25" customHeight="1">
      <c r="A14" s="124">
        <v>143</v>
      </c>
      <c r="B14" s="106" t="s">
        <v>123</v>
      </c>
      <c r="C14" s="55">
        <v>132</v>
      </c>
      <c r="D14" s="113">
        <v>0</v>
      </c>
      <c r="E14" s="114">
        <f t="shared" si="0"/>
        <v>132</v>
      </c>
      <c r="F14" s="115"/>
      <c r="G14" s="130" t="s">
        <v>83</v>
      </c>
      <c r="H14" s="28">
        <f>+J14*58</f>
        <v>0</v>
      </c>
      <c r="I14" s="57">
        <f>+SUM(I13)</f>
        <v>132</v>
      </c>
      <c r="J14" s="57">
        <f>+SUM(J13)</f>
        <v>0</v>
      </c>
      <c r="K14" s="57">
        <f>+SUM(K13)</f>
        <v>132</v>
      </c>
      <c r="L14" s="119"/>
    </row>
    <row r="15" spans="1:13" ht="44.25" customHeight="1">
      <c r="A15" s="124">
        <v>142</v>
      </c>
      <c r="B15" s="106" t="s">
        <v>123</v>
      </c>
      <c r="C15" s="55">
        <v>132</v>
      </c>
      <c r="D15" s="116">
        <v>0</v>
      </c>
      <c r="E15" s="56">
        <f t="shared" si="0"/>
        <v>132</v>
      </c>
      <c r="F15" s="136"/>
      <c r="G15" s="703" t="s">
        <v>84</v>
      </c>
      <c r="H15" s="704"/>
      <c r="I15" s="705"/>
      <c r="J15" s="708">
        <f>+H14/6</f>
        <v>0</v>
      </c>
      <c r="K15" s="705"/>
      <c r="L15" s="109"/>
      <c r="M15" s="110"/>
    </row>
    <row r="16" spans="1:13" ht="44.25" customHeight="1">
      <c r="A16" s="141">
        <v>141</v>
      </c>
      <c r="B16" s="106" t="s">
        <v>123</v>
      </c>
      <c r="C16" s="116">
        <v>132</v>
      </c>
      <c r="D16" s="116">
        <v>0</v>
      </c>
      <c r="E16" s="114">
        <f t="shared" si="0"/>
        <v>132</v>
      </c>
      <c r="F16" s="117"/>
      <c r="G16" s="124">
        <v>155</v>
      </c>
      <c r="H16" s="106" t="s">
        <v>128</v>
      </c>
      <c r="I16" s="55">
        <v>132</v>
      </c>
      <c r="J16" s="113">
        <v>0</v>
      </c>
      <c r="K16" s="56">
        <f>+I16-J16</f>
        <v>132</v>
      </c>
      <c r="L16" s="111"/>
    </row>
    <row r="17" spans="1:13" ht="44.25" customHeight="1">
      <c r="A17" s="142" t="s">
        <v>83</v>
      </c>
      <c r="B17" s="28">
        <f>+D17*58</f>
        <v>4756</v>
      </c>
      <c r="C17" s="57">
        <f>+SUM(C13:C16)</f>
        <v>528</v>
      </c>
      <c r="D17" s="57">
        <f>+SUM(D13:D16)</f>
        <v>82</v>
      </c>
      <c r="E17" s="57">
        <f>+SUM(E13:E16)</f>
        <v>446</v>
      </c>
      <c r="F17" s="143"/>
      <c r="G17" s="135" t="s">
        <v>83</v>
      </c>
      <c r="H17" s="28">
        <f>+J17*58</f>
        <v>0</v>
      </c>
      <c r="I17" s="57">
        <f>+SUM(I16)</f>
        <v>132</v>
      </c>
      <c r="J17" s="57">
        <f>+SUM(J16)</f>
        <v>0</v>
      </c>
      <c r="K17" s="57">
        <f>+SUM(K16)</f>
        <v>132</v>
      </c>
      <c r="L17" s="119"/>
    </row>
    <row r="18" spans="1:13" ht="44.25" customHeight="1">
      <c r="A18" s="709" t="s">
        <v>84</v>
      </c>
      <c r="B18" s="709"/>
      <c r="C18" s="709"/>
      <c r="D18" s="709">
        <f>+B17/6</f>
        <v>792.66666666666663</v>
      </c>
      <c r="E18" s="709"/>
      <c r="F18" s="143"/>
      <c r="G18" s="708" t="s">
        <v>84</v>
      </c>
      <c r="H18" s="704"/>
      <c r="I18" s="705"/>
      <c r="J18" s="708">
        <f>+H17/6</f>
        <v>0</v>
      </c>
      <c r="K18" s="705"/>
      <c r="L18" s="119"/>
    </row>
    <row r="19" spans="1:13" ht="44.25" customHeight="1">
      <c r="A19" s="127"/>
      <c r="B19" s="706"/>
      <c r="C19" s="706"/>
      <c r="D19" s="118"/>
      <c r="E19" s="118"/>
      <c r="F19" s="144"/>
      <c r="G19" s="124">
        <v>154</v>
      </c>
      <c r="H19" s="106" t="s">
        <v>127</v>
      </c>
      <c r="I19" s="55">
        <v>132</v>
      </c>
      <c r="J19" s="113">
        <v>0</v>
      </c>
      <c r="K19" s="56">
        <f>+I19-J19</f>
        <v>132</v>
      </c>
      <c r="L19" s="111"/>
    </row>
    <row r="20" spans="1:13" ht="44.25" customHeight="1">
      <c r="A20" s="25"/>
      <c r="G20" s="124">
        <v>153</v>
      </c>
      <c r="H20" s="106" t="s">
        <v>127</v>
      </c>
      <c r="I20" s="55">
        <v>132</v>
      </c>
      <c r="J20" s="113">
        <v>0</v>
      </c>
      <c r="K20" s="56">
        <f>+I20-J20</f>
        <v>132</v>
      </c>
      <c r="L20" s="111"/>
    </row>
    <row r="21" spans="1:13" ht="44.25" customHeight="1">
      <c r="A21" s="25"/>
      <c r="G21" s="135" t="s">
        <v>83</v>
      </c>
      <c r="H21" s="28">
        <f>+J21*58</f>
        <v>0</v>
      </c>
      <c r="I21" s="57">
        <f>+SUM(I19:I20)</f>
        <v>264</v>
      </c>
      <c r="J21" s="57">
        <f>+SUM(J19:J20)</f>
        <v>0</v>
      </c>
      <c r="K21" s="57">
        <f>+SUM(K19:K20)</f>
        <v>264</v>
      </c>
      <c r="L21" s="119"/>
    </row>
    <row r="22" spans="1:13" ht="44.25" customHeight="1">
      <c r="A22" s="25"/>
      <c r="G22" s="708" t="s">
        <v>84</v>
      </c>
      <c r="H22" s="704"/>
      <c r="I22" s="705"/>
      <c r="J22" s="708">
        <f>+H21/6</f>
        <v>0</v>
      </c>
      <c r="K22" s="705"/>
      <c r="L22" s="119"/>
    </row>
    <row r="23" spans="1:13" ht="44.25" customHeight="1">
      <c r="A23" s="25"/>
      <c r="G23" s="124">
        <v>152</v>
      </c>
      <c r="H23" s="106" t="s">
        <v>126</v>
      </c>
      <c r="I23" s="55">
        <v>132</v>
      </c>
      <c r="J23" s="55">
        <v>0</v>
      </c>
      <c r="K23" s="56">
        <f>+I23-J23</f>
        <v>132</v>
      </c>
      <c r="L23" s="111"/>
    </row>
    <row r="24" spans="1:13" ht="44.25" customHeight="1">
      <c r="A24" s="25"/>
      <c r="G24" s="124">
        <v>151</v>
      </c>
      <c r="H24" s="106" t="s">
        <v>126</v>
      </c>
      <c r="I24" s="55">
        <v>132</v>
      </c>
      <c r="J24" s="55">
        <v>0</v>
      </c>
      <c r="K24" s="56">
        <f>+I24-J24</f>
        <v>132</v>
      </c>
      <c r="L24" s="111"/>
    </row>
    <row r="25" spans="1:13" ht="44.25" customHeight="1">
      <c r="A25" s="25"/>
      <c r="G25" s="135" t="s">
        <v>83</v>
      </c>
      <c r="H25" s="28">
        <f>+J25*58</f>
        <v>0</v>
      </c>
      <c r="I25" s="57">
        <f>+SUM(I23:I24)</f>
        <v>264</v>
      </c>
      <c r="J25" s="57">
        <f>+SUM(J23:J24)</f>
        <v>0</v>
      </c>
      <c r="K25" s="57">
        <f>+SUM(K23:K24)</f>
        <v>264</v>
      </c>
      <c r="L25" s="109"/>
      <c r="M25" s="110"/>
    </row>
    <row r="26" spans="1:13" ht="44.25" customHeight="1">
      <c r="A26" s="25"/>
      <c r="G26" s="708" t="s">
        <v>84</v>
      </c>
      <c r="H26" s="704"/>
      <c r="I26" s="705"/>
      <c r="J26" s="708">
        <f>+H25/6</f>
        <v>0</v>
      </c>
      <c r="K26" s="705"/>
      <c r="L26" s="109"/>
      <c r="M26" s="110"/>
    </row>
    <row r="27" spans="1:13" ht="30" customHeight="1">
      <c r="K27" s="140"/>
    </row>
    <row r="28" spans="1:13" ht="30" customHeight="1">
      <c r="K28" s="138"/>
    </row>
    <row r="29" spans="1:13" ht="30" customHeight="1">
      <c r="K29" s="138"/>
    </row>
    <row r="30" spans="1:13" ht="30" customHeight="1">
      <c r="B30" s="26"/>
      <c r="K30" s="138"/>
    </row>
    <row r="31" spans="1:13" ht="30" customHeight="1">
      <c r="K31" s="138"/>
    </row>
    <row r="32" spans="1:13" ht="30" customHeight="1">
      <c r="K32" s="138"/>
    </row>
    <row r="33" spans="11:11" ht="30" customHeight="1">
      <c r="K33" s="138"/>
    </row>
    <row r="34" spans="11:11" ht="30" customHeight="1">
      <c r="K34" s="138"/>
    </row>
    <row r="35" spans="11:11" ht="30" customHeight="1">
      <c r="K35" s="138"/>
    </row>
    <row r="36" spans="11:11" ht="30" customHeight="1">
      <c r="K36" s="138"/>
    </row>
    <row r="37" spans="11:11" ht="30" customHeight="1">
      <c r="K37" s="138"/>
    </row>
    <row r="38" spans="11:11" ht="30" customHeight="1">
      <c r="K38" s="138"/>
    </row>
    <row r="39" spans="11:11" ht="30" customHeight="1">
      <c r="K39" s="138"/>
    </row>
    <row r="40" spans="11:11" ht="30" customHeight="1">
      <c r="K40" s="138"/>
    </row>
    <row r="41" spans="11:11" ht="30" customHeight="1">
      <c r="K41" s="138"/>
    </row>
    <row r="42" spans="11:11" ht="30" customHeight="1">
      <c r="K42" s="138"/>
    </row>
    <row r="43" spans="11:11" ht="30" customHeight="1">
      <c r="K43" s="138"/>
    </row>
    <row r="44" spans="11:11" ht="30" customHeight="1">
      <c r="K44" s="138"/>
    </row>
    <row r="45" spans="11:11" ht="30" customHeight="1">
      <c r="K45" s="138"/>
    </row>
    <row r="46" spans="11:11" ht="30" customHeight="1">
      <c r="K46" s="138"/>
    </row>
    <row r="47" spans="11:11" ht="30" customHeight="1">
      <c r="K47" s="138"/>
    </row>
    <row r="48" spans="11:11" ht="30" customHeight="1">
      <c r="K48" s="138"/>
    </row>
    <row r="49" spans="11:11" ht="30" customHeight="1">
      <c r="K49" s="138"/>
    </row>
    <row r="50" spans="11:11" ht="30" customHeight="1">
      <c r="K50" s="138"/>
    </row>
    <row r="51" spans="11:11" ht="30" customHeight="1">
      <c r="K51" s="138"/>
    </row>
    <row r="52" spans="11:11" ht="30" customHeight="1">
      <c r="K52" s="138"/>
    </row>
    <row r="53" spans="11:11" ht="30" customHeight="1">
      <c r="K53" s="138"/>
    </row>
    <row r="54" spans="11:11" ht="30" customHeight="1">
      <c r="K54" s="138"/>
    </row>
    <row r="55" spans="11:11" ht="30" customHeight="1">
      <c r="K55" s="138"/>
    </row>
    <row r="56" spans="11:11" ht="30" customHeight="1">
      <c r="K56" s="138"/>
    </row>
    <row r="57" spans="11:11" ht="30" customHeight="1">
      <c r="K57" s="138"/>
    </row>
    <row r="58" spans="11:11" ht="30" customHeight="1">
      <c r="K58" s="138"/>
    </row>
    <row r="59" spans="11:11" ht="30" customHeight="1">
      <c r="K59" s="138"/>
    </row>
    <row r="60" spans="11:11" ht="30" customHeight="1">
      <c r="K60" s="39"/>
    </row>
    <row r="61" spans="11:11" ht="30" customHeight="1">
      <c r="K61" s="39"/>
    </row>
    <row r="62" spans="11:11" ht="30" customHeight="1">
      <c r="K62" s="39"/>
    </row>
    <row r="63" spans="11:11" ht="30" customHeight="1">
      <c r="K63" s="39"/>
    </row>
    <row r="64" spans="11:11" ht="30" customHeight="1">
      <c r="K64" s="39"/>
    </row>
    <row r="65" spans="11:11" ht="30" customHeight="1">
      <c r="K65" s="138"/>
    </row>
    <row r="66" spans="11:11" ht="30" customHeight="1">
      <c r="K66" s="138"/>
    </row>
    <row r="67" spans="11:11" ht="30" customHeight="1">
      <c r="K67" s="138"/>
    </row>
    <row r="68" spans="11:11" ht="30" customHeight="1">
      <c r="K68" s="138"/>
    </row>
    <row r="69" spans="11:11" ht="30" customHeight="1">
      <c r="K69" s="39"/>
    </row>
    <row r="70" spans="11:11" ht="30" customHeight="1">
      <c r="K70" s="39"/>
    </row>
    <row r="71" spans="11:11" ht="30" customHeight="1">
      <c r="K71" s="39"/>
    </row>
    <row r="72" spans="11:11" ht="30" customHeight="1">
      <c r="K72" s="39"/>
    </row>
    <row r="73" spans="11:11" ht="30" customHeight="1">
      <c r="K73" s="39"/>
    </row>
    <row r="74" spans="11:11" ht="30" customHeight="1">
      <c r="K74" s="39"/>
    </row>
    <row r="75" spans="11:11" ht="30" customHeight="1">
      <c r="K75" s="39"/>
    </row>
    <row r="76" spans="11:11" ht="30" customHeight="1">
      <c r="K76" s="39"/>
    </row>
    <row r="77" spans="11:11" ht="30" customHeight="1">
      <c r="K77" s="39"/>
    </row>
    <row r="78" spans="11:11" ht="30" customHeight="1">
      <c r="K78" s="39"/>
    </row>
    <row r="79" spans="11:11" ht="30" customHeight="1">
      <c r="K79" s="39"/>
    </row>
    <row r="80" spans="11:11" ht="30" customHeight="1">
      <c r="K80" s="39"/>
    </row>
    <row r="81" spans="11:11" ht="30" customHeight="1">
      <c r="K81" s="39"/>
    </row>
    <row r="82" spans="11:11" ht="30" customHeight="1">
      <c r="K82" s="39"/>
    </row>
    <row r="83" spans="11:11" ht="30" customHeight="1">
      <c r="K83" s="39"/>
    </row>
    <row r="84" spans="11:11" ht="30" customHeight="1">
      <c r="K84" s="39"/>
    </row>
    <row r="85" spans="11:11" ht="30" customHeight="1">
      <c r="K85" s="39"/>
    </row>
    <row r="86" spans="11:11" ht="30" customHeight="1">
      <c r="K86" s="39"/>
    </row>
    <row r="87" spans="11:11" ht="30" customHeight="1">
      <c r="K87" s="39"/>
    </row>
    <row r="88" spans="11:11" ht="30" customHeight="1">
      <c r="K88" s="39"/>
    </row>
    <row r="89" spans="11:11" ht="30" customHeight="1">
      <c r="K89" s="39"/>
    </row>
    <row r="90" spans="11:11" ht="30" customHeight="1">
      <c r="K90" s="39"/>
    </row>
    <row r="91" spans="11:11" ht="30" customHeight="1">
      <c r="K91" s="39"/>
    </row>
    <row r="92" spans="11:11" ht="30" customHeight="1">
      <c r="K92" s="39"/>
    </row>
    <row r="93" spans="11:11" ht="30" customHeight="1">
      <c r="K93" s="39"/>
    </row>
    <row r="94" spans="11:11" ht="30" customHeight="1">
      <c r="K94" s="39"/>
    </row>
    <row r="95" spans="11:11" ht="30" customHeight="1">
      <c r="K95" s="39"/>
    </row>
    <row r="96" spans="11:11" ht="30" customHeight="1">
      <c r="K96" s="39"/>
    </row>
    <row r="97" spans="11:11" ht="30" customHeight="1">
      <c r="K97" s="39"/>
    </row>
    <row r="98" spans="11:11" ht="30" customHeight="1">
      <c r="K98" s="39"/>
    </row>
    <row r="99" spans="11:11" ht="30" customHeight="1">
      <c r="K99" s="39"/>
    </row>
    <row r="100" spans="11:11" ht="30" customHeight="1">
      <c r="K100" s="39"/>
    </row>
    <row r="101" spans="11:11" ht="30" customHeight="1">
      <c r="K101" s="39"/>
    </row>
    <row r="102" spans="11:11" ht="30" customHeight="1">
      <c r="K102" s="39"/>
    </row>
    <row r="103" spans="11:11" ht="30" customHeight="1">
      <c r="K103" s="39"/>
    </row>
    <row r="104" spans="11:11" ht="30" customHeight="1">
      <c r="K104" s="39"/>
    </row>
    <row r="105" spans="11:11" ht="30" customHeight="1">
      <c r="K105" s="39"/>
    </row>
    <row r="106" spans="11:11" ht="30" customHeight="1">
      <c r="K106" s="39"/>
    </row>
    <row r="107" spans="11:11" ht="30" customHeight="1">
      <c r="K107" s="39"/>
    </row>
    <row r="108" spans="11:11" ht="30" customHeight="1">
      <c r="K108" s="39"/>
    </row>
    <row r="109" spans="11:11" ht="30" customHeight="1">
      <c r="K109" s="39"/>
    </row>
    <row r="110" spans="11:11" ht="30" customHeight="1">
      <c r="K110" s="39"/>
    </row>
    <row r="111" spans="11:11" ht="30" customHeight="1">
      <c r="K111" s="39"/>
    </row>
    <row r="112" spans="11:11" ht="30" customHeight="1">
      <c r="K112" s="39"/>
    </row>
    <row r="113" spans="11:11" ht="30" customHeight="1">
      <c r="K113" s="39"/>
    </row>
    <row r="114" spans="11:11" ht="30" customHeight="1">
      <c r="K114" s="39"/>
    </row>
    <row r="115" spans="11:11" ht="30" customHeight="1">
      <c r="K115" s="39"/>
    </row>
    <row r="116" spans="11:11" ht="30" customHeight="1">
      <c r="K116" s="39"/>
    </row>
    <row r="117" spans="11:11" ht="30" customHeight="1">
      <c r="K117" s="39"/>
    </row>
    <row r="118" spans="11:11" ht="30" customHeight="1">
      <c r="K118" s="39"/>
    </row>
    <row r="119" spans="11:11" ht="30" customHeight="1">
      <c r="K119" s="39"/>
    </row>
    <row r="120" spans="11:11" ht="30" customHeight="1">
      <c r="K120" s="39"/>
    </row>
    <row r="121" spans="11:11" ht="30" customHeight="1">
      <c r="K121" s="39"/>
    </row>
    <row r="122" spans="11:11" ht="30" customHeight="1">
      <c r="K122" s="39"/>
    </row>
    <row r="123" spans="11:11" ht="30" customHeight="1">
      <c r="K123" s="39"/>
    </row>
    <row r="124" spans="11:11" ht="30" customHeight="1">
      <c r="K124" s="39"/>
    </row>
    <row r="125" spans="11:11" ht="30" customHeight="1">
      <c r="K125" s="39"/>
    </row>
    <row r="126" spans="11:11" ht="30" customHeight="1">
      <c r="K126" s="39"/>
    </row>
    <row r="127" spans="11:11" ht="30" customHeight="1">
      <c r="K127" s="39"/>
    </row>
    <row r="128" spans="11:11" ht="30" customHeight="1">
      <c r="K128" s="39"/>
    </row>
    <row r="129" spans="11:11" ht="30" customHeight="1">
      <c r="K129" s="39"/>
    </row>
    <row r="130" spans="11:11" ht="30" customHeight="1">
      <c r="K130" s="39"/>
    </row>
    <row r="131" spans="11:11" ht="30" customHeight="1">
      <c r="K131" s="39"/>
    </row>
    <row r="132" spans="11:11" ht="30" customHeight="1">
      <c r="K132" s="39"/>
    </row>
    <row r="133" spans="11:11" ht="30" customHeight="1">
      <c r="K133" s="39"/>
    </row>
    <row r="134" spans="11:11" ht="30" customHeight="1">
      <c r="K134" s="39"/>
    </row>
    <row r="135" spans="11:11" ht="30" customHeight="1">
      <c r="K135" s="39"/>
    </row>
    <row r="136" spans="11:11" ht="30" customHeight="1">
      <c r="K136" s="39"/>
    </row>
    <row r="137" spans="11:11" ht="30" customHeight="1">
      <c r="K137" s="39"/>
    </row>
    <row r="138" spans="11:11" ht="30" customHeight="1">
      <c r="K138" s="39"/>
    </row>
    <row r="139" spans="11:11" ht="30" customHeight="1">
      <c r="K139" s="39"/>
    </row>
    <row r="140" spans="11:11" ht="30" customHeight="1">
      <c r="K140" s="39"/>
    </row>
    <row r="141" spans="11:11" ht="30" customHeight="1">
      <c r="K141" s="39"/>
    </row>
    <row r="142" spans="11:11" ht="30" customHeight="1">
      <c r="K142" s="39"/>
    </row>
    <row r="143" spans="11:11" ht="30" customHeight="1">
      <c r="K143" s="39"/>
    </row>
    <row r="144" spans="11:11" ht="30" customHeight="1">
      <c r="K144" s="39"/>
    </row>
    <row r="145" spans="11:11" ht="30" customHeight="1">
      <c r="K145" s="39"/>
    </row>
    <row r="146" spans="11:11" ht="30" customHeight="1">
      <c r="K146" s="39"/>
    </row>
    <row r="147" spans="11:11" ht="30" customHeight="1">
      <c r="K147" s="39"/>
    </row>
    <row r="148" spans="11:11" ht="30" customHeight="1">
      <c r="K148" s="39"/>
    </row>
    <row r="149" spans="11:11" ht="30" customHeight="1">
      <c r="K149" s="39"/>
    </row>
    <row r="150" spans="11:11" ht="30" customHeight="1">
      <c r="K150" s="39"/>
    </row>
    <row r="151" spans="11:11" ht="30" customHeight="1">
      <c r="K151" s="39"/>
    </row>
    <row r="152" spans="11:11" ht="30" customHeight="1">
      <c r="K152" s="39"/>
    </row>
    <row r="153" spans="11:11" ht="30" customHeight="1">
      <c r="K153" s="39"/>
    </row>
    <row r="154" spans="11:11" ht="30" customHeight="1">
      <c r="K154" s="39"/>
    </row>
    <row r="155" spans="11:11" ht="30" customHeight="1">
      <c r="K155" s="39"/>
    </row>
    <row r="156" spans="11:11" ht="30" customHeight="1">
      <c r="K156" s="39"/>
    </row>
    <row r="157" spans="11:11" ht="30" customHeight="1">
      <c r="K157" s="39"/>
    </row>
    <row r="158" spans="11:11" ht="30" customHeight="1">
      <c r="K158" s="39"/>
    </row>
    <row r="159" spans="11:11" ht="30" customHeight="1">
      <c r="K159" s="39"/>
    </row>
    <row r="160" spans="11:11" ht="30" customHeight="1">
      <c r="K160" s="39"/>
    </row>
    <row r="161" spans="11:11" ht="30" customHeight="1">
      <c r="K161" s="39"/>
    </row>
    <row r="162" spans="11:11" ht="30" customHeight="1">
      <c r="K162" s="39"/>
    </row>
    <row r="163" spans="11:11" ht="30" customHeight="1">
      <c r="K163" s="39"/>
    </row>
    <row r="164" spans="11:11" ht="30" customHeight="1">
      <c r="K164" s="39"/>
    </row>
    <row r="165" spans="11:11" ht="30" customHeight="1">
      <c r="K165" s="39"/>
    </row>
    <row r="166" spans="11:11" ht="30" customHeight="1">
      <c r="K166" s="39"/>
    </row>
    <row r="167" spans="11:11" ht="30" customHeight="1">
      <c r="K167" s="39"/>
    </row>
    <row r="168" spans="11:11" ht="30" customHeight="1">
      <c r="K168" s="39"/>
    </row>
    <row r="169" spans="11:11" ht="30" customHeight="1">
      <c r="K169" s="39"/>
    </row>
    <row r="170" spans="11:11" ht="30" customHeight="1">
      <c r="K170" s="39"/>
    </row>
    <row r="171" spans="11:11" ht="30" customHeight="1">
      <c r="K171" s="39"/>
    </row>
    <row r="172" spans="11:11" ht="30" customHeight="1">
      <c r="K172" s="39"/>
    </row>
    <row r="173" spans="11:11" ht="30" customHeight="1">
      <c r="K173" s="39"/>
    </row>
    <row r="174" spans="11:11" ht="30" customHeight="1">
      <c r="K174" s="39"/>
    </row>
    <row r="175" spans="11:11" ht="30" customHeight="1">
      <c r="K175" s="39"/>
    </row>
    <row r="176" spans="11:11" ht="30" customHeight="1">
      <c r="K176" s="39"/>
    </row>
    <row r="177" spans="11:11" ht="30" customHeight="1">
      <c r="K177" s="39"/>
    </row>
    <row r="178" spans="11:11" ht="30" customHeight="1">
      <c r="K178" s="39"/>
    </row>
    <row r="179" spans="11:11" ht="30" customHeight="1">
      <c r="K179" s="39"/>
    </row>
    <row r="180" spans="11:11" ht="30" customHeight="1">
      <c r="K180" s="39"/>
    </row>
    <row r="181" spans="11:11" ht="30" customHeight="1">
      <c r="K181" s="39"/>
    </row>
    <row r="182" spans="11:11" ht="30" customHeight="1">
      <c r="K182" s="39"/>
    </row>
    <row r="183" spans="11:11" ht="30" customHeight="1">
      <c r="K183" s="39"/>
    </row>
    <row r="184" spans="11:11" ht="30" customHeight="1">
      <c r="K184" s="39"/>
    </row>
    <row r="185" spans="11:11" ht="30" customHeight="1">
      <c r="K185" s="39"/>
    </row>
    <row r="186" spans="11:11" ht="30" customHeight="1">
      <c r="K186" s="39"/>
    </row>
    <row r="187" spans="11:11" ht="30" customHeight="1">
      <c r="K187" s="39"/>
    </row>
    <row r="188" spans="11:11" ht="30" customHeight="1">
      <c r="K188" s="39"/>
    </row>
    <row r="189" spans="11:11" ht="30" customHeight="1">
      <c r="K189" s="39"/>
    </row>
    <row r="190" spans="11:11" ht="30" customHeight="1">
      <c r="K190" s="39"/>
    </row>
    <row r="191" spans="11:11" ht="30" customHeight="1">
      <c r="K191" s="39"/>
    </row>
    <row r="192" spans="11:11" ht="30" customHeight="1">
      <c r="K192" s="39"/>
    </row>
    <row r="193" spans="11:11" ht="30" customHeight="1">
      <c r="K193" s="39"/>
    </row>
    <row r="194" spans="11:11" ht="30" customHeight="1">
      <c r="K194" s="39"/>
    </row>
    <row r="195" spans="11:11" ht="30" customHeight="1">
      <c r="K195" s="39"/>
    </row>
    <row r="196" spans="11:11" ht="30" customHeight="1">
      <c r="K196" s="39"/>
    </row>
    <row r="197" spans="11:11" ht="30" customHeight="1">
      <c r="K197" s="39"/>
    </row>
    <row r="198" spans="11:11" ht="30" customHeight="1">
      <c r="K198" s="39"/>
    </row>
    <row r="199" spans="11:11" ht="30" customHeight="1">
      <c r="K199" s="39"/>
    </row>
    <row r="200" spans="11:11" ht="30" customHeight="1">
      <c r="K200" s="39"/>
    </row>
    <row r="201" spans="11:11" ht="30" customHeight="1">
      <c r="K201" s="39"/>
    </row>
    <row r="202" spans="11:11" ht="30" customHeight="1">
      <c r="K202" s="39"/>
    </row>
    <row r="203" spans="11:11" ht="30" customHeight="1">
      <c r="K203" s="39"/>
    </row>
    <row r="204" spans="11:11" ht="30" customHeight="1">
      <c r="K204" s="39"/>
    </row>
    <row r="205" spans="11:11" ht="30" customHeight="1">
      <c r="K205" s="39"/>
    </row>
    <row r="206" spans="11:11" ht="30" customHeight="1">
      <c r="K206" s="39"/>
    </row>
    <row r="207" spans="11:11" ht="30" customHeight="1">
      <c r="K207" s="39"/>
    </row>
    <row r="208" spans="11:11" ht="30" customHeight="1">
      <c r="K208" s="39"/>
    </row>
    <row r="209" spans="11:11" ht="30" customHeight="1">
      <c r="K209" s="39"/>
    </row>
    <row r="210" spans="11:11" ht="30" customHeight="1">
      <c r="K210" s="39"/>
    </row>
    <row r="211" spans="11:11" ht="30" customHeight="1">
      <c r="K211" s="39"/>
    </row>
    <row r="212" spans="11:11" ht="30" customHeight="1">
      <c r="K212" s="39"/>
    </row>
    <row r="213" spans="11:11" ht="30" customHeight="1">
      <c r="K213" s="39"/>
    </row>
    <row r="214" spans="11:11" ht="30" customHeight="1">
      <c r="K214" s="39"/>
    </row>
    <row r="215" spans="11:11" ht="30" customHeight="1">
      <c r="K215" s="39"/>
    </row>
    <row r="216" spans="11:11" ht="30" customHeight="1">
      <c r="K216" s="39"/>
    </row>
    <row r="217" spans="11:11" ht="30" customHeight="1">
      <c r="K217" s="39"/>
    </row>
    <row r="218" spans="11:11" ht="30" customHeight="1">
      <c r="K218" s="39"/>
    </row>
    <row r="219" spans="11:11" ht="30" customHeight="1">
      <c r="K219" s="39"/>
    </row>
    <row r="220" spans="11:11" ht="30" customHeight="1">
      <c r="K220" s="39"/>
    </row>
    <row r="221" spans="11:11" ht="30" customHeight="1">
      <c r="K221" s="39"/>
    </row>
    <row r="222" spans="11:11" ht="30" customHeight="1">
      <c r="K222" s="39"/>
    </row>
    <row r="223" spans="11:11" ht="30" customHeight="1">
      <c r="K223" s="39"/>
    </row>
    <row r="224" spans="11:11" ht="30" customHeight="1">
      <c r="K224" s="39"/>
    </row>
    <row r="225" spans="11:11" ht="30" customHeight="1">
      <c r="K225" s="39"/>
    </row>
    <row r="226" spans="11:11" ht="30" customHeight="1">
      <c r="K226" s="39"/>
    </row>
    <row r="227" spans="11:11" ht="30" customHeight="1">
      <c r="K227" s="39"/>
    </row>
    <row r="228" spans="11:11" ht="30" customHeight="1">
      <c r="K228" s="39"/>
    </row>
    <row r="229" spans="11:11" ht="30" customHeight="1">
      <c r="K229" s="39"/>
    </row>
    <row r="230" spans="11:11" ht="30" customHeight="1">
      <c r="K230" s="39"/>
    </row>
    <row r="231" spans="11:11" ht="30" customHeight="1">
      <c r="K231" s="39"/>
    </row>
    <row r="232" spans="11:11" ht="30" customHeight="1">
      <c r="K232" s="39"/>
    </row>
    <row r="233" spans="11:11" ht="30" customHeight="1">
      <c r="K233" s="39"/>
    </row>
    <row r="234" spans="11:11" ht="30" customHeight="1">
      <c r="K234" s="39"/>
    </row>
    <row r="235" spans="11:11" ht="30" customHeight="1">
      <c r="K235" s="39"/>
    </row>
    <row r="236" spans="11:11" ht="30" customHeight="1">
      <c r="K236" s="39"/>
    </row>
    <row r="237" spans="11:11" ht="30" customHeight="1">
      <c r="K237" s="39"/>
    </row>
    <row r="238" spans="11:11" ht="30" customHeight="1">
      <c r="K238" s="39"/>
    </row>
    <row r="239" spans="11:11" ht="30" customHeight="1">
      <c r="K239" s="39"/>
    </row>
    <row r="240" spans="11:11" ht="30" customHeight="1">
      <c r="K240" s="39"/>
    </row>
    <row r="241" spans="11:11" ht="30" customHeight="1">
      <c r="K241" s="39"/>
    </row>
    <row r="242" spans="11:11" ht="30" customHeight="1">
      <c r="K242" s="39"/>
    </row>
    <row r="243" spans="11:11" ht="30" customHeight="1">
      <c r="K243" s="39"/>
    </row>
    <row r="244" spans="11:11" ht="30" customHeight="1">
      <c r="K244" s="39"/>
    </row>
    <row r="245" spans="11:11" ht="30" customHeight="1">
      <c r="K245" s="39"/>
    </row>
    <row r="246" spans="11:11" ht="30" customHeight="1">
      <c r="K246" s="39"/>
    </row>
    <row r="247" spans="11:11" ht="30" customHeight="1">
      <c r="K247" s="39"/>
    </row>
    <row r="248" spans="11:11" ht="30" customHeight="1">
      <c r="K248" s="39"/>
    </row>
    <row r="249" spans="11:11" ht="30" customHeight="1">
      <c r="K249" s="39"/>
    </row>
    <row r="250" spans="11:11" ht="30" customHeight="1">
      <c r="K250" s="39"/>
    </row>
    <row r="251" spans="11:11" ht="30" customHeight="1">
      <c r="K251" s="39"/>
    </row>
    <row r="252" spans="11:11" ht="30" customHeight="1">
      <c r="K252" s="39"/>
    </row>
    <row r="253" spans="11:11" ht="30" customHeight="1">
      <c r="K253" s="39"/>
    </row>
    <row r="254" spans="11:11" ht="30" customHeight="1">
      <c r="K254" s="39"/>
    </row>
    <row r="255" spans="11:11" ht="30" customHeight="1">
      <c r="K255" s="39"/>
    </row>
    <row r="256" spans="11:11" ht="30" customHeight="1">
      <c r="K256" s="39"/>
    </row>
    <row r="257" spans="11:11" ht="30" customHeight="1">
      <c r="K257" s="39"/>
    </row>
    <row r="258" spans="11:11" ht="30" customHeight="1">
      <c r="K258" s="39"/>
    </row>
    <row r="259" spans="11:11" ht="30" customHeight="1">
      <c r="K259" s="39"/>
    </row>
    <row r="260" spans="11:11" ht="30" customHeight="1">
      <c r="K260" s="39"/>
    </row>
    <row r="261" spans="11:11" ht="30" customHeight="1">
      <c r="K261" s="39"/>
    </row>
    <row r="262" spans="11:11" ht="30" customHeight="1">
      <c r="K262" s="39"/>
    </row>
    <row r="263" spans="11:11" ht="30" customHeight="1">
      <c r="K263" s="39"/>
    </row>
    <row r="264" spans="11:11" ht="30" customHeight="1">
      <c r="K264" s="39"/>
    </row>
    <row r="265" spans="11:11" ht="30" customHeight="1">
      <c r="K265" s="39"/>
    </row>
    <row r="266" spans="11:11" ht="30" customHeight="1">
      <c r="K266" s="39"/>
    </row>
    <row r="267" spans="11:11" ht="30" customHeight="1">
      <c r="K267" s="39"/>
    </row>
    <row r="268" spans="11:11" ht="30" customHeight="1">
      <c r="K268" s="39"/>
    </row>
    <row r="269" spans="11:11" ht="30" customHeight="1">
      <c r="K269" s="39"/>
    </row>
    <row r="270" spans="11:11" ht="30" customHeight="1">
      <c r="K270" s="39"/>
    </row>
    <row r="271" spans="11:11" ht="30" customHeight="1">
      <c r="K271" s="39"/>
    </row>
    <row r="272" spans="11:11" ht="30" customHeight="1">
      <c r="K272" s="39"/>
    </row>
    <row r="273" spans="11:11" ht="30" customHeight="1">
      <c r="K273" s="39"/>
    </row>
    <row r="274" spans="11:11" ht="30" customHeight="1">
      <c r="K274" s="39"/>
    </row>
    <row r="275" spans="11:11" ht="30" customHeight="1">
      <c r="K275" s="39"/>
    </row>
    <row r="276" spans="11:11" ht="30" customHeight="1">
      <c r="K276" s="39"/>
    </row>
    <row r="277" spans="11:11" ht="30" customHeight="1">
      <c r="K277" s="39"/>
    </row>
    <row r="278" spans="11:11" ht="30" customHeight="1">
      <c r="K278" s="39"/>
    </row>
    <row r="279" spans="11:11" ht="30" customHeight="1">
      <c r="K279" s="39"/>
    </row>
    <row r="280" spans="11:11" ht="30" customHeight="1">
      <c r="K280" s="39"/>
    </row>
    <row r="281" spans="11:11" ht="30" customHeight="1">
      <c r="K281" s="39"/>
    </row>
    <row r="282" spans="11:11" ht="30" customHeight="1">
      <c r="K282" s="39"/>
    </row>
    <row r="283" spans="11:11" ht="30" customHeight="1">
      <c r="K283" s="39"/>
    </row>
    <row r="284" spans="11:11" ht="30" customHeight="1">
      <c r="K284" s="39"/>
    </row>
    <row r="285" spans="11:11" ht="30" customHeight="1">
      <c r="K285" s="39"/>
    </row>
    <row r="286" spans="11:11" ht="30" customHeight="1">
      <c r="K286" s="39"/>
    </row>
    <row r="287" spans="11:11" ht="30" customHeight="1">
      <c r="K287" s="39"/>
    </row>
    <row r="288" spans="11:11" ht="30" customHeight="1">
      <c r="K288" s="39"/>
    </row>
    <row r="289" spans="11:11" ht="30" customHeight="1">
      <c r="K289" s="39"/>
    </row>
    <row r="290" spans="11:11" ht="30" customHeight="1">
      <c r="K290" s="39"/>
    </row>
    <row r="291" spans="11:11" ht="30" customHeight="1">
      <c r="K291" s="39"/>
    </row>
    <row r="292" spans="11:11" ht="30" customHeight="1">
      <c r="K292" s="39"/>
    </row>
    <row r="293" spans="11:11" ht="30" customHeight="1">
      <c r="K293" s="39"/>
    </row>
    <row r="294" spans="11:11" ht="30" customHeight="1">
      <c r="K294" s="39"/>
    </row>
    <row r="295" spans="11:11" ht="30" customHeight="1">
      <c r="K295" s="39"/>
    </row>
    <row r="296" spans="11:11" ht="30" customHeight="1">
      <c r="K296" s="39"/>
    </row>
    <row r="297" spans="11:11" ht="30" customHeight="1">
      <c r="K297" s="39"/>
    </row>
    <row r="298" spans="11:11" ht="30" customHeight="1">
      <c r="K298" s="39"/>
    </row>
    <row r="299" spans="11:11" ht="30" customHeight="1">
      <c r="K299" s="39"/>
    </row>
    <row r="300" spans="11:11" ht="30" customHeight="1">
      <c r="K300" s="39"/>
    </row>
    <row r="301" spans="11:11" ht="30" customHeight="1">
      <c r="K301" s="39"/>
    </row>
    <row r="302" spans="11:11" ht="30" customHeight="1">
      <c r="K302" s="39"/>
    </row>
    <row r="303" spans="11:11" ht="30" customHeight="1">
      <c r="K303" s="39"/>
    </row>
    <row r="304" spans="11:11" ht="30" customHeight="1">
      <c r="K304" s="39"/>
    </row>
    <row r="305" spans="11:11" ht="30" customHeight="1">
      <c r="K305" s="39"/>
    </row>
    <row r="306" spans="11:11" ht="30" customHeight="1">
      <c r="K306" s="39"/>
    </row>
    <row r="307" spans="11:11" ht="30" customHeight="1">
      <c r="K307" s="39"/>
    </row>
    <row r="308" spans="11:11" ht="30" customHeight="1">
      <c r="K308" s="39"/>
    </row>
    <row r="309" spans="11:11" ht="30" customHeight="1">
      <c r="K309" s="39"/>
    </row>
    <row r="310" spans="11:11" ht="30" customHeight="1">
      <c r="K310" s="39"/>
    </row>
    <row r="311" spans="11:11" ht="30" customHeight="1">
      <c r="K311" s="39"/>
    </row>
    <row r="312" spans="11:11" ht="30" customHeight="1">
      <c r="K312" s="39"/>
    </row>
    <row r="313" spans="11:11" ht="30" customHeight="1">
      <c r="K313" s="39"/>
    </row>
    <row r="314" spans="11:11" ht="30" customHeight="1">
      <c r="K314" s="39"/>
    </row>
    <row r="315" spans="11:11" ht="30" customHeight="1">
      <c r="K315" s="39"/>
    </row>
    <row r="316" spans="11:11" ht="30" customHeight="1">
      <c r="K316" s="39"/>
    </row>
    <row r="317" spans="11:11" ht="30" customHeight="1">
      <c r="K317" s="39"/>
    </row>
    <row r="318" spans="11:11" ht="30" customHeight="1">
      <c r="K318" s="39"/>
    </row>
    <row r="319" spans="11:11" ht="30" customHeight="1">
      <c r="K319" s="39"/>
    </row>
    <row r="320" spans="11:11" ht="30" customHeight="1">
      <c r="K320" s="39"/>
    </row>
    <row r="321" spans="11:11" ht="30" customHeight="1">
      <c r="K321" s="39"/>
    </row>
    <row r="322" spans="11:11" ht="30" customHeight="1">
      <c r="K322" s="39"/>
    </row>
    <row r="323" spans="11:11" ht="30" customHeight="1">
      <c r="K323" s="39"/>
    </row>
    <row r="324" spans="11:11" ht="30" customHeight="1">
      <c r="K324" s="39"/>
    </row>
    <row r="325" spans="11:11" ht="30" customHeight="1">
      <c r="K325" s="39"/>
    </row>
    <row r="326" spans="11:11" ht="30" customHeight="1">
      <c r="K326" s="39"/>
    </row>
    <row r="327" spans="11:11" ht="30" customHeight="1">
      <c r="K327" s="39"/>
    </row>
    <row r="328" spans="11:11" ht="30" customHeight="1">
      <c r="K328" s="39"/>
    </row>
    <row r="329" spans="11:11" ht="30" customHeight="1">
      <c r="K329" s="39"/>
    </row>
    <row r="330" spans="11:11" ht="30" customHeight="1">
      <c r="K330" s="39"/>
    </row>
    <row r="331" spans="11:11" ht="30" customHeight="1">
      <c r="K331" s="39"/>
    </row>
    <row r="332" spans="11:11" ht="30" customHeight="1">
      <c r="K332" s="39"/>
    </row>
    <row r="333" spans="11:11" ht="30" customHeight="1">
      <c r="K333" s="39"/>
    </row>
    <row r="334" spans="11:11" ht="30" customHeight="1">
      <c r="K334" s="39"/>
    </row>
    <row r="335" spans="11:11" ht="30" customHeight="1">
      <c r="K335" s="39"/>
    </row>
    <row r="336" spans="11:11" ht="30" customHeight="1">
      <c r="K336" s="39"/>
    </row>
    <row r="337" spans="11:11" ht="30" customHeight="1">
      <c r="K337" s="39"/>
    </row>
    <row r="338" spans="11:11" ht="30" customHeight="1">
      <c r="K338" s="39"/>
    </row>
    <row r="339" spans="11:11" ht="30" customHeight="1">
      <c r="K339" s="39"/>
    </row>
    <row r="340" spans="11:11" ht="30" customHeight="1">
      <c r="K340" s="39"/>
    </row>
    <row r="341" spans="11:11" ht="30" customHeight="1">
      <c r="K341" s="39"/>
    </row>
    <row r="342" spans="11:11" ht="30" customHeight="1">
      <c r="K342" s="39"/>
    </row>
    <row r="343" spans="11:11" ht="30" customHeight="1">
      <c r="K343" s="39"/>
    </row>
    <row r="344" spans="11:11" ht="30" customHeight="1">
      <c r="K344" s="39"/>
    </row>
    <row r="345" spans="11:11" ht="30" customHeight="1">
      <c r="K345" s="39"/>
    </row>
    <row r="346" spans="11:11" ht="30" customHeight="1">
      <c r="K346" s="39"/>
    </row>
    <row r="347" spans="11:11" ht="30" customHeight="1">
      <c r="K347" s="39"/>
    </row>
    <row r="348" spans="11:11" ht="30" customHeight="1">
      <c r="K348" s="39"/>
    </row>
    <row r="349" spans="11:11" ht="30" customHeight="1">
      <c r="K349" s="39"/>
    </row>
    <row r="350" spans="11:11" ht="30" customHeight="1">
      <c r="K350" s="39"/>
    </row>
    <row r="351" spans="11:11" ht="30" customHeight="1">
      <c r="K351" s="39"/>
    </row>
    <row r="352" spans="11:11" ht="30" customHeight="1">
      <c r="K352" s="39"/>
    </row>
    <row r="353" spans="11:11" ht="30" customHeight="1">
      <c r="K353" s="39"/>
    </row>
    <row r="354" spans="11:11" ht="30" customHeight="1">
      <c r="K354" s="39"/>
    </row>
    <row r="355" spans="11:11" ht="30" customHeight="1">
      <c r="K355" s="39"/>
    </row>
    <row r="356" spans="11:11" ht="30" customHeight="1">
      <c r="K356" s="39"/>
    </row>
    <row r="357" spans="11:11" ht="30" customHeight="1">
      <c r="K357" s="39"/>
    </row>
    <row r="358" spans="11:11" ht="30" customHeight="1">
      <c r="K358" s="39"/>
    </row>
    <row r="359" spans="11:11" ht="30" customHeight="1">
      <c r="K359" s="39"/>
    </row>
    <row r="360" spans="11:11" ht="30" customHeight="1">
      <c r="K360" s="39"/>
    </row>
    <row r="361" spans="11:11" ht="30" customHeight="1">
      <c r="K361" s="39"/>
    </row>
    <row r="362" spans="11:11" ht="30" customHeight="1">
      <c r="K362" s="39"/>
    </row>
    <row r="363" spans="11:11" ht="30" customHeight="1">
      <c r="K363" s="39"/>
    </row>
    <row r="364" spans="11:11" ht="30" customHeight="1">
      <c r="K364" s="39"/>
    </row>
    <row r="365" spans="11:11" ht="30" customHeight="1">
      <c r="K365" s="39"/>
    </row>
    <row r="366" spans="11:11" ht="30" customHeight="1">
      <c r="K366" s="39"/>
    </row>
    <row r="367" spans="11:11" ht="30" customHeight="1">
      <c r="K367" s="39"/>
    </row>
    <row r="368" spans="11:11" ht="30" customHeight="1">
      <c r="K368" s="39"/>
    </row>
    <row r="369" spans="11:11" ht="30" customHeight="1">
      <c r="K369" s="39"/>
    </row>
    <row r="370" spans="11:11" ht="30" customHeight="1">
      <c r="K370" s="39"/>
    </row>
    <row r="371" spans="11:11" ht="30" customHeight="1">
      <c r="K371" s="39"/>
    </row>
    <row r="372" spans="11:11" ht="30" customHeight="1">
      <c r="K372" s="39"/>
    </row>
    <row r="373" spans="11:11" ht="30" customHeight="1">
      <c r="K373" s="39"/>
    </row>
    <row r="374" spans="11:11" ht="30" customHeight="1">
      <c r="K374" s="39"/>
    </row>
    <row r="375" spans="11:11" ht="30" customHeight="1">
      <c r="K375" s="39"/>
    </row>
    <row r="376" spans="11:11" ht="30" customHeight="1">
      <c r="K376" s="39"/>
    </row>
    <row r="377" spans="11:11" ht="30" customHeight="1">
      <c r="K377" s="39"/>
    </row>
    <row r="378" spans="11:11" ht="30" customHeight="1">
      <c r="K378" s="39"/>
    </row>
    <row r="379" spans="11:11" ht="30" customHeight="1">
      <c r="K379" s="39"/>
    </row>
    <row r="380" spans="11:11" ht="30" customHeight="1">
      <c r="K380" s="39"/>
    </row>
    <row r="381" spans="11:11" ht="30" customHeight="1">
      <c r="K381" s="39"/>
    </row>
    <row r="382" spans="11:11" ht="30" customHeight="1">
      <c r="K382" s="39"/>
    </row>
    <row r="383" spans="11:11" ht="30" customHeight="1">
      <c r="K383" s="39"/>
    </row>
    <row r="384" spans="11:11" ht="30" customHeight="1">
      <c r="K384" s="39"/>
    </row>
    <row r="385" spans="11:11" ht="30" customHeight="1">
      <c r="K385" s="39"/>
    </row>
    <row r="386" spans="11:11" ht="30" customHeight="1">
      <c r="K386" s="39"/>
    </row>
    <row r="387" spans="11:11" ht="30" customHeight="1">
      <c r="K387" s="39"/>
    </row>
    <row r="388" spans="11:11" ht="30" customHeight="1">
      <c r="K388" s="39"/>
    </row>
    <row r="389" spans="11:11" ht="30" customHeight="1">
      <c r="K389" s="39"/>
    </row>
    <row r="390" spans="11:11" ht="30" customHeight="1">
      <c r="K390" s="39"/>
    </row>
    <row r="391" spans="11:11" ht="30" customHeight="1">
      <c r="K391" s="39"/>
    </row>
    <row r="392" spans="11:11" ht="30" customHeight="1">
      <c r="K392" s="39"/>
    </row>
    <row r="393" spans="11:11" ht="30" customHeight="1">
      <c r="K393" s="39"/>
    </row>
    <row r="394" spans="11:11" ht="30" customHeight="1">
      <c r="K394" s="39"/>
    </row>
    <row r="395" spans="11:11" ht="30" customHeight="1">
      <c r="K395" s="39"/>
    </row>
    <row r="396" spans="11:11" ht="30" customHeight="1">
      <c r="K396" s="39"/>
    </row>
    <row r="397" spans="11:11" ht="30" customHeight="1">
      <c r="K397" s="39"/>
    </row>
    <row r="398" spans="11:11" ht="30" customHeight="1">
      <c r="K398" s="39"/>
    </row>
    <row r="399" spans="11:11" ht="30" customHeight="1">
      <c r="K399" s="39"/>
    </row>
    <row r="400" spans="11:11" ht="30" customHeight="1">
      <c r="K400" s="39"/>
    </row>
    <row r="401" spans="11:11" ht="30" customHeight="1">
      <c r="K401" s="39"/>
    </row>
    <row r="402" spans="11:11" ht="30" customHeight="1">
      <c r="K402" s="39"/>
    </row>
    <row r="403" spans="11:11" ht="30" customHeight="1">
      <c r="K403" s="39"/>
    </row>
    <row r="404" spans="11:11" ht="30" customHeight="1">
      <c r="K404" s="39"/>
    </row>
    <row r="405" spans="11:11" ht="30" customHeight="1">
      <c r="K405" s="39"/>
    </row>
    <row r="406" spans="11:11" ht="30" customHeight="1">
      <c r="K406" s="39"/>
    </row>
    <row r="407" spans="11:11" ht="30" customHeight="1">
      <c r="K407" s="39"/>
    </row>
    <row r="408" spans="11:11" ht="30" customHeight="1">
      <c r="K408" s="39"/>
    </row>
    <row r="409" spans="11:11" ht="30" customHeight="1">
      <c r="K409" s="39"/>
    </row>
    <row r="410" spans="11:11" ht="30" customHeight="1">
      <c r="K410" s="39"/>
    </row>
    <row r="411" spans="11:11" ht="30" customHeight="1">
      <c r="K411" s="39"/>
    </row>
    <row r="412" spans="11:11" ht="30" customHeight="1">
      <c r="K412" s="39"/>
    </row>
    <row r="413" spans="11:11" ht="30" customHeight="1">
      <c r="K413" s="39"/>
    </row>
    <row r="414" spans="11:11" ht="30" customHeight="1">
      <c r="K414" s="39"/>
    </row>
    <row r="415" spans="11:11" ht="30" customHeight="1">
      <c r="K415" s="39"/>
    </row>
    <row r="416" spans="11:11" ht="30" customHeight="1">
      <c r="K416" s="39"/>
    </row>
    <row r="417" spans="11:11" ht="30" customHeight="1">
      <c r="K417" s="39"/>
    </row>
    <row r="418" spans="11:11" ht="30" customHeight="1">
      <c r="K418" s="39"/>
    </row>
    <row r="419" spans="11:11" ht="30" customHeight="1">
      <c r="K419" s="39"/>
    </row>
    <row r="420" spans="11:11" ht="30" customHeight="1">
      <c r="K420" s="39"/>
    </row>
    <row r="421" spans="11:11" ht="30" customHeight="1">
      <c r="K421" s="39"/>
    </row>
    <row r="422" spans="11:11" ht="30" customHeight="1">
      <c r="K422" s="39"/>
    </row>
    <row r="423" spans="11:11" ht="30" customHeight="1">
      <c r="K423" s="39"/>
    </row>
    <row r="424" spans="11:11" ht="30" customHeight="1">
      <c r="K424" s="39"/>
    </row>
    <row r="425" spans="11:11" ht="30" customHeight="1">
      <c r="K425" s="39"/>
    </row>
    <row r="426" spans="11:11" ht="30" customHeight="1">
      <c r="K426" s="39"/>
    </row>
    <row r="427" spans="11:11" ht="30" customHeight="1">
      <c r="K427" s="39"/>
    </row>
    <row r="428" spans="11:11" ht="30" customHeight="1">
      <c r="K428" s="39"/>
    </row>
    <row r="429" spans="11:11" ht="30" customHeight="1">
      <c r="K429" s="39"/>
    </row>
    <row r="430" spans="11:11" ht="30" customHeight="1">
      <c r="K430" s="39"/>
    </row>
    <row r="431" spans="11:11" ht="30" customHeight="1">
      <c r="K431" s="39"/>
    </row>
    <row r="432" spans="11:11" ht="30" customHeight="1">
      <c r="K432" s="39"/>
    </row>
    <row r="433" spans="11:11" ht="30" customHeight="1">
      <c r="K433" s="39"/>
    </row>
    <row r="434" spans="11:11" ht="30" customHeight="1">
      <c r="K434" s="39"/>
    </row>
    <row r="435" spans="11:11" ht="30" customHeight="1">
      <c r="K435" s="39"/>
    </row>
    <row r="436" spans="11:11" ht="30" customHeight="1">
      <c r="K436" s="39"/>
    </row>
    <row r="437" spans="11:11" ht="30" customHeight="1">
      <c r="K437" s="39"/>
    </row>
    <row r="438" spans="11:11" ht="30" customHeight="1">
      <c r="K438" s="39"/>
    </row>
    <row r="439" spans="11:11" ht="30" customHeight="1">
      <c r="K439" s="39"/>
    </row>
    <row r="440" spans="11:11" ht="30" customHeight="1">
      <c r="K440" s="39"/>
    </row>
    <row r="441" spans="11:11" ht="30" customHeight="1">
      <c r="K441" s="39"/>
    </row>
    <row r="442" spans="11:11" ht="30" customHeight="1">
      <c r="K442" s="39"/>
    </row>
    <row r="443" spans="11:11" ht="30" customHeight="1">
      <c r="K443" s="39"/>
    </row>
    <row r="444" spans="11:11" ht="30" customHeight="1">
      <c r="K444" s="39"/>
    </row>
    <row r="445" spans="11:11" ht="30" customHeight="1">
      <c r="K445" s="39"/>
    </row>
    <row r="446" spans="11:11" ht="30" customHeight="1">
      <c r="K446" s="39"/>
    </row>
    <row r="447" spans="11:11" ht="30" customHeight="1">
      <c r="K447" s="39"/>
    </row>
    <row r="448" spans="11:11" ht="30" customHeight="1">
      <c r="K448" s="39"/>
    </row>
    <row r="449" spans="11:11" ht="30" customHeight="1">
      <c r="K449" s="39"/>
    </row>
    <row r="450" spans="11:11" ht="30" customHeight="1">
      <c r="K450" s="39"/>
    </row>
    <row r="451" spans="11:11" ht="30" customHeight="1">
      <c r="K451" s="39"/>
    </row>
    <row r="452" spans="11:11" ht="30" customHeight="1">
      <c r="K452" s="39"/>
    </row>
    <row r="453" spans="11:11" ht="30" customHeight="1">
      <c r="K453" s="39"/>
    </row>
    <row r="454" spans="11:11" ht="30" customHeight="1">
      <c r="K454" s="39"/>
    </row>
    <row r="455" spans="11:11" ht="30" customHeight="1">
      <c r="K455" s="39"/>
    </row>
    <row r="456" spans="11:11" ht="30" customHeight="1">
      <c r="K456" s="39"/>
    </row>
    <row r="457" spans="11:11" ht="30" customHeight="1">
      <c r="K457" s="39"/>
    </row>
    <row r="458" spans="11:11" ht="30" customHeight="1">
      <c r="K458" s="39"/>
    </row>
    <row r="459" spans="11:11" ht="30" customHeight="1">
      <c r="K459" s="39"/>
    </row>
    <row r="460" spans="11:11" ht="30" customHeight="1">
      <c r="K460" s="39"/>
    </row>
    <row r="461" spans="11:11" ht="30" customHeight="1">
      <c r="K461" s="39"/>
    </row>
    <row r="462" spans="11:11" ht="30" customHeight="1">
      <c r="K462" s="39"/>
    </row>
    <row r="463" spans="11:11" ht="30" customHeight="1">
      <c r="K463" s="39"/>
    </row>
    <row r="464" spans="11:11" ht="30" customHeight="1">
      <c r="K464" s="39"/>
    </row>
    <row r="465" spans="11:11" ht="30" customHeight="1">
      <c r="K465" s="39"/>
    </row>
    <row r="466" spans="11:11" ht="30" customHeight="1">
      <c r="K466" s="39"/>
    </row>
    <row r="467" spans="11:11" ht="30" customHeight="1">
      <c r="K467" s="39"/>
    </row>
    <row r="468" spans="11:11" ht="30" customHeight="1">
      <c r="K468" s="39"/>
    </row>
    <row r="469" spans="11:11" ht="30" customHeight="1">
      <c r="K469" s="39"/>
    </row>
    <row r="470" spans="11:11" ht="30" customHeight="1">
      <c r="K470" s="39"/>
    </row>
    <row r="471" spans="11:11" ht="30" customHeight="1">
      <c r="K471" s="39"/>
    </row>
    <row r="472" spans="11:11" ht="30" customHeight="1">
      <c r="K472" s="39"/>
    </row>
    <row r="473" spans="11:11" ht="30" customHeight="1">
      <c r="K473" s="39"/>
    </row>
    <row r="474" spans="11:11" ht="30" customHeight="1">
      <c r="K474" s="39"/>
    </row>
    <row r="475" spans="11:11" ht="30" customHeight="1">
      <c r="K475" s="39"/>
    </row>
    <row r="476" spans="11:11" ht="30" customHeight="1">
      <c r="K476" s="39"/>
    </row>
    <row r="477" spans="11:11" ht="30" customHeight="1">
      <c r="K477" s="39"/>
    </row>
    <row r="478" spans="11:11" ht="30" customHeight="1">
      <c r="K478" s="39"/>
    </row>
    <row r="479" spans="11:11" ht="30" customHeight="1">
      <c r="K479" s="39"/>
    </row>
    <row r="480" spans="11:11" ht="30" customHeight="1">
      <c r="K480" s="39"/>
    </row>
    <row r="481" spans="11:11" ht="30" customHeight="1">
      <c r="K481" s="39"/>
    </row>
    <row r="482" spans="11:11" ht="30" customHeight="1">
      <c r="K482" s="39"/>
    </row>
    <row r="483" spans="11:11" ht="30" customHeight="1">
      <c r="K483" s="39"/>
    </row>
    <row r="484" spans="11:11" ht="30" customHeight="1">
      <c r="K484" s="39"/>
    </row>
    <row r="485" spans="11:11" ht="30" customHeight="1">
      <c r="K485" s="39"/>
    </row>
    <row r="486" spans="11:11" ht="30" customHeight="1">
      <c r="K486" s="39"/>
    </row>
    <row r="487" spans="11:11" ht="30" customHeight="1">
      <c r="K487" s="39"/>
    </row>
    <row r="488" spans="11:11" ht="30" customHeight="1">
      <c r="K488" s="39"/>
    </row>
    <row r="489" spans="11:11" ht="30" customHeight="1">
      <c r="K489" s="39"/>
    </row>
    <row r="490" spans="11:11" ht="30" customHeight="1">
      <c r="K490" s="39"/>
    </row>
    <row r="491" spans="11:11" ht="30" customHeight="1">
      <c r="K491" s="39"/>
    </row>
    <row r="492" spans="11:11" ht="30" customHeight="1">
      <c r="K492" s="39"/>
    </row>
    <row r="493" spans="11:11" ht="30" customHeight="1">
      <c r="K493" s="39"/>
    </row>
    <row r="494" spans="11:11" ht="30" customHeight="1">
      <c r="K494" s="39"/>
    </row>
    <row r="495" spans="11:11" ht="30" customHeight="1">
      <c r="K495" s="39"/>
    </row>
    <row r="496" spans="11:11" ht="30" customHeight="1">
      <c r="K496" s="39"/>
    </row>
    <row r="497" spans="11:11" ht="30" customHeight="1">
      <c r="K497" s="39"/>
    </row>
    <row r="498" spans="11:11" ht="30" customHeight="1">
      <c r="K498" s="39"/>
    </row>
    <row r="499" spans="11:11" ht="30" customHeight="1">
      <c r="K499" s="39"/>
    </row>
    <row r="500" spans="11:11" ht="30" customHeight="1">
      <c r="K500" s="39"/>
    </row>
    <row r="501" spans="11:11" ht="30" customHeight="1">
      <c r="K501" s="39"/>
    </row>
    <row r="502" spans="11:11" ht="30" customHeight="1">
      <c r="K502" s="39"/>
    </row>
    <row r="503" spans="11:11" ht="30" customHeight="1">
      <c r="K503" s="39"/>
    </row>
    <row r="504" spans="11:11" ht="30" customHeight="1">
      <c r="K504" s="39"/>
    </row>
    <row r="505" spans="11:11" ht="30" customHeight="1">
      <c r="K505" s="39"/>
    </row>
    <row r="506" spans="11:11" ht="30" customHeight="1">
      <c r="K506" s="39"/>
    </row>
    <row r="507" spans="11:11" ht="30" customHeight="1">
      <c r="K507" s="39"/>
    </row>
    <row r="508" spans="11:11" ht="30" customHeight="1">
      <c r="K508" s="39"/>
    </row>
    <row r="509" spans="11:11" ht="30" customHeight="1">
      <c r="K509" s="39"/>
    </row>
    <row r="510" spans="11:11" ht="30" customHeight="1">
      <c r="K510" s="39"/>
    </row>
    <row r="511" spans="11:11" ht="30" customHeight="1">
      <c r="K511" s="39"/>
    </row>
    <row r="512" spans="11:11" ht="30" customHeight="1">
      <c r="K512" s="39"/>
    </row>
    <row r="513" spans="11:11" ht="30" customHeight="1">
      <c r="K513" s="39"/>
    </row>
    <row r="514" spans="11:11" ht="30" customHeight="1">
      <c r="K514" s="39"/>
    </row>
    <row r="515" spans="11:11" ht="30" customHeight="1">
      <c r="K515" s="39"/>
    </row>
    <row r="516" spans="11:11" ht="30" customHeight="1">
      <c r="K516" s="39"/>
    </row>
    <row r="517" spans="11:11" ht="30" customHeight="1">
      <c r="K517" s="39"/>
    </row>
    <row r="518" spans="11:11" ht="30" customHeight="1">
      <c r="K518" s="39"/>
    </row>
    <row r="519" spans="11:11" ht="30" customHeight="1">
      <c r="K519" s="39"/>
    </row>
    <row r="520" spans="11:11" ht="30" customHeight="1">
      <c r="K520" s="39"/>
    </row>
    <row r="521" spans="11:11" ht="30" customHeight="1">
      <c r="K521" s="39"/>
    </row>
    <row r="522" spans="11:11" ht="30" customHeight="1">
      <c r="K522" s="39"/>
    </row>
    <row r="523" spans="11:11" ht="30" customHeight="1">
      <c r="K523" s="39"/>
    </row>
    <row r="524" spans="11:11" ht="30" customHeight="1">
      <c r="K524" s="39"/>
    </row>
    <row r="525" spans="11:11" ht="30" customHeight="1">
      <c r="K525" s="39"/>
    </row>
    <row r="526" spans="11:11" ht="30" customHeight="1">
      <c r="K526" s="39"/>
    </row>
    <row r="527" spans="11:11" ht="30" customHeight="1">
      <c r="K527" s="39"/>
    </row>
    <row r="528" spans="11:11" ht="30" customHeight="1">
      <c r="K528" s="39"/>
    </row>
    <row r="529" spans="11:11" ht="30" customHeight="1">
      <c r="K529" s="39"/>
    </row>
    <row r="530" spans="11:11" ht="30" customHeight="1">
      <c r="K530" s="39"/>
    </row>
    <row r="531" spans="11:11" ht="30" customHeight="1">
      <c r="K531" s="39"/>
    </row>
    <row r="532" spans="11:11" ht="30" customHeight="1">
      <c r="K532" s="39"/>
    </row>
    <row r="533" spans="11:11" ht="30" customHeight="1">
      <c r="K533" s="39"/>
    </row>
    <row r="534" spans="11:11" ht="30" customHeight="1">
      <c r="K534" s="39"/>
    </row>
    <row r="535" spans="11:11" ht="30" customHeight="1">
      <c r="K535" s="39"/>
    </row>
    <row r="536" spans="11:11" ht="30" customHeight="1">
      <c r="K536" s="39"/>
    </row>
    <row r="537" spans="11:11" ht="30" customHeight="1">
      <c r="K537" s="39"/>
    </row>
    <row r="538" spans="11:11" ht="30" customHeight="1">
      <c r="K538" s="39"/>
    </row>
    <row r="539" spans="11:11" ht="30" customHeight="1">
      <c r="K539" s="39"/>
    </row>
    <row r="540" spans="11:11" ht="30" customHeight="1">
      <c r="K540" s="39"/>
    </row>
    <row r="541" spans="11:11" ht="30" customHeight="1">
      <c r="K541" s="39"/>
    </row>
    <row r="542" spans="11:11" ht="30" customHeight="1">
      <c r="K542" s="39"/>
    </row>
    <row r="543" spans="11:11" ht="30" customHeight="1">
      <c r="K543" s="39"/>
    </row>
    <row r="544" spans="11:11" ht="30" customHeight="1">
      <c r="K544" s="39"/>
    </row>
    <row r="545" spans="11:11" ht="30" customHeight="1">
      <c r="K545" s="39"/>
    </row>
    <row r="546" spans="11:11" ht="30" customHeight="1">
      <c r="K546" s="39"/>
    </row>
    <row r="547" spans="11:11" ht="30" customHeight="1">
      <c r="K547" s="39"/>
    </row>
    <row r="548" spans="11:11" ht="30" customHeight="1">
      <c r="K548" s="39"/>
    </row>
    <row r="549" spans="11:11" ht="30" customHeight="1">
      <c r="K549" s="39"/>
    </row>
    <row r="550" spans="11:11" ht="30" customHeight="1">
      <c r="K550" s="39"/>
    </row>
    <row r="551" spans="11:11" ht="30" customHeight="1">
      <c r="K551" s="39"/>
    </row>
    <row r="552" spans="11:11" ht="30" customHeight="1">
      <c r="K552" s="39"/>
    </row>
    <row r="553" spans="11:11" ht="30" customHeight="1">
      <c r="K553" s="39"/>
    </row>
    <row r="554" spans="11:11" ht="30" customHeight="1">
      <c r="K554" s="39"/>
    </row>
    <row r="555" spans="11:11" ht="30" customHeight="1">
      <c r="K555" s="39"/>
    </row>
    <row r="556" spans="11:11" ht="30" customHeight="1">
      <c r="K556" s="39"/>
    </row>
    <row r="557" spans="11:11" ht="30" customHeight="1">
      <c r="K557" s="39"/>
    </row>
    <row r="558" spans="11:11" ht="30" customHeight="1">
      <c r="K558" s="39"/>
    </row>
    <row r="559" spans="11:11" ht="30" customHeight="1">
      <c r="K559" s="39"/>
    </row>
    <row r="560" spans="11:11" ht="30" customHeight="1">
      <c r="K560" s="39"/>
    </row>
    <row r="561" spans="11:11" ht="30" customHeight="1">
      <c r="K561" s="39"/>
    </row>
    <row r="562" spans="11:11" ht="30" customHeight="1">
      <c r="K562" s="39"/>
    </row>
    <row r="563" spans="11:11" ht="30" customHeight="1">
      <c r="K563" s="39"/>
    </row>
    <row r="564" spans="11:11" ht="30" customHeight="1">
      <c r="K564" s="39"/>
    </row>
    <row r="565" spans="11:11" ht="30" customHeight="1">
      <c r="K565" s="39"/>
    </row>
    <row r="566" spans="11:11" ht="30" customHeight="1">
      <c r="K566" s="39"/>
    </row>
    <row r="567" spans="11:11" ht="30" customHeight="1">
      <c r="K567" s="39"/>
    </row>
    <row r="568" spans="11:11" ht="30" customHeight="1">
      <c r="K568" s="39"/>
    </row>
    <row r="569" spans="11:11" ht="30" customHeight="1">
      <c r="K569" s="39"/>
    </row>
    <row r="570" spans="11:11" ht="30" customHeight="1">
      <c r="K570" s="39"/>
    </row>
    <row r="571" spans="11:11" ht="30" customHeight="1">
      <c r="K571" s="39"/>
    </row>
    <row r="572" spans="11:11" ht="30" customHeight="1">
      <c r="K572" s="39"/>
    </row>
    <row r="573" spans="11:11" ht="30" customHeight="1">
      <c r="K573" s="39"/>
    </row>
    <row r="574" spans="11:11" ht="30" customHeight="1">
      <c r="K574" s="39"/>
    </row>
    <row r="575" spans="11:11" ht="30" customHeight="1">
      <c r="K575" s="39"/>
    </row>
    <row r="576" spans="11:11" ht="30" customHeight="1">
      <c r="K576" s="39"/>
    </row>
    <row r="577" spans="11:11" ht="30" customHeight="1">
      <c r="K577" s="39"/>
    </row>
    <row r="578" spans="11:11" ht="30" customHeight="1">
      <c r="K578" s="39"/>
    </row>
    <row r="579" spans="11:11" ht="30" customHeight="1">
      <c r="K579" s="39"/>
    </row>
    <row r="580" spans="11:11" ht="30" customHeight="1">
      <c r="K580" s="39"/>
    </row>
    <row r="581" spans="11:11" ht="30" customHeight="1">
      <c r="K581" s="39"/>
    </row>
    <row r="582" spans="11:11" ht="30" customHeight="1">
      <c r="K582" s="39"/>
    </row>
    <row r="583" spans="11:11" ht="30" customHeight="1">
      <c r="K583" s="39"/>
    </row>
    <row r="584" spans="11:11" ht="30" customHeight="1">
      <c r="K584" s="39"/>
    </row>
    <row r="585" spans="11:11" ht="30" customHeight="1">
      <c r="K585" s="39"/>
    </row>
    <row r="586" spans="11:11" ht="30" customHeight="1">
      <c r="K586" s="39"/>
    </row>
    <row r="587" spans="11:11" ht="30" customHeight="1">
      <c r="K587" s="39"/>
    </row>
    <row r="588" spans="11:11" ht="30" customHeight="1">
      <c r="K588" s="39"/>
    </row>
    <row r="589" spans="11:11" ht="30" customHeight="1">
      <c r="K589" s="39"/>
    </row>
    <row r="590" spans="11:11" ht="30" customHeight="1">
      <c r="K590" s="39"/>
    </row>
    <row r="591" spans="11:11" ht="30" customHeight="1">
      <c r="K591" s="39"/>
    </row>
    <row r="592" spans="11:11" ht="30" customHeight="1">
      <c r="K592" s="39"/>
    </row>
    <row r="593" spans="11:11" ht="30" customHeight="1">
      <c r="K593" s="39"/>
    </row>
    <row r="594" spans="11:11" ht="30" customHeight="1">
      <c r="K594" s="39"/>
    </row>
    <row r="595" spans="11:11" ht="30" customHeight="1">
      <c r="K595" s="39"/>
    </row>
    <row r="596" spans="11:11" ht="30" customHeight="1">
      <c r="K596" s="39"/>
    </row>
    <row r="597" spans="11:11" ht="30" customHeight="1">
      <c r="K597" s="39"/>
    </row>
    <row r="598" spans="11:11" ht="30" customHeight="1">
      <c r="K598" s="39"/>
    </row>
    <row r="599" spans="11:11" ht="30" customHeight="1">
      <c r="K599" s="39"/>
    </row>
    <row r="600" spans="11:11" ht="30" customHeight="1">
      <c r="K600" s="39"/>
    </row>
    <row r="601" spans="11:11" ht="30" customHeight="1">
      <c r="K601" s="39"/>
    </row>
    <row r="602" spans="11:11" ht="30" customHeight="1">
      <c r="K602" s="39"/>
    </row>
    <row r="603" spans="11:11" ht="30" customHeight="1">
      <c r="K603" s="39"/>
    </row>
    <row r="604" spans="11:11" ht="30" customHeight="1">
      <c r="K604" s="39"/>
    </row>
    <row r="605" spans="11:11" ht="30" customHeight="1">
      <c r="K605" s="39"/>
    </row>
    <row r="606" spans="11:11" ht="30" customHeight="1">
      <c r="K606" s="39"/>
    </row>
    <row r="607" spans="11:11" ht="30" customHeight="1">
      <c r="K607" s="39"/>
    </row>
    <row r="608" spans="11:11" ht="30" customHeight="1">
      <c r="K608" s="39"/>
    </row>
    <row r="609" spans="11:11" ht="30" customHeight="1">
      <c r="K609" s="39"/>
    </row>
    <row r="610" spans="11:11" ht="30" customHeight="1">
      <c r="K610" s="39"/>
    </row>
    <row r="611" spans="11:11" ht="30" customHeight="1">
      <c r="K611" s="39"/>
    </row>
    <row r="612" spans="11:11" ht="30" customHeight="1">
      <c r="K612" s="39"/>
    </row>
    <row r="613" spans="11:11" ht="30" customHeight="1">
      <c r="K613" s="39"/>
    </row>
    <row r="614" spans="11:11" ht="30" customHeight="1">
      <c r="K614" s="39"/>
    </row>
    <row r="615" spans="11:11" ht="30" customHeight="1">
      <c r="K615" s="39"/>
    </row>
    <row r="616" spans="11:11" ht="30" customHeight="1">
      <c r="K616" s="39"/>
    </row>
    <row r="617" spans="11:11" ht="30" customHeight="1">
      <c r="K617" s="39"/>
    </row>
    <row r="618" spans="11:11" ht="30" customHeight="1">
      <c r="K618" s="39"/>
    </row>
    <row r="619" spans="11:11" ht="30" customHeight="1">
      <c r="K619" s="39"/>
    </row>
    <row r="620" spans="11:11" ht="30" customHeight="1">
      <c r="K620" s="39"/>
    </row>
    <row r="621" spans="11:11" ht="30" customHeight="1">
      <c r="K621" s="39"/>
    </row>
    <row r="622" spans="11:11" ht="30" customHeight="1">
      <c r="K622" s="39"/>
    </row>
    <row r="623" spans="11:11" ht="30" customHeight="1">
      <c r="K623" s="39"/>
    </row>
    <row r="624" spans="11:11" ht="30" customHeight="1">
      <c r="K624" s="39"/>
    </row>
    <row r="625" spans="11:11" ht="30" customHeight="1">
      <c r="K625" s="39"/>
    </row>
    <row r="626" spans="11:11" ht="30" customHeight="1">
      <c r="K626" s="39"/>
    </row>
    <row r="627" spans="11:11" ht="30" customHeight="1">
      <c r="K627" s="39"/>
    </row>
    <row r="628" spans="11:11" ht="30" customHeight="1">
      <c r="K628" s="39"/>
    </row>
    <row r="629" spans="11:11" ht="30" customHeight="1">
      <c r="K629" s="39"/>
    </row>
    <row r="630" spans="11:11" ht="30" customHeight="1">
      <c r="K630" s="39"/>
    </row>
    <row r="631" spans="11:11" ht="30" customHeight="1">
      <c r="K631" s="39"/>
    </row>
    <row r="632" spans="11:11" ht="30" customHeight="1">
      <c r="K632" s="39"/>
    </row>
    <row r="633" spans="11:11" ht="30" customHeight="1">
      <c r="K633" s="39"/>
    </row>
    <row r="634" spans="11:11" ht="30" customHeight="1">
      <c r="K634" s="39"/>
    </row>
    <row r="635" spans="11:11" ht="30" customHeight="1">
      <c r="K635" s="39"/>
    </row>
    <row r="636" spans="11:11" ht="30" customHeight="1">
      <c r="K636" s="39"/>
    </row>
    <row r="637" spans="11:11" ht="30" customHeight="1">
      <c r="K637" s="39"/>
    </row>
    <row r="638" spans="11:11" ht="30" customHeight="1">
      <c r="K638" s="39"/>
    </row>
    <row r="639" spans="11:11" ht="30" customHeight="1">
      <c r="K639" s="39"/>
    </row>
    <row r="640" spans="11:11" ht="30" customHeight="1">
      <c r="K640" s="39"/>
    </row>
    <row r="641" spans="11:11" ht="30" customHeight="1">
      <c r="K641" s="39"/>
    </row>
    <row r="642" spans="11:11" ht="30" customHeight="1">
      <c r="K642" s="39"/>
    </row>
    <row r="643" spans="11:11" ht="30" customHeight="1">
      <c r="K643" s="39"/>
    </row>
    <row r="644" spans="11:11" ht="30" customHeight="1">
      <c r="K644" s="39"/>
    </row>
    <row r="645" spans="11:11" ht="30" customHeight="1">
      <c r="K645" s="39"/>
    </row>
    <row r="646" spans="11:11" ht="30" customHeight="1">
      <c r="K646" s="39"/>
    </row>
    <row r="647" spans="11:11" ht="30" customHeight="1">
      <c r="K647" s="39"/>
    </row>
    <row r="648" spans="11:11" ht="30" customHeight="1">
      <c r="K648" s="39"/>
    </row>
    <row r="649" spans="11:11" ht="30" customHeight="1">
      <c r="K649" s="39"/>
    </row>
    <row r="650" spans="11:11" ht="30" customHeight="1">
      <c r="K650" s="39"/>
    </row>
    <row r="651" spans="11:11" ht="30" customHeight="1">
      <c r="K651" s="39"/>
    </row>
    <row r="652" spans="11:11" ht="30" customHeight="1">
      <c r="K652" s="39"/>
    </row>
    <row r="653" spans="11:11" ht="30" customHeight="1">
      <c r="K653" s="39"/>
    </row>
    <row r="654" spans="11:11" ht="30" customHeight="1">
      <c r="K654" s="39"/>
    </row>
    <row r="655" spans="11:11" ht="30" customHeight="1">
      <c r="K655" s="39"/>
    </row>
    <row r="656" spans="11:11" ht="30" customHeight="1">
      <c r="K656" s="39"/>
    </row>
    <row r="657" spans="11:11" ht="30" customHeight="1">
      <c r="K657" s="39"/>
    </row>
    <row r="658" spans="11:11" ht="30" customHeight="1">
      <c r="K658" s="39"/>
    </row>
    <row r="659" spans="11:11" ht="30" customHeight="1">
      <c r="K659" s="39"/>
    </row>
    <row r="660" spans="11:11" ht="30" customHeight="1">
      <c r="K660" s="39"/>
    </row>
    <row r="661" spans="11:11" ht="30" customHeight="1">
      <c r="K661" s="39"/>
    </row>
    <row r="662" spans="11:11" ht="30" customHeight="1">
      <c r="K662" s="39"/>
    </row>
    <row r="663" spans="11:11" ht="30" customHeight="1">
      <c r="K663" s="39"/>
    </row>
    <row r="664" spans="11:11" ht="30" customHeight="1">
      <c r="K664" s="39"/>
    </row>
    <row r="665" spans="11:11" ht="30" customHeight="1">
      <c r="K665" s="39"/>
    </row>
    <row r="666" spans="11:11" ht="30" customHeight="1">
      <c r="K666" s="39"/>
    </row>
    <row r="667" spans="11:11" ht="30" customHeight="1">
      <c r="K667" s="39"/>
    </row>
    <row r="668" spans="11:11" ht="30" customHeight="1">
      <c r="K668" s="39"/>
    </row>
    <row r="669" spans="11:11" ht="30" customHeight="1">
      <c r="K669" s="39"/>
    </row>
    <row r="670" spans="11:11" ht="30" customHeight="1">
      <c r="K670" s="39"/>
    </row>
    <row r="671" spans="11:11" ht="30" customHeight="1">
      <c r="K671" s="39"/>
    </row>
    <row r="672" spans="11:11" ht="30" customHeight="1">
      <c r="K672" s="39"/>
    </row>
    <row r="673" spans="11:11" ht="30" customHeight="1">
      <c r="K673" s="39"/>
    </row>
    <row r="674" spans="11:11" ht="30" customHeight="1">
      <c r="K674" s="39"/>
    </row>
    <row r="675" spans="11:11" ht="30" customHeight="1">
      <c r="K675" s="39"/>
    </row>
    <row r="676" spans="11:11" ht="30" customHeight="1">
      <c r="K676" s="39"/>
    </row>
    <row r="677" spans="11:11" ht="30" customHeight="1">
      <c r="K677" s="39"/>
    </row>
    <row r="678" spans="11:11" ht="30" customHeight="1">
      <c r="K678" s="39"/>
    </row>
    <row r="679" spans="11:11" ht="30" customHeight="1">
      <c r="K679" s="39"/>
    </row>
    <row r="680" spans="11:11" ht="30" customHeight="1">
      <c r="K680" s="39"/>
    </row>
    <row r="681" spans="11:11" ht="30" customHeight="1">
      <c r="K681" s="39"/>
    </row>
    <row r="682" spans="11:11" ht="30" customHeight="1">
      <c r="K682" s="39"/>
    </row>
    <row r="683" spans="11:11" ht="30" customHeight="1">
      <c r="K683" s="39"/>
    </row>
    <row r="684" spans="11:11" ht="30" customHeight="1">
      <c r="K684" s="39"/>
    </row>
    <row r="685" spans="11:11" ht="30" customHeight="1">
      <c r="K685" s="39"/>
    </row>
    <row r="686" spans="11:11" ht="30" customHeight="1">
      <c r="K686" s="39"/>
    </row>
    <row r="687" spans="11:11" ht="30" customHeight="1">
      <c r="K687" s="39"/>
    </row>
    <row r="688" spans="11:11" ht="30" customHeight="1">
      <c r="K688" s="39"/>
    </row>
    <row r="689" spans="11:11" ht="30" customHeight="1">
      <c r="K689" s="39"/>
    </row>
    <row r="690" spans="11:11" ht="30" customHeight="1">
      <c r="K690" s="39"/>
    </row>
    <row r="691" spans="11:11" ht="30" customHeight="1">
      <c r="K691" s="39"/>
    </row>
    <row r="692" spans="11:11" ht="30" customHeight="1">
      <c r="K692" s="39"/>
    </row>
    <row r="693" spans="11:11" ht="30" customHeight="1">
      <c r="K693" s="39"/>
    </row>
    <row r="694" spans="11:11" ht="30" customHeight="1">
      <c r="K694" s="39"/>
    </row>
    <row r="695" spans="11:11" ht="30" customHeight="1">
      <c r="K695" s="39"/>
    </row>
    <row r="696" spans="11:11" ht="30" customHeight="1">
      <c r="K696" s="39"/>
    </row>
    <row r="697" spans="11:11" ht="30" customHeight="1">
      <c r="K697" s="39"/>
    </row>
    <row r="698" spans="11:11" ht="30" customHeight="1">
      <c r="K698" s="39"/>
    </row>
    <row r="699" spans="11:11" ht="30" customHeight="1">
      <c r="K699" s="39"/>
    </row>
    <row r="700" spans="11:11" ht="30" customHeight="1">
      <c r="K700" s="39"/>
    </row>
    <row r="701" spans="11:11" ht="30" customHeight="1">
      <c r="K701" s="39"/>
    </row>
    <row r="702" spans="11:11" ht="30" customHeight="1">
      <c r="K702" s="39"/>
    </row>
    <row r="703" spans="11:11" ht="30" customHeight="1">
      <c r="K703" s="39"/>
    </row>
    <row r="704" spans="11:11" ht="30" customHeight="1">
      <c r="K704" s="39"/>
    </row>
    <row r="705" spans="11:11" ht="30" customHeight="1">
      <c r="K705" s="39"/>
    </row>
    <row r="706" spans="11:11" ht="30" customHeight="1">
      <c r="K706" s="39"/>
    </row>
    <row r="707" spans="11:11" ht="30" customHeight="1">
      <c r="K707" s="39"/>
    </row>
    <row r="708" spans="11:11" ht="30" customHeight="1">
      <c r="K708" s="39"/>
    </row>
    <row r="709" spans="11:11" ht="30" customHeight="1">
      <c r="K709" s="39"/>
    </row>
    <row r="710" spans="11:11" ht="30" customHeight="1">
      <c r="K710" s="39"/>
    </row>
    <row r="711" spans="11:11" ht="30" customHeight="1">
      <c r="K711" s="39"/>
    </row>
    <row r="712" spans="11:11" ht="30" customHeight="1">
      <c r="K712" s="39"/>
    </row>
    <row r="713" spans="11:11" ht="30" customHeight="1">
      <c r="K713" s="39"/>
    </row>
    <row r="714" spans="11:11" ht="30" customHeight="1">
      <c r="K714" s="39"/>
    </row>
    <row r="715" spans="11:11" ht="30" customHeight="1">
      <c r="K715" s="39"/>
    </row>
    <row r="716" spans="11:11" ht="30" customHeight="1">
      <c r="K716" s="39"/>
    </row>
    <row r="717" spans="11:11" ht="30" customHeight="1">
      <c r="K717" s="39"/>
    </row>
    <row r="718" spans="11:11" ht="30" customHeight="1">
      <c r="K718" s="39"/>
    </row>
    <row r="719" spans="11:11" ht="30" customHeight="1">
      <c r="K719" s="39"/>
    </row>
    <row r="720" spans="11:11" ht="30" customHeight="1">
      <c r="K720" s="39"/>
    </row>
    <row r="721" spans="11:11" ht="30" customHeight="1">
      <c r="K721" s="39"/>
    </row>
    <row r="722" spans="11:11" ht="30" customHeight="1">
      <c r="K722" s="39"/>
    </row>
    <row r="723" spans="11:11" ht="30" customHeight="1">
      <c r="K723" s="39"/>
    </row>
    <row r="724" spans="11:11" ht="30" customHeight="1">
      <c r="K724" s="39"/>
    </row>
    <row r="725" spans="11:11" ht="30" customHeight="1">
      <c r="K725" s="39"/>
    </row>
    <row r="726" spans="11:11" ht="30" customHeight="1">
      <c r="K726" s="39"/>
    </row>
    <row r="727" spans="11:11" ht="30" customHeight="1">
      <c r="K727" s="39"/>
    </row>
    <row r="728" spans="11:11" ht="30" customHeight="1">
      <c r="K728" s="39"/>
    </row>
    <row r="729" spans="11:11" ht="30" customHeight="1">
      <c r="K729" s="39"/>
    </row>
    <row r="730" spans="11:11" ht="30" customHeight="1">
      <c r="K730" s="39"/>
    </row>
    <row r="731" spans="11:11" ht="30" customHeight="1">
      <c r="K731" s="39"/>
    </row>
    <row r="732" spans="11:11" ht="30" customHeight="1">
      <c r="K732" s="39"/>
    </row>
    <row r="733" spans="11:11" ht="30" customHeight="1">
      <c r="K733" s="39"/>
    </row>
    <row r="734" spans="11:11" ht="30" customHeight="1">
      <c r="K734" s="39"/>
    </row>
    <row r="735" spans="11:11" ht="30" customHeight="1">
      <c r="K735" s="39"/>
    </row>
    <row r="736" spans="11:11" ht="30" customHeight="1">
      <c r="K736" s="39"/>
    </row>
    <row r="737" spans="11:11" ht="30" customHeight="1">
      <c r="K737" s="39"/>
    </row>
    <row r="738" spans="11:11" ht="30" customHeight="1">
      <c r="K738" s="39"/>
    </row>
    <row r="739" spans="11:11" ht="30" customHeight="1">
      <c r="K739" s="39"/>
    </row>
    <row r="740" spans="11:11" ht="30" customHeight="1">
      <c r="K740" s="39"/>
    </row>
    <row r="741" spans="11:11" ht="30" customHeight="1">
      <c r="K741" s="39"/>
    </row>
    <row r="742" spans="11:11" ht="30" customHeight="1">
      <c r="K742" s="39"/>
    </row>
    <row r="743" spans="11:11" ht="30" customHeight="1">
      <c r="K743" s="39"/>
    </row>
    <row r="744" spans="11:11" ht="30" customHeight="1">
      <c r="K744" s="39"/>
    </row>
    <row r="745" spans="11:11" ht="30" customHeight="1">
      <c r="K745" s="39"/>
    </row>
    <row r="746" spans="11:11" ht="30" customHeight="1">
      <c r="K746" s="39"/>
    </row>
    <row r="747" spans="11:11" ht="30" customHeight="1">
      <c r="K747" s="39"/>
    </row>
    <row r="748" spans="11:11" ht="30" customHeight="1">
      <c r="K748" s="39"/>
    </row>
    <row r="749" spans="11:11" ht="30" customHeight="1">
      <c r="K749" s="39"/>
    </row>
    <row r="750" spans="11:11" ht="30" customHeight="1">
      <c r="K750" s="39"/>
    </row>
    <row r="751" spans="11:11" ht="30" customHeight="1">
      <c r="K751" s="39"/>
    </row>
    <row r="752" spans="11:11" ht="30" customHeight="1">
      <c r="K752" s="39"/>
    </row>
    <row r="753" spans="11:11" ht="30" customHeight="1">
      <c r="K753" s="39"/>
    </row>
    <row r="754" spans="11:11" ht="30" customHeight="1">
      <c r="K754" s="39"/>
    </row>
    <row r="755" spans="11:11" ht="30" customHeight="1">
      <c r="K755" s="39"/>
    </row>
    <row r="756" spans="11:11" ht="30" customHeight="1">
      <c r="K756" s="39"/>
    </row>
    <row r="757" spans="11:11" ht="30" customHeight="1">
      <c r="K757" s="39"/>
    </row>
    <row r="758" spans="11:11" ht="30" customHeight="1">
      <c r="K758" s="39"/>
    </row>
    <row r="759" spans="11:11" ht="30" customHeight="1">
      <c r="K759" s="39"/>
    </row>
    <row r="760" spans="11:11" ht="30" customHeight="1">
      <c r="K760" s="39"/>
    </row>
    <row r="761" spans="11:11" ht="30" customHeight="1">
      <c r="K761" s="39"/>
    </row>
    <row r="762" spans="11:11" ht="30" customHeight="1">
      <c r="K762" s="39"/>
    </row>
    <row r="763" spans="11:11" ht="30" customHeight="1">
      <c r="K763" s="39"/>
    </row>
    <row r="764" spans="11:11" ht="30" customHeight="1">
      <c r="K764" s="39"/>
    </row>
    <row r="765" spans="11:11" ht="30" customHeight="1">
      <c r="K765" s="39"/>
    </row>
    <row r="766" spans="11:11" ht="30" customHeight="1">
      <c r="K766" s="39"/>
    </row>
    <row r="767" spans="11:11" ht="30" customHeight="1">
      <c r="K767" s="39"/>
    </row>
    <row r="768" spans="11:11" ht="30" customHeight="1">
      <c r="K768" s="39"/>
    </row>
    <row r="769" spans="11:11" ht="30" customHeight="1">
      <c r="K769" s="39"/>
    </row>
    <row r="770" spans="11:11" ht="30" customHeight="1">
      <c r="K770" s="39"/>
    </row>
    <row r="771" spans="11:11" ht="30" customHeight="1">
      <c r="K771" s="39"/>
    </row>
    <row r="772" spans="11:11" ht="30" customHeight="1">
      <c r="K772" s="39"/>
    </row>
    <row r="773" spans="11:11" ht="30" customHeight="1">
      <c r="K773" s="39"/>
    </row>
    <row r="774" spans="11:11" ht="30" customHeight="1">
      <c r="K774" s="39"/>
    </row>
    <row r="775" spans="11:11" ht="30" customHeight="1">
      <c r="K775" s="39"/>
    </row>
    <row r="776" spans="11:11" ht="30" customHeight="1">
      <c r="K776" s="39"/>
    </row>
    <row r="777" spans="11:11" ht="30" customHeight="1">
      <c r="K777" s="39"/>
    </row>
    <row r="778" spans="11:11" ht="30" customHeight="1">
      <c r="K778" s="39"/>
    </row>
    <row r="779" spans="11:11" ht="30" customHeight="1">
      <c r="K779" s="39"/>
    </row>
    <row r="780" spans="11:11" ht="30" customHeight="1">
      <c r="K780" s="39"/>
    </row>
    <row r="781" spans="11:11" ht="30" customHeight="1">
      <c r="K781" s="39"/>
    </row>
    <row r="782" spans="11:11" ht="30" customHeight="1">
      <c r="K782" s="39"/>
    </row>
    <row r="783" spans="11:11" ht="30" customHeight="1">
      <c r="K783" s="39"/>
    </row>
    <row r="784" spans="11:11" ht="30" customHeight="1">
      <c r="K784" s="39"/>
    </row>
    <row r="785" spans="11:11" ht="30" customHeight="1">
      <c r="K785" s="39"/>
    </row>
    <row r="786" spans="11:11" ht="30" customHeight="1">
      <c r="K786" s="39"/>
    </row>
    <row r="787" spans="11:11" ht="30" customHeight="1">
      <c r="K787" s="39"/>
    </row>
    <row r="788" spans="11:11" ht="30" customHeight="1">
      <c r="K788" s="39"/>
    </row>
    <row r="789" spans="11:11" ht="30" customHeight="1">
      <c r="K789" s="39"/>
    </row>
    <row r="790" spans="11:11" ht="30" customHeight="1">
      <c r="K790" s="39"/>
    </row>
    <row r="791" spans="11:11" ht="30" customHeight="1">
      <c r="K791" s="39"/>
    </row>
    <row r="792" spans="11:11" ht="30" customHeight="1">
      <c r="K792" s="39"/>
    </row>
    <row r="793" spans="11:11" ht="30" customHeight="1">
      <c r="K793" s="39"/>
    </row>
    <row r="794" spans="11:11" ht="30" customHeight="1">
      <c r="K794" s="39"/>
    </row>
    <row r="795" spans="11:11" ht="30" customHeight="1">
      <c r="K795" s="39"/>
    </row>
    <row r="796" spans="11:11" ht="30" customHeight="1">
      <c r="K796" s="39"/>
    </row>
    <row r="797" spans="11:11" ht="30" customHeight="1">
      <c r="K797" s="39"/>
    </row>
    <row r="798" spans="11:11" ht="30" customHeight="1">
      <c r="K798" s="39"/>
    </row>
    <row r="799" spans="11:11" ht="30" customHeight="1">
      <c r="K799" s="39"/>
    </row>
    <row r="800" spans="11:11" ht="30" customHeight="1">
      <c r="K800" s="39"/>
    </row>
    <row r="801" spans="11:11" ht="30" customHeight="1">
      <c r="K801" s="39"/>
    </row>
    <row r="802" spans="11:11" ht="30" customHeight="1">
      <c r="K802" s="39"/>
    </row>
    <row r="803" spans="11:11" ht="30" customHeight="1">
      <c r="K803" s="39"/>
    </row>
    <row r="804" spans="11:11" ht="30" customHeight="1">
      <c r="K804" s="39"/>
    </row>
    <row r="805" spans="11:11" ht="30" customHeight="1">
      <c r="K805" s="39"/>
    </row>
    <row r="806" spans="11:11" ht="30" customHeight="1">
      <c r="K806" s="39"/>
    </row>
    <row r="807" spans="11:11" ht="30" customHeight="1">
      <c r="K807" s="39"/>
    </row>
    <row r="808" spans="11:11" ht="30" customHeight="1">
      <c r="K808" s="39"/>
    </row>
    <row r="809" spans="11:11" ht="30" customHeight="1">
      <c r="K809" s="39"/>
    </row>
    <row r="810" spans="11:11" ht="30" customHeight="1">
      <c r="K810" s="39"/>
    </row>
    <row r="811" spans="11:11" ht="30" customHeight="1">
      <c r="K811" s="39"/>
    </row>
    <row r="812" spans="11:11" ht="30" customHeight="1">
      <c r="K812" s="39"/>
    </row>
    <row r="813" spans="11:11" ht="30" customHeight="1">
      <c r="K813" s="39"/>
    </row>
    <row r="814" spans="11:11" ht="30" customHeight="1">
      <c r="K814" s="39"/>
    </row>
    <row r="815" spans="11:11" ht="30" customHeight="1">
      <c r="K815" s="39"/>
    </row>
    <row r="816" spans="11:11" ht="30" customHeight="1">
      <c r="K816" s="39"/>
    </row>
    <row r="817" spans="11:11" ht="30" customHeight="1">
      <c r="K817" s="39"/>
    </row>
    <row r="818" spans="11:11" ht="30" customHeight="1">
      <c r="K818" s="39"/>
    </row>
    <row r="819" spans="11:11" ht="30" customHeight="1">
      <c r="K819" s="39"/>
    </row>
  </sheetData>
  <mergeCells count="23">
    <mergeCell ref="G15:I15"/>
    <mergeCell ref="G22:I22"/>
    <mergeCell ref="J22:K22"/>
    <mergeCell ref="G26:I26"/>
    <mergeCell ref="J26:K26"/>
    <mergeCell ref="G18:I18"/>
    <mergeCell ref="J18:K18"/>
    <mergeCell ref="G12:I12"/>
    <mergeCell ref="B19:C19"/>
    <mergeCell ref="A1:E1"/>
    <mergeCell ref="G1:K1"/>
    <mergeCell ref="A12:C12"/>
    <mergeCell ref="D12:E12"/>
    <mergeCell ref="A6:C6"/>
    <mergeCell ref="D6:E6"/>
    <mergeCell ref="G6:I6"/>
    <mergeCell ref="J6:K6"/>
    <mergeCell ref="G9:I9"/>
    <mergeCell ref="J9:K9"/>
    <mergeCell ref="J15:K15"/>
    <mergeCell ref="J12:K12"/>
    <mergeCell ref="A18:C18"/>
    <mergeCell ref="D18:E18"/>
  </mergeCells>
  <pageMargins left="0.7" right="0.7" top="0.75" bottom="0.75" header="0.3" footer="0.3"/>
  <pageSetup scale="46" orientation="portrait" verticalDpi="300" r:id="rId1"/>
  <colBreaks count="1" manualBreakCount="1">
    <brk id="11" max="2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5"/>
  <sheetViews>
    <sheetView view="pageBreakPreview" zoomScale="60" workbookViewId="0">
      <selection activeCell="B16" sqref="B16"/>
    </sheetView>
  </sheetViews>
  <sheetFormatPr defaultRowHeight="20.100000000000001" customHeight="1"/>
  <cols>
    <col min="1" max="1" width="6.5703125" customWidth="1"/>
    <col min="2" max="2" width="8" customWidth="1"/>
    <col min="3" max="4" width="3.7109375" customWidth="1"/>
    <col min="5" max="5" width="3" customWidth="1"/>
    <col min="6" max="6" width="0.28515625" customWidth="1"/>
    <col min="7" max="7" width="6.28515625" customWidth="1"/>
    <col min="8" max="8" width="7" customWidth="1"/>
    <col min="9" max="10" width="2.7109375" customWidth="1"/>
    <col min="11" max="11" width="3" customWidth="1"/>
    <col min="12" max="12" width="0.140625" customWidth="1"/>
    <col min="13" max="13" width="0.42578125" customWidth="1"/>
  </cols>
  <sheetData>
    <row r="1" spans="1:13" ht="40.5" customHeight="1">
      <c r="A1" s="714" t="s">
        <v>93</v>
      </c>
      <c r="B1" s="715"/>
      <c r="C1" s="715"/>
      <c r="D1" s="715"/>
      <c r="E1" s="715"/>
      <c r="F1" s="38"/>
      <c r="G1" s="715" t="s">
        <v>94</v>
      </c>
      <c r="H1" s="715"/>
      <c r="I1" s="715"/>
      <c r="J1" s="715"/>
      <c r="K1" s="715"/>
      <c r="L1" s="42"/>
      <c r="M1" s="46"/>
    </row>
    <row r="2" spans="1:13" s="16" customFormat="1" ht="36" customHeight="1">
      <c r="A2" s="40" t="s">
        <v>4</v>
      </c>
      <c r="B2" s="30" t="s">
        <v>3</v>
      </c>
      <c r="C2" s="30" t="s">
        <v>0</v>
      </c>
      <c r="D2" s="30" t="s">
        <v>1</v>
      </c>
      <c r="E2" s="30" t="s">
        <v>60</v>
      </c>
      <c r="F2" s="41"/>
      <c r="G2" s="40" t="s">
        <v>4</v>
      </c>
      <c r="H2" s="30" t="s">
        <v>3</v>
      </c>
      <c r="I2" s="30" t="s">
        <v>0</v>
      </c>
      <c r="J2" s="30" t="s">
        <v>1</v>
      </c>
      <c r="K2" s="31" t="s">
        <v>60</v>
      </c>
      <c r="L2" s="44"/>
      <c r="M2" s="50"/>
    </row>
    <row r="3" spans="1:13" s="16" customFormat="1" ht="36" customHeight="1">
      <c r="A3" s="20">
        <v>170</v>
      </c>
      <c r="B3" s="19" t="s">
        <v>134</v>
      </c>
      <c r="C3" s="2">
        <v>80</v>
      </c>
      <c r="D3" s="22">
        <v>80</v>
      </c>
      <c r="E3" s="1">
        <f>+C3-D3</f>
        <v>0</v>
      </c>
      <c r="F3" s="27"/>
      <c r="G3" s="20">
        <v>180</v>
      </c>
      <c r="H3" s="19" t="s">
        <v>134</v>
      </c>
      <c r="I3" s="2">
        <v>80</v>
      </c>
      <c r="J3" s="2">
        <v>80</v>
      </c>
      <c r="K3" s="9">
        <f>+I3-J3</f>
        <v>0</v>
      </c>
      <c r="L3" s="32"/>
      <c r="M3" s="50"/>
    </row>
    <row r="4" spans="1:13" s="16" customFormat="1" ht="36" customHeight="1">
      <c r="A4" s="20">
        <v>169</v>
      </c>
      <c r="B4" s="19" t="s">
        <v>134</v>
      </c>
      <c r="C4" s="2">
        <v>80</v>
      </c>
      <c r="D4" s="22">
        <v>80</v>
      </c>
      <c r="E4" s="1">
        <f t="shared" ref="E4:E16" si="0">+C4-D4</f>
        <v>0</v>
      </c>
      <c r="F4" s="27"/>
      <c r="G4" s="20">
        <v>179</v>
      </c>
      <c r="H4" s="19" t="s">
        <v>134</v>
      </c>
      <c r="I4" s="2">
        <v>80</v>
      </c>
      <c r="J4" s="2">
        <v>80</v>
      </c>
      <c r="K4" s="9">
        <f>+I4-J4</f>
        <v>0</v>
      </c>
      <c r="L4" s="32"/>
      <c r="M4" s="50"/>
    </row>
    <row r="5" spans="1:13" s="16" customFormat="1" ht="36" customHeight="1">
      <c r="A5" s="121" t="s">
        <v>83</v>
      </c>
      <c r="B5" s="28">
        <f>+D5*58</f>
        <v>9280</v>
      </c>
      <c r="C5" s="20">
        <f>+C4+C3</f>
        <v>160</v>
      </c>
      <c r="D5" s="20">
        <f>+SUM(D1:D4)</f>
        <v>160</v>
      </c>
      <c r="E5" s="20">
        <f>+SUM(E1:E4)</f>
        <v>0</v>
      </c>
      <c r="F5" s="33"/>
      <c r="G5" s="121" t="s">
        <v>83</v>
      </c>
      <c r="H5" s="28">
        <f>+J5*58</f>
        <v>9280</v>
      </c>
      <c r="I5" s="20">
        <f>+SUM(I3:I4)</f>
        <v>160</v>
      </c>
      <c r="J5" s="20">
        <f>+SUM(J3:J4)</f>
        <v>160</v>
      </c>
      <c r="K5" s="20">
        <f>+SUM(K3:K4)</f>
        <v>0</v>
      </c>
      <c r="L5" s="32"/>
      <c r="M5" s="50"/>
    </row>
    <row r="6" spans="1:13" s="16" customFormat="1" ht="36" customHeight="1">
      <c r="A6" s="703" t="s">
        <v>84</v>
      </c>
      <c r="B6" s="704"/>
      <c r="C6" s="705"/>
      <c r="D6" s="710">
        <f>+B5/6</f>
        <v>1546.6666666666667</v>
      </c>
      <c r="E6" s="711"/>
      <c r="F6" s="33"/>
      <c r="G6" s="703" t="s">
        <v>84</v>
      </c>
      <c r="H6" s="704"/>
      <c r="I6" s="705"/>
      <c r="J6" s="710">
        <f>+H5/6</f>
        <v>1546.6666666666667</v>
      </c>
      <c r="K6" s="711"/>
      <c r="L6" s="32"/>
      <c r="M6" s="50"/>
    </row>
    <row r="7" spans="1:13" s="16" customFormat="1" ht="36" customHeight="1">
      <c r="A7" s="20">
        <v>168</v>
      </c>
      <c r="B7" s="19" t="s">
        <v>133</v>
      </c>
      <c r="C7" s="2">
        <v>80</v>
      </c>
      <c r="D7" s="37">
        <v>80</v>
      </c>
      <c r="E7" s="49">
        <f t="shared" si="0"/>
        <v>0</v>
      </c>
      <c r="F7" s="33"/>
      <c r="G7" s="20">
        <v>178</v>
      </c>
      <c r="H7" s="19" t="s">
        <v>139</v>
      </c>
      <c r="I7" s="2">
        <v>80</v>
      </c>
      <c r="J7" s="2">
        <v>80</v>
      </c>
      <c r="K7" s="9">
        <f t="shared" ref="K7:K22" si="1">+I7-J7</f>
        <v>0</v>
      </c>
      <c r="L7" s="32"/>
      <c r="M7" s="50"/>
    </row>
    <row r="8" spans="1:13" s="16" customFormat="1" ht="36" customHeight="1">
      <c r="A8" s="20">
        <v>167</v>
      </c>
      <c r="B8" s="19" t="s">
        <v>133</v>
      </c>
      <c r="C8" s="2">
        <v>80</v>
      </c>
      <c r="D8" s="21">
        <v>80</v>
      </c>
      <c r="E8" s="24">
        <f t="shared" si="0"/>
        <v>0</v>
      </c>
      <c r="F8" s="33"/>
      <c r="G8" s="121" t="s">
        <v>83</v>
      </c>
      <c r="H8" s="28">
        <f>+J8*58</f>
        <v>4640</v>
      </c>
      <c r="I8" s="20">
        <f>+SUM(I7)</f>
        <v>80</v>
      </c>
      <c r="J8" s="20">
        <f>+SUM(J7)</f>
        <v>80</v>
      </c>
      <c r="K8" s="20">
        <f>+SUM(K7)</f>
        <v>0</v>
      </c>
      <c r="L8" s="32"/>
      <c r="M8" s="50"/>
    </row>
    <row r="9" spans="1:13" s="16" customFormat="1" ht="36" customHeight="1">
      <c r="A9" s="20">
        <v>166</v>
      </c>
      <c r="B9" s="19" t="s">
        <v>133</v>
      </c>
      <c r="C9" s="2">
        <v>80</v>
      </c>
      <c r="D9" s="21">
        <v>80</v>
      </c>
      <c r="E9" s="24">
        <f t="shared" si="0"/>
        <v>0</v>
      </c>
      <c r="F9" s="33"/>
      <c r="G9" s="703" t="s">
        <v>84</v>
      </c>
      <c r="H9" s="704"/>
      <c r="I9" s="705"/>
      <c r="J9" s="710">
        <f>+H8/6</f>
        <v>773.33333333333337</v>
      </c>
      <c r="K9" s="711"/>
      <c r="L9" s="32"/>
      <c r="M9" s="50"/>
    </row>
    <row r="10" spans="1:13" s="16" customFormat="1" ht="36" customHeight="1">
      <c r="A10" s="20">
        <v>165</v>
      </c>
      <c r="B10" s="19" t="s">
        <v>133</v>
      </c>
      <c r="C10" s="2">
        <v>80</v>
      </c>
      <c r="D10" s="21">
        <v>80</v>
      </c>
      <c r="E10" s="24">
        <f t="shared" si="0"/>
        <v>0</v>
      </c>
      <c r="F10" s="33"/>
      <c r="G10" s="20">
        <v>177</v>
      </c>
      <c r="H10" s="19" t="s">
        <v>138</v>
      </c>
      <c r="I10" s="2">
        <v>80</v>
      </c>
      <c r="J10" s="2">
        <v>80</v>
      </c>
      <c r="K10" s="9">
        <f t="shared" si="1"/>
        <v>0</v>
      </c>
      <c r="L10" s="32"/>
      <c r="M10" s="50"/>
    </row>
    <row r="11" spans="1:13" s="16" customFormat="1" ht="36" customHeight="1">
      <c r="A11" s="121" t="s">
        <v>83</v>
      </c>
      <c r="B11" s="28">
        <f>+D11*58</f>
        <v>18560</v>
      </c>
      <c r="C11" s="20">
        <f>+SUM(C7:C10)</f>
        <v>320</v>
      </c>
      <c r="D11" s="20">
        <f>+SUM(D7:D10)</f>
        <v>320</v>
      </c>
      <c r="E11" s="20">
        <f>+SUM(E7:E10)</f>
        <v>0</v>
      </c>
      <c r="F11" s="33"/>
      <c r="G11" s="121" t="s">
        <v>83</v>
      </c>
      <c r="H11" s="28">
        <f>+J11*58</f>
        <v>4640</v>
      </c>
      <c r="I11" s="20">
        <f>+SUM(I10)</f>
        <v>80</v>
      </c>
      <c r="J11" s="20">
        <f>+SUM(J10)</f>
        <v>80</v>
      </c>
      <c r="K11" s="20">
        <f>+SUM(K10)</f>
        <v>0</v>
      </c>
      <c r="L11" s="32"/>
      <c r="M11" s="50"/>
    </row>
    <row r="12" spans="1:13" s="16" customFormat="1" ht="36" customHeight="1">
      <c r="A12" s="703" t="s">
        <v>84</v>
      </c>
      <c r="B12" s="704"/>
      <c r="C12" s="705"/>
      <c r="D12" s="710">
        <f>+B11/6</f>
        <v>3093.3333333333335</v>
      </c>
      <c r="E12" s="711"/>
      <c r="F12" s="33"/>
      <c r="G12" s="703" t="s">
        <v>84</v>
      </c>
      <c r="H12" s="704"/>
      <c r="I12" s="705"/>
      <c r="J12" s="710">
        <f>+H11/6</f>
        <v>773.33333333333337</v>
      </c>
      <c r="K12" s="711"/>
      <c r="L12" s="32"/>
      <c r="M12" s="50"/>
    </row>
    <row r="13" spans="1:13" s="16" customFormat="1" ht="36" customHeight="1">
      <c r="A13" s="20">
        <v>164</v>
      </c>
      <c r="B13" s="19" t="s">
        <v>132</v>
      </c>
      <c r="C13" s="2">
        <v>80</v>
      </c>
      <c r="D13" s="21">
        <v>80</v>
      </c>
      <c r="E13" s="24">
        <f t="shared" si="0"/>
        <v>0</v>
      </c>
      <c r="F13" s="33"/>
      <c r="G13" s="20">
        <v>176</v>
      </c>
      <c r="H13" s="19" t="s">
        <v>137</v>
      </c>
      <c r="I13" s="2">
        <v>80</v>
      </c>
      <c r="J13" s="2">
        <v>80</v>
      </c>
      <c r="K13" s="1">
        <f t="shared" si="1"/>
        <v>0</v>
      </c>
      <c r="L13" s="32"/>
      <c r="M13" s="50"/>
    </row>
    <row r="14" spans="1:13" s="16" customFormat="1" ht="36" customHeight="1">
      <c r="A14" s="20">
        <v>163</v>
      </c>
      <c r="B14" s="19" t="s">
        <v>132</v>
      </c>
      <c r="C14" s="2">
        <v>80</v>
      </c>
      <c r="D14" s="21">
        <v>80</v>
      </c>
      <c r="E14" s="24">
        <f t="shared" si="0"/>
        <v>0</v>
      </c>
      <c r="F14" s="51"/>
      <c r="G14" s="121" t="s">
        <v>83</v>
      </c>
      <c r="H14" s="28">
        <f>+J14*58</f>
        <v>112906.66666666669</v>
      </c>
      <c r="I14" s="20">
        <f>+SUM(I7:I13)</f>
        <v>400</v>
      </c>
      <c r="J14" s="20">
        <f>+SUM(J7:J13)</f>
        <v>1946.666666666667</v>
      </c>
      <c r="K14" s="20">
        <f>+SUM(K7:K13)</f>
        <v>0</v>
      </c>
      <c r="L14" s="32"/>
      <c r="M14" s="50"/>
    </row>
    <row r="15" spans="1:13" s="16" customFormat="1" ht="36" customHeight="1">
      <c r="A15" s="20">
        <v>162</v>
      </c>
      <c r="B15" s="19" t="s">
        <v>132</v>
      </c>
      <c r="C15" s="2">
        <v>80</v>
      </c>
      <c r="D15" s="3">
        <v>80</v>
      </c>
      <c r="E15" s="24">
        <f t="shared" si="0"/>
        <v>0</v>
      </c>
      <c r="F15" s="41"/>
      <c r="G15" s="703" t="s">
        <v>84</v>
      </c>
      <c r="H15" s="704"/>
      <c r="I15" s="705"/>
      <c r="J15" s="710">
        <f>+H14/6</f>
        <v>18817.777777777781</v>
      </c>
      <c r="K15" s="711"/>
      <c r="L15" s="32"/>
      <c r="M15" s="50"/>
    </row>
    <row r="16" spans="1:13" s="16" customFormat="1" ht="36" customHeight="1">
      <c r="A16" s="20">
        <v>161</v>
      </c>
      <c r="B16" s="19" t="s">
        <v>132</v>
      </c>
      <c r="C16" s="2">
        <v>80</v>
      </c>
      <c r="D16" s="3">
        <v>80</v>
      </c>
      <c r="E16" s="24">
        <f t="shared" si="0"/>
        <v>0</v>
      </c>
      <c r="F16" s="27"/>
      <c r="G16" s="20">
        <v>175</v>
      </c>
      <c r="H16" s="19" t="s">
        <v>136</v>
      </c>
      <c r="I16" s="2">
        <v>80</v>
      </c>
      <c r="J16" s="2">
        <v>80</v>
      </c>
      <c r="K16" s="1">
        <f t="shared" si="1"/>
        <v>0</v>
      </c>
      <c r="L16" s="32"/>
      <c r="M16" s="50"/>
    </row>
    <row r="17" spans="1:13" s="16" customFormat="1" ht="36" customHeight="1">
      <c r="A17" s="121" t="s">
        <v>83</v>
      </c>
      <c r="B17" s="28">
        <f>+D17*58</f>
        <v>18560</v>
      </c>
      <c r="C17" s="20">
        <f>+SUM(C13:C16)</f>
        <v>320</v>
      </c>
      <c r="D17" s="20">
        <f>+SUM(D13:D16)</f>
        <v>320</v>
      </c>
      <c r="E17" s="20">
        <f>+SUM(E13:E16)</f>
        <v>0</v>
      </c>
      <c r="F17" s="33"/>
      <c r="G17" s="20">
        <v>174</v>
      </c>
      <c r="H17" s="19" t="s">
        <v>136</v>
      </c>
      <c r="I17" s="2">
        <v>80</v>
      </c>
      <c r="J17" s="2">
        <v>80</v>
      </c>
      <c r="K17" s="1">
        <f t="shared" si="1"/>
        <v>0</v>
      </c>
      <c r="L17" s="32"/>
      <c r="M17" s="50"/>
    </row>
    <row r="18" spans="1:13" s="16" customFormat="1" ht="36" customHeight="1">
      <c r="A18" s="703" t="s">
        <v>84</v>
      </c>
      <c r="B18" s="704"/>
      <c r="C18" s="705"/>
      <c r="D18" s="710">
        <f>+B17/6</f>
        <v>3093.3333333333335</v>
      </c>
      <c r="E18" s="711"/>
      <c r="F18" s="33"/>
      <c r="G18" s="20">
        <v>173</v>
      </c>
      <c r="H18" s="19" t="s">
        <v>136</v>
      </c>
      <c r="I18" s="2">
        <v>80</v>
      </c>
      <c r="J18" s="2">
        <v>80</v>
      </c>
      <c r="K18" s="1">
        <f t="shared" si="1"/>
        <v>0</v>
      </c>
      <c r="L18" s="32"/>
      <c r="M18" s="50"/>
    </row>
    <row r="19" spans="1:13" s="16" customFormat="1" ht="36" customHeight="1">
      <c r="A19" s="34"/>
      <c r="B19" s="712"/>
      <c r="C19" s="713"/>
      <c r="D19" s="35"/>
      <c r="E19" s="34"/>
      <c r="F19" s="13"/>
      <c r="G19" s="121" t="s">
        <v>83</v>
      </c>
      <c r="H19" s="28">
        <f>+J19*58</f>
        <v>13920</v>
      </c>
      <c r="I19" s="20">
        <f>+SUM(I16:I18)</f>
        <v>240</v>
      </c>
      <c r="J19" s="20">
        <f>+SUM(J16:J18)</f>
        <v>240</v>
      </c>
      <c r="K19" s="20">
        <f>+SUM(K16:K18)</f>
        <v>0</v>
      </c>
      <c r="L19" s="33"/>
      <c r="M19" s="50"/>
    </row>
    <row r="20" spans="1:13" s="16" customFormat="1" ht="36" customHeight="1">
      <c r="G20" s="703" t="s">
        <v>84</v>
      </c>
      <c r="H20" s="704"/>
      <c r="I20" s="705"/>
      <c r="J20" s="710">
        <f>+H19/6</f>
        <v>2320</v>
      </c>
      <c r="K20" s="711"/>
      <c r="L20" s="33"/>
      <c r="M20" s="36"/>
    </row>
    <row r="21" spans="1:13" s="16" customFormat="1" ht="36" customHeight="1">
      <c r="G21" s="20">
        <v>172</v>
      </c>
      <c r="H21" s="19" t="s">
        <v>135</v>
      </c>
      <c r="I21" s="2">
        <v>80</v>
      </c>
      <c r="J21" s="2">
        <v>80</v>
      </c>
      <c r="K21" s="9">
        <f t="shared" si="1"/>
        <v>0</v>
      </c>
      <c r="L21" s="36"/>
      <c r="M21" s="36"/>
    </row>
    <row r="22" spans="1:13" s="16" customFormat="1" ht="36" customHeight="1">
      <c r="G22" s="20">
        <v>171</v>
      </c>
      <c r="H22" s="19" t="s">
        <v>135</v>
      </c>
      <c r="I22" s="2">
        <v>80</v>
      </c>
      <c r="J22" s="2">
        <v>43</v>
      </c>
      <c r="K22" s="9">
        <f t="shared" si="1"/>
        <v>37</v>
      </c>
      <c r="M22" s="50"/>
    </row>
    <row r="23" spans="1:13" s="16" customFormat="1" ht="36" customHeight="1">
      <c r="G23" s="121" t="s">
        <v>83</v>
      </c>
      <c r="H23" s="28">
        <f>+J23*58</f>
        <v>7134</v>
      </c>
      <c r="I23" s="20">
        <f>+SUM(I21:I22)</f>
        <v>160</v>
      </c>
      <c r="J23" s="20">
        <f>+SUM(J21:J22)</f>
        <v>123</v>
      </c>
      <c r="K23" s="20">
        <f>+SUM(K21:K22)</f>
        <v>37</v>
      </c>
      <c r="M23" s="50"/>
    </row>
    <row r="24" spans="1:13" s="16" customFormat="1" ht="36" customHeight="1">
      <c r="G24" s="703" t="s">
        <v>84</v>
      </c>
      <c r="H24" s="704"/>
      <c r="I24" s="705"/>
      <c r="J24" s="710">
        <f>+H23/6</f>
        <v>1189</v>
      </c>
      <c r="K24" s="711"/>
      <c r="M24" s="50"/>
    </row>
    <row r="25" spans="1:13" s="16" customFormat="1" ht="36" customHeight="1">
      <c r="G25" s="34"/>
      <c r="H25" s="712"/>
      <c r="I25" s="713"/>
      <c r="J25" s="35"/>
      <c r="K25" s="34"/>
      <c r="M25" s="50"/>
    </row>
  </sheetData>
  <mergeCells count="22">
    <mergeCell ref="A18:C18"/>
    <mergeCell ref="D18:E18"/>
    <mergeCell ref="B19:C19"/>
    <mergeCell ref="H25:I25"/>
    <mergeCell ref="A1:E1"/>
    <mergeCell ref="G1:K1"/>
    <mergeCell ref="A6:C6"/>
    <mergeCell ref="D6:E6"/>
    <mergeCell ref="G24:I24"/>
    <mergeCell ref="J24:K24"/>
    <mergeCell ref="G20:I20"/>
    <mergeCell ref="J20:K20"/>
    <mergeCell ref="G15:I15"/>
    <mergeCell ref="J15:K15"/>
    <mergeCell ref="G12:I12"/>
    <mergeCell ref="J12:K12"/>
    <mergeCell ref="G9:I9"/>
    <mergeCell ref="J9:K9"/>
    <mergeCell ref="G6:I6"/>
    <mergeCell ref="J6:K6"/>
    <mergeCell ref="A12:C12"/>
    <mergeCell ref="D12:E12"/>
  </mergeCells>
  <pageMargins left="0.7" right="0.7" top="0.75" bottom="0.75" header="0.3" footer="0.3"/>
  <pageSetup scale="57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view="pageBreakPreview" zoomScale="60" zoomScaleNormal="80" workbookViewId="0">
      <selection activeCell="H3" sqref="H3"/>
    </sheetView>
  </sheetViews>
  <sheetFormatPr defaultRowHeight="20.100000000000001" customHeight="1"/>
  <cols>
    <col min="1" max="1" width="6.5703125" customWidth="1"/>
    <col min="2" max="2" width="10.140625" customWidth="1"/>
    <col min="3" max="4" width="4.42578125" customWidth="1"/>
    <col min="5" max="5" width="4.7109375" customWidth="1"/>
    <col min="6" max="6" width="0.5703125" customWidth="1"/>
    <col min="7" max="7" width="5.42578125" customWidth="1"/>
    <col min="8" max="8" width="8" customWidth="1"/>
    <col min="9" max="9" width="4.140625" customWidth="1"/>
    <col min="10" max="10" width="3.42578125" customWidth="1"/>
    <col min="11" max="11" width="4.140625" customWidth="1"/>
    <col min="12" max="12" width="0.5703125" customWidth="1"/>
  </cols>
  <sheetData>
    <row r="1" spans="1:12" ht="61.5" customHeight="1">
      <c r="A1" s="635" t="s">
        <v>95</v>
      </c>
      <c r="B1" s="636"/>
      <c r="C1" s="636"/>
      <c r="D1" s="636"/>
      <c r="E1" s="636"/>
      <c r="F1" s="145"/>
      <c r="G1" s="636" t="s">
        <v>96</v>
      </c>
      <c r="H1" s="636"/>
      <c r="I1" s="636"/>
      <c r="J1" s="636"/>
      <c r="K1" s="636"/>
      <c r="L1" s="42"/>
    </row>
    <row r="2" spans="1:12" s="45" customFormat="1" ht="52.5" customHeight="1">
      <c r="A2" s="222" t="s">
        <v>4</v>
      </c>
      <c r="B2" s="207" t="s">
        <v>3</v>
      </c>
      <c r="C2" s="207" t="s">
        <v>0</v>
      </c>
      <c r="D2" s="207" t="s">
        <v>1</v>
      </c>
      <c r="E2" s="207" t="s">
        <v>60</v>
      </c>
      <c r="F2" s="149"/>
      <c r="G2" s="222" t="s">
        <v>4</v>
      </c>
      <c r="H2" s="207" t="s">
        <v>3</v>
      </c>
      <c r="I2" s="207" t="s">
        <v>0</v>
      </c>
      <c r="J2" s="207" t="s">
        <v>1</v>
      </c>
      <c r="K2" s="208" t="s">
        <v>60</v>
      </c>
      <c r="L2" s="223"/>
    </row>
    <row r="3" spans="1:12" s="4" customFormat="1" ht="67.5" customHeight="1">
      <c r="A3" s="209">
        <v>190</v>
      </c>
      <c r="B3" s="212" t="s">
        <v>189</v>
      </c>
      <c r="C3" s="213">
        <v>52</v>
      </c>
      <c r="D3" s="213">
        <v>0</v>
      </c>
      <c r="E3" s="226">
        <f>+C3-D3</f>
        <v>52</v>
      </c>
      <c r="F3" s="50"/>
      <c r="G3" s="209">
        <v>200</v>
      </c>
      <c r="H3" s="212" t="s">
        <v>145</v>
      </c>
      <c r="I3" s="213">
        <v>52</v>
      </c>
      <c r="J3" s="213">
        <v>52</v>
      </c>
      <c r="K3" s="221">
        <f>+I3-J3</f>
        <v>0</v>
      </c>
      <c r="L3" s="47"/>
    </row>
    <row r="4" spans="1:12" s="4" customFormat="1" ht="62.25" customHeight="1">
      <c r="A4" s="209">
        <v>189</v>
      </c>
      <c r="B4" s="212" t="s">
        <v>189</v>
      </c>
      <c r="C4" s="213">
        <v>52</v>
      </c>
      <c r="D4" s="213">
        <v>0</v>
      </c>
      <c r="E4" s="226">
        <f t="shared" ref="E4:E16" si="0">+C4-D4</f>
        <v>52</v>
      </c>
      <c r="F4" s="50"/>
      <c r="G4" s="120" t="s">
        <v>83</v>
      </c>
      <c r="H4" s="28">
        <f>+J4*58</f>
        <v>3016</v>
      </c>
      <c r="I4" s="20">
        <f>+SUM(I2:I3)</f>
        <v>52</v>
      </c>
      <c r="J4" s="20">
        <f>+SUM(J2:J3)</f>
        <v>52</v>
      </c>
      <c r="K4" s="52">
        <f>+SUM(K2:K3)</f>
        <v>0</v>
      </c>
      <c r="L4" s="47"/>
    </row>
    <row r="5" spans="1:12" s="4" customFormat="1" ht="86.25" customHeight="1">
      <c r="A5" s="121" t="s">
        <v>83</v>
      </c>
      <c r="B5" s="28">
        <f>+D5*58</f>
        <v>0</v>
      </c>
      <c r="C5" s="20">
        <f>+SUM(C3:C4)</f>
        <v>104</v>
      </c>
      <c r="D5" s="20">
        <f>+SUM(D3:D4)</f>
        <v>0</v>
      </c>
      <c r="E5" s="20">
        <f>+SUM(E3:E4)</f>
        <v>104</v>
      </c>
      <c r="F5" s="36"/>
      <c r="G5" s="704" t="s">
        <v>84</v>
      </c>
      <c r="H5" s="704"/>
      <c r="I5" s="705"/>
      <c r="J5" s="710">
        <f>+H4/6</f>
        <v>502.66666666666669</v>
      </c>
      <c r="K5" s="716"/>
      <c r="L5" s="47"/>
    </row>
    <row r="6" spans="1:12" s="4" customFormat="1" ht="86.25" customHeight="1">
      <c r="A6" s="703" t="s">
        <v>84</v>
      </c>
      <c r="B6" s="704"/>
      <c r="C6" s="705"/>
      <c r="D6" s="710">
        <f>+B5/6</f>
        <v>0</v>
      </c>
      <c r="E6" s="711"/>
      <c r="F6" s="36"/>
      <c r="G6" s="43">
        <v>199</v>
      </c>
      <c r="H6" s="19" t="s">
        <v>144</v>
      </c>
      <c r="I6" s="22">
        <v>52</v>
      </c>
      <c r="J6" s="22">
        <v>0</v>
      </c>
      <c r="K6" s="9">
        <f t="shared" ref="K6:K18" si="1">+I6-J6</f>
        <v>52</v>
      </c>
      <c r="L6" s="47"/>
    </row>
    <row r="7" spans="1:12" s="4" customFormat="1" ht="62.25" customHeight="1">
      <c r="A7" s="209">
        <v>188</v>
      </c>
      <c r="B7" s="212" t="s">
        <v>141</v>
      </c>
      <c r="C7" s="213">
        <v>52</v>
      </c>
      <c r="D7" s="224">
        <v>52</v>
      </c>
      <c r="E7" s="225">
        <f t="shared" si="0"/>
        <v>0</v>
      </c>
      <c r="F7" s="36"/>
      <c r="G7" s="43">
        <v>198</v>
      </c>
      <c r="H7" s="19" t="s">
        <v>144</v>
      </c>
      <c r="I7" s="22">
        <v>52</v>
      </c>
      <c r="J7" s="37">
        <v>0</v>
      </c>
      <c r="K7" s="9">
        <f t="shared" si="1"/>
        <v>52</v>
      </c>
      <c r="L7" s="47"/>
    </row>
    <row r="8" spans="1:12" s="4" customFormat="1" ht="62.25" customHeight="1">
      <c r="A8" s="209">
        <v>187</v>
      </c>
      <c r="B8" s="212" t="s">
        <v>141</v>
      </c>
      <c r="C8" s="213">
        <v>52</v>
      </c>
      <c r="D8" s="214">
        <v>52</v>
      </c>
      <c r="E8" s="215">
        <f t="shared" si="0"/>
        <v>0</v>
      </c>
      <c r="F8" s="36"/>
      <c r="G8" s="43">
        <v>197</v>
      </c>
      <c r="H8" s="19" t="s">
        <v>144</v>
      </c>
      <c r="I8" s="22">
        <v>52</v>
      </c>
      <c r="J8" s="21">
        <v>0</v>
      </c>
      <c r="K8" s="9">
        <f t="shared" si="1"/>
        <v>52</v>
      </c>
      <c r="L8" s="47"/>
    </row>
    <row r="9" spans="1:12" s="4" customFormat="1" ht="62.25" customHeight="1">
      <c r="A9" s="209">
        <v>186</v>
      </c>
      <c r="B9" s="212" t="s">
        <v>141</v>
      </c>
      <c r="C9" s="213">
        <v>52</v>
      </c>
      <c r="D9" s="214">
        <v>52</v>
      </c>
      <c r="E9" s="215">
        <f t="shared" si="0"/>
        <v>0</v>
      </c>
      <c r="F9" s="50"/>
      <c r="G9" s="120" t="s">
        <v>83</v>
      </c>
      <c r="H9" s="28">
        <f>+J9*58</f>
        <v>0</v>
      </c>
      <c r="I9" s="20">
        <f>+SUM(I6:I8)</f>
        <v>156</v>
      </c>
      <c r="J9" s="20">
        <f>+SUM(J6:J8)</f>
        <v>0</v>
      </c>
      <c r="K9" s="52">
        <f>+SUM(K6:K8)</f>
        <v>156</v>
      </c>
      <c r="L9" s="47"/>
    </row>
    <row r="10" spans="1:12" s="4" customFormat="1" ht="62.25" customHeight="1">
      <c r="A10" s="209">
        <v>185</v>
      </c>
      <c r="B10" s="212" t="s">
        <v>141</v>
      </c>
      <c r="C10" s="213">
        <v>52</v>
      </c>
      <c r="D10" s="214">
        <v>42</v>
      </c>
      <c r="E10" s="215">
        <f t="shared" si="0"/>
        <v>10</v>
      </c>
      <c r="F10" s="50"/>
      <c r="G10" s="704" t="s">
        <v>84</v>
      </c>
      <c r="H10" s="704"/>
      <c r="I10" s="705"/>
      <c r="J10" s="710">
        <f>+H9/6</f>
        <v>0</v>
      </c>
      <c r="K10" s="716"/>
      <c r="L10" s="47"/>
    </row>
    <row r="11" spans="1:12" s="4" customFormat="1" ht="78.75" customHeight="1">
      <c r="A11" s="121" t="s">
        <v>83</v>
      </c>
      <c r="B11" s="28">
        <f>+D11*58</f>
        <v>11484</v>
      </c>
      <c r="C11" s="20">
        <f>+SUM(C7:C10)</f>
        <v>208</v>
      </c>
      <c r="D11" s="20">
        <f>+SUM(D7:D10)</f>
        <v>198</v>
      </c>
      <c r="E11" s="20">
        <f>+SUM(E7:E10)</f>
        <v>10</v>
      </c>
      <c r="F11" s="50"/>
      <c r="G11" s="43">
        <v>196</v>
      </c>
      <c r="H11" s="19" t="s">
        <v>143</v>
      </c>
      <c r="I11" s="22">
        <v>52</v>
      </c>
      <c r="J11" s="21">
        <v>0</v>
      </c>
      <c r="K11" s="9">
        <f t="shared" si="1"/>
        <v>52</v>
      </c>
      <c r="L11" s="47"/>
    </row>
    <row r="12" spans="1:12" s="4" customFormat="1" ht="78.75" customHeight="1">
      <c r="A12" s="703" t="s">
        <v>84</v>
      </c>
      <c r="B12" s="704"/>
      <c r="C12" s="705"/>
      <c r="D12" s="710">
        <f>+B11/6</f>
        <v>1914</v>
      </c>
      <c r="E12" s="711"/>
      <c r="F12" s="50"/>
      <c r="G12" s="43">
        <v>195</v>
      </c>
      <c r="H12" s="19" t="s">
        <v>143</v>
      </c>
      <c r="I12" s="22">
        <v>52</v>
      </c>
      <c r="J12" s="21">
        <v>33</v>
      </c>
      <c r="K12" s="9">
        <f t="shared" si="1"/>
        <v>19</v>
      </c>
      <c r="L12" s="47"/>
    </row>
    <row r="13" spans="1:12" s="45" customFormat="1" ht="48.75" customHeight="1">
      <c r="A13" s="209">
        <v>184</v>
      </c>
      <c r="B13" s="212" t="s">
        <v>140</v>
      </c>
      <c r="C13" s="213">
        <v>52</v>
      </c>
      <c r="D13" s="214">
        <v>52</v>
      </c>
      <c r="E13" s="215">
        <f t="shared" si="0"/>
        <v>0</v>
      </c>
      <c r="F13" s="216"/>
      <c r="G13" s="217" t="s">
        <v>83</v>
      </c>
      <c r="H13" s="148">
        <f>+J13*58</f>
        <v>1914</v>
      </c>
      <c r="I13" s="209">
        <f>+SUM(I11:I12)</f>
        <v>104</v>
      </c>
      <c r="J13" s="209">
        <f>+SUM(J11:J12)</f>
        <v>33</v>
      </c>
      <c r="K13" s="218">
        <f>+SUM(K11:K12)</f>
        <v>71</v>
      </c>
      <c r="L13" s="219"/>
    </row>
    <row r="14" spans="1:12" s="45" customFormat="1" ht="48.75" customHeight="1">
      <c r="A14" s="209">
        <v>183</v>
      </c>
      <c r="B14" s="212" t="s">
        <v>140</v>
      </c>
      <c r="C14" s="213">
        <v>52</v>
      </c>
      <c r="D14" s="214">
        <v>52</v>
      </c>
      <c r="E14" s="215">
        <f t="shared" si="0"/>
        <v>0</v>
      </c>
      <c r="F14" s="216"/>
      <c r="G14" s="718" t="s">
        <v>84</v>
      </c>
      <c r="H14" s="718"/>
      <c r="I14" s="719"/>
      <c r="J14" s="720">
        <f>+H13/6</f>
        <v>319</v>
      </c>
      <c r="K14" s="718"/>
      <c r="L14" s="219"/>
    </row>
    <row r="15" spans="1:12" s="45" customFormat="1" ht="48.75" customHeight="1">
      <c r="A15" s="209">
        <v>182</v>
      </c>
      <c r="B15" s="212" t="s">
        <v>140</v>
      </c>
      <c r="C15" s="213">
        <v>52</v>
      </c>
      <c r="D15" s="211">
        <v>52</v>
      </c>
      <c r="E15" s="215">
        <f t="shared" si="0"/>
        <v>0</v>
      </c>
      <c r="F15" s="219"/>
      <c r="G15" s="220">
        <v>194</v>
      </c>
      <c r="H15" s="212" t="s">
        <v>142</v>
      </c>
      <c r="I15" s="213">
        <v>52</v>
      </c>
      <c r="J15" s="214">
        <v>52</v>
      </c>
      <c r="K15" s="221">
        <f t="shared" si="1"/>
        <v>0</v>
      </c>
      <c r="L15" s="149"/>
    </row>
    <row r="16" spans="1:12" s="45" customFormat="1" ht="48.75" customHeight="1">
      <c r="A16" s="209">
        <v>181</v>
      </c>
      <c r="B16" s="212" t="s">
        <v>140</v>
      </c>
      <c r="C16" s="147">
        <v>52</v>
      </c>
      <c r="D16" s="211">
        <v>52</v>
      </c>
      <c r="E16" s="215">
        <f t="shared" si="0"/>
        <v>0</v>
      </c>
      <c r="F16" s="219"/>
      <c r="G16" s="220">
        <v>193</v>
      </c>
      <c r="H16" s="212" t="s">
        <v>142</v>
      </c>
      <c r="I16" s="213">
        <v>52</v>
      </c>
      <c r="J16" s="214">
        <v>52</v>
      </c>
      <c r="K16" s="221">
        <f t="shared" si="1"/>
        <v>0</v>
      </c>
      <c r="L16" s="219"/>
    </row>
    <row r="17" spans="1:12" s="45" customFormat="1" ht="69" customHeight="1">
      <c r="A17" s="210" t="s">
        <v>83</v>
      </c>
      <c r="B17" s="148">
        <f>+D17*58</f>
        <v>12064</v>
      </c>
      <c r="C17" s="209">
        <f>+SUM(C13:C16)</f>
        <v>208</v>
      </c>
      <c r="D17" s="209">
        <f>+SUM(D13:D16)</f>
        <v>208</v>
      </c>
      <c r="E17" s="209">
        <f>+SUM(E13:E16)</f>
        <v>0</v>
      </c>
      <c r="F17" s="219"/>
      <c r="G17" s="220">
        <v>192</v>
      </c>
      <c r="H17" s="212" t="s">
        <v>142</v>
      </c>
      <c r="I17" s="213">
        <v>52</v>
      </c>
      <c r="J17" s="147">
        <v>52</v>
      </c>
      <c r="K17" s="221">
        <f t="shared" si="1"/>
        <v>0</v>
      </c>
      <c r="L17" s="219"/>
    </row>
    <row r="18" spans="1:12" s="45" customFormat="1" ht="69" customHeight="1">
      <c r="A18" s="717" t="s">
        <v>84</v>
      </c>
      <c r="B18" s="718"/>
      <c r="C18" s="719"/>
      <c r="D18" s="720">
        <f>+B17/6</f>
        <v>2010.6666666666667</v>
      </c>
      <c r="E18" s="719"/>
      <c r="F18" s="219"/>
      <c r="G18" s="220">
        <v>191</v>
      </c>
      <c r="H18" s="212" t="s">
        <v>142</v>
      </c>
      <c r="I18" s="213">
        <v>52</v>
      </c>
      <c r="J18" s="147">
        <v>33</v>
      </c>
      <c r="K18" s="221">
        <f t="shared" si="1"/>
        <v>19</v>
      </c>
      <c r="L18" s="219"/>
    </row>
    <row r="19" spans="1:12" s="45" customFormat="1" ht="69" customHeight="1">
      <c r="A19" s="227"/>
      <c r="B19" s="721"/>
      <c r="C19" s="722"/>
      <c r="D19" s="228"/>
      <c r="E19" s="227"/>
      <c r="F19" s="219"/>
      <c r="G19" s="217" t="s">
        <v>83</v>
      </c>
      <c r="H19" s="148">
        <f>+J19*58</f>
        <v>10962</v>
      </c>
      <c r="I19" s="209">
        <f>+SUM(I15:I18)</f>
        <v>208</v>
      </c>
      <c r="J19" s="209">
        <f>+SUM(J15:J18)</f>
        <v>189</v>
      </c>
      <c r="K19" s="218">
        <f>+SUM(K15:K18)</f>
        <v>19</v>
      </c>
      <c r="L19" s="219"/>
    </row>
    <row r="20" spans="1:12" s="4" customFormat="1" ht="71.25" customHeight="1">
      <c r="F20" s="123"/>
      <c r="G20" s="704" t="s">
        <v>84</v>
      </c>
      <c r="H20" s="704"/>
      <c r="I20" s="705"/>
      <c r="J20" s="710">
        <f>+H19/6</f>
        <v>1827</v>
      </c>
      <c r="K20" s="716"/>
      <c r="L20" s="122"/>
    </row>
    <row r="21" spans="1:12" ht="71.25" customHeight="1">
      <c r="G21" s="34"/>
      <c r="H21" s="712"/>
      <c r="I21" s="713"/>
      <c r="J21" s="35"/>
      <c r="K21" s="48"/>
      <c r="L21" s="46"/>
    </row>
  </sheetData>
  <mergeCells count="18">
    <mergeCell ref="A1:E1"/>
    <mergeCell ref="G1:K1"/>
    <mergeCell ref="A12:C12"/>
    <mergeCell ref="D12:E12"/>
    <mergeCell ref="B19:C19"/>
    <mergeCell ref="G14:I14"/>
    <mergeCell ref="J14:K14"/>
    <mergeCell ref="A6:C6"/>
    <mergeCell ref="D6:E6"/>
    <mergeCell ref="G10:I10"/>
    <mergeCell ref="J10:K10"/>
    <mergeCell ref="G5:I5"/>
    <mergeCell ref="J5:K5"/>
    <mergeCell ref="H21:I21"/>
    <mergeCell ref="G20:I20"/>
    <mergeCell ref="J20:K20"/>
    <mergeCell ref="A18:C18"/>
    <mergeCell ref="D18:E18"/>
  </mergeCells>
  <pageMargins left="0.7" right="0.7" top="0.75" bottom="0.75" header="0.3" footer="0.3"/>
  <pageSetup scale="48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00FF"/>
  </sheetPr>
  <dimension ref="A1:S33"/>
  <sheetViews>
    <sheetView zoomScale="55" zoomScaleNormal="55" zoomScaleSheetLayoutView="30" workbookViewId="0">
      <selection activeCell="D19" sqref="D19"/>
    </sheetView>
  </sheetViews>
  <sheetFormatPr defaultColWidth="8.42578125" defaultRowHeight="15" customHeight="1"/>
  <cols>
    <col min="1" max="1" width="19.28515625" style="247" customWidth="1"/>
    <col min="2" max="2" width="47.7109375" style="138" customWidth="1"/>
    <col min="3" max="5" width="8.42578125" style="138"/>
    <col min="6" max="6" width="1.85546875" style="138" customWidth="1"/>
    <col min="7" max="7" width="8.42578125" style="138"/>
    <col min="8" max="8" width="10.42578125" style="138" customWidth="1"/>
    <col min="9" max="9" width="8.42578125" style="138"/>
    <col min="10" max="11" width="8.42578125" style="138" customWidth="1"/>
    <col min="12" max="16" width="8.42578125" style="138"/>
    <col min="17" max="17" width="8.42578125" style="139"/>
    <col min="18" max="16384" width="8.42578125" style="39"/>
  </cols>
  <sheetData>
    <row r="1" spans="1:19" s="231" customFormat="1" ht="50.25" customHeight="1">
      <c r="A1" s="727" t="s">
        <v>82</v>
      </c>
      <c r="B1" s="725"/>
      <c r="C1" s="725"/>
      <c r="D1" s="725"/>
      <c r="E1" s="728"/>
      <c r="F1" s="229"/>
      <c r="G1" s="724" t="s">
        <v>91</v>
      </c>
      <c r="H1" s="725"/>
      <c r="I1" s="725"/>
      <c r="J1" s="725"/>
      <c r="K1" s="728"/>
      <c r="L1" s="229"/>
      <c r="M1" s="724" t="s">
        <v>92</v>
      </c>
      <c r="N1" s="725"/>
      <c r="O1" s="725"/>
      <c r="P1" s="725"/>
      <c r="Q1" s="726"/>
      <c r="R1" s="230"/>
    </row>
    <row r="2" spans="1:19" ht="58.5" customHeight="1">
      <c r="A2" s="232" t="s">
        <v>4</v>
      </c>
      <c r="B2" s="54" t="s">
        <v>3</v>
      </c>
      <c r="C2" s="54" t="s">
        <v>0</v>
      </c>
      <c r="D2" s="54" t="s">
        <v>64</v>
      </c>
      <c r="E2" s="54" t="s">
        <v>2</v>
      </c>
      <c r="F2" s="105"/>
      <c r="G2" s="233" t="s">
        <v>4</v>
      </c>
      <c r="H2" s="54" t="s">
        <v>3</v>
      </c>
      <c r="I2" s="54" t="s">
        <v>0</v>
      </c>
      <c r="J2" s="54" t="s">
        <v>64</v>
      </c>
      <c r="K2" s="54" t="s">
        <v>2</v>
      </c>
      <c r="L2" s="105"/>
      <c r="M2" s="233" t="s">
        <v>4</v>
      </c>
      <c r="N2" s="54" t="s">
        <v>3</v>
      </c>
      <c r="O2" s="54" t="s">
        <v>0</v>
      </c>
      <c r="P2" s="54" t="s">
        <v>64</v>
      </c>
      <c r="Q2" s="54" t="s">
        <v>2</v>
      </c>
      <c r="R2" s="234"/>
      <c r="S2" s="235"/>
    </row>
    <row r="3" spans="1:19" ht="52.5" customHeight="1">
      <c r="A3" s="236">
        <v>230</v>
      </c>
      <c r="B3" s="55" t="s">
        <v>154</v>
      </c>
      <c r="C3" s="56">
        <v>2376</v>
      </c>
      <c r="D3" s="56">
        <v>1800</v>
      </c>
      <c r="E3" s="56">
        <f>SUM(C3-D3)</f>
        <v>576</v>
      </c>
      <c r="F3" s="105"/>
      <c r="G3" s="237">
        <v>240</v>
      </c>
      <c r="H3" s="55" t="s">
        <v>161</v>
      </c>
      <c r="I3" s="56">
        <v>3470</v>
      </c>
      <c r="J3" s="56">
        <v>396</v>
      </c>
      <c r="K3" s="56">
        <f>SUM(I3-J3)</f>
        <v>3074</v>
      </c>
      <c r="L3" s="105"/>
      <c r="M3" s="237">
        <v>250</v>
      </c>
      <c r="N3" s="55" t="s">
        <v>178</v>
      </c>
      <c r="O3" s="56">
        <v>30</v>
      </c>
      <c r="P3" s="56">
        <v>30</v>
      </c>
      <c r="Q3" s="56">
        <f>SUM(O3-P3)</f>
        <v>0</v>
      </c>
      <c r="R3" s="234"/>
      <c r="S3" s="235"/>
    </row>
    <row r="4" spans="1:19" s="15" customFormat="1" ht="63.75" customHeight="1">
      <c r="A4" s="238" t="s">
        <v>83</v>
      </c>
      <c r="B4" s="28">
        <f>+D4*2</f>
        <v>3600</v>
      </c>
      <c r="C4" s="57">
        <f>+SUM(C3)</f>
        <v>2376</v>
      </c>
      <c r="D4" s="57">
        <f>+SUM(D3)</f>
        <v>1800</v>
      </c>
      <c r="E4" s="57">
        <f>+SUM(E3)</f>
        <v>576</v>
      </c>
      <c r="F4" s="239"/>
      <c r="G4" s="121" t="s">
        <v>83</v>
      </c>
      <c r="H4" s="28">
        <f>+J4*18</f>
        <v>7128</v>
      </c>
      <c r="I4" s="57">
        <f>+SUM(I3)</f>
        <v>3470</v>
      </c>
      <c r="J4" s="57">
        <f>+SUM(J3)</f>
        <v>396</v>
      </c>
      <c r="K4" s="57">
        <f>+SUM(K3)</f>
        <v>3074</v>
      </c>
      <c r="L4" s="239"/>
      <c r="M4" s="121" t="s">
        <v>83</v>
      </c>
      <c r="N4" s="28">
        <f>+P4*18</f>
        <v>540</v>
      </c>
      <c r="O4" s="57">
        <f>+SUM(O3)</f>
        <v>30</v>
      </c>
      <c r="P4" s="57">
        <f>+SUM(P3)</f>
        <v>30</v>
      </c>
      <c r="Q4" s="57">
        <f>+SUM(Q3)</f>
        <v>0</v>
      </c>
      <c r="R4" s="240"/>
      <c r="S4" s="241"/>
    </row>
    <row r="5" spans="1:19" s="15" customFormat="1" ht="69.75" customHeight="1">
      <c r="A5" s="708" t="s">
        <v>84</v>
      </c>
      <c r="B5" s="704"/>
      <c r="C5" s="705"/>
      <c r="D5" s="708">
        <f>+B4/2</f>
        <v>1800</v>
      </c>
      <c r="E5" s="705"/>
      <c r="F5" s="242"/>
      <c r="G5" s="703" t="s">
        <v>84</v>
      </c>
      <c r="H5" s="704"/>
      <c r="I5" s="705"/>
      <c r="J5" s="708">
        <f>+H4/2</f>
        <v>3564</v>
      </c>
      <c r="K5" s="705"/>
      <c r="L5" s="242"/>
      <c r="M5" s="703" t="s">
        <v>84</v>
      </c>
      <c r="N5" s="704"/>
      <c r="O5" s="705"/>
      <c r="P5" s="708">
        <f>+N4/2</f>
        <v>270</v>
      </c>
      <c r="Q5" s="705"/>
      <c r="R5" s="240"/>
      <c r="S5" s="241"/>
    </row>
    <row r="6" spans="1:19" ht="45" customHeight="1">
      <c r="A6" s="236">
        <v>229</v>
      </c>
      <c r="B6" s="55" t="s">
        <v>153</v>
      </c>
      <c r="C6" s="56">
        <v>2500</v>
      </c>
      <c r="D6" s="56">
        <v>500</v>
      </c>
      <c r="E6" s="56">
        <f>SUM(C6-D6)</f>
        <v>2000</v>
      </c>
      <c r="F6" s="115"/>
      <c r="G6" s="237">
        <v>239</v>
      </c>
      <c r="H6" s="55" t="s">
        <v>155</v>
      </c>
      <c r="I6" s="56">
        <v>1000</v>
      </c>
      <c r="J6" s="56">
        <v>0</v>
      </c>
      <c r="K6" s="56">
        <f>SUM(I6-J6)</f>
        <v>1000</v>
      </c>
      <c r="L6" s="115"/>
      <c r="M6" s="237">
        <v>249</v>
      </c>
      <c r="N6" s="55" t="s">
        <v>54</v>
      </c>
      <c r="O6" s="56">
        <v>500</v>
      </c>
      <c r="P6" s="56">
        <v>500</v>
      </c>
      <c r="Q6" s="56">
        <f>SUM(O6-P6)</f>
        <v>0</v>
      </c>
      <c r="R6" s="234"/>
      <c r="S6" s="235"/>
    </row>
    <row r="7" spans="1:19" ht="62.25" customHeight="1">
      <c r="A7" s="238" t="s">
        <v>83</v>
      </c>
      <c r="B7" s="28">
        <f>+D7*18</f>
        <v>9000</v>
      </c>
      <c r="C7" s="57">
        <f>+SUM(C6)</f>
        <v>2500</v>
      </c>
      <c r="D7" s="57">
        <f>+SUM(D6)</f>
        <v>500</v>
      </c>
      <c r="E7" s="57">
        <f>+SUM(E6)</f>
        <v>2000</v>
      </c>
      <c r="F7" s="105"/>
      <c r="G7" s="121" t="s">
        <v>83</v>
      </c>
      <c r="H7" s="28">
        <f>+J7*18</f>
        <v>0</v>
      </c>
      <c r="I7" s="57">
        <f>+SUM(I6)</f>
        <v>1000</v>
      </c>
      <c r="J7" s="57">
        <f>+SUM(J6)</f>
        <v>0</v>
      </c>
      <c r="K7" s="57">
        <f>+SUM(K6)</f>
        <v>1000</v>
      </c>
      <c r="L7" s="105"/>
      <c r="M7" s="121" t="s">
        <v>83</v>
      </c>
      <c r="N7" s="28">
        <f>+P7*18</f>
        <v>9000</v>
      </c>
      <c r="O7" s="57">
        <f>+SUM(O6)</f>
        <v>500</v>
      </c>
      <c r="P7" s="57">
        <f>+SUM(P6)</f>
        <v>500</v>
      </c>
      <c r="Q7" s="57">
        <f>+SUM(Q6)</f>
        <v>0</v>
      </c>
      <c r="R7" s="234"/>
      <c r="S7" s="235"/>
    </row>
    <row r="8" spans="1:19" ht="62.25" customHeight="1">
      <c r="A8" s="708" t="s">
        <v>84</v>
      </c>
      <c r="B8" s="704"/>
      <c r="C8" s="705"/>
      <c r="D8" s="708">
        <f>+B7/2</f>
        <v>4500</v>
      </c>
      <c r="E8" s="705"/>
      <c r="F8" s="105"/>
      <c r="G8" s="703" t="s">
        <v>84</v>
      </c>
      <c r="H8" s="704"/>
      <c r="I8" s="705"/>
      <c r="J8" s="708">
        <f>+H7/2</f>
        <v>0</v>
      </c>
      <c r="K8" s="705"/>
      <c r="L8" s="105"/>
      <c r="M8" s="703" t="s">
        <v>84</v>
      </c>
      <c r="N8" s="704"/>
      <c r="O8" s="705"/>
      <c r="P8" s="708">
        <f>+N7/2</f>
        <v>4500</v>
      </c>
      <c r="Q8" s="705"/>
      <c r="R8" s="234"/>
      <c r="S8" s="235"/>
    </row>
    <row r="9" spans="1:19" ht="45" customHeight="1">
      <c r="A9" s="236">
        <v>228</v>
      </c>
      <c r="B9" s="55" t="s">
        <v>191</v>
      </c>
      <c r="C9" s="56">
        <v>3000</v>
      </c>
      <c r="D9" s="56">
        <v>0</v>
      </c>
      <c r="E9" s="56">
        <f>SUM(C9-D9)</f>
        <v>3000</v>
      </c>
      <c r="F9" s="105"/>
      <c r="G9" s="237">
        <v>238</v>
      </c>
      <c r="H9" s="55" t="s">
        <v>232</v>
      </c>
      <c r="I9" s="56">
        <v>30</v>
      </c>
      <c r="J9" s="56">
        <v>0</v>
      </c>
      <c r="K9" s="56">
        <f>SUM(I9-J9)</f>
        <v>30</v>
      </c>
      <c r="L9" s="105"/>
      <c r="M9" s="237">
        <v>248</v>
      </c>
      <c r="N9" s="55" t="s">
        <v>166</v>
      </c>
      <c r="O9" s="56">
        <v>1700</v>
      </c>
      <c r="P9" s="56">
        <v>0</v>
      </c>
      <c r="Q9" s="56">
        <f>SUM(O9-P9)</f>
        <v>1700</v>
      </c>
      <c r="R9" s="234"/>
      <c r="S9" s="235"/>
    </row>
    <row r="10" spans="1:19" ht="66" customHeight="1">
      <c r="A10" s="238" t="s">
        <v>83</v>
      </c>
      <c r="B10" s="28">
        <f>+D10*18</f>
        <v>0</v>
      </c>
      <c r="C10" s="57">
        <f>+SUM(C9)</f>
        <v>3000</v>
      </c>
      <c r="D10" s="57">
        <f>+SUM(D9)</f>
        <v>0</v>
      </c>
      <c r="E10" s="57">
        <f>+SUM(E9)</f>
        <v>3000</v>
      </c>
      <c r="F10" s="105"/>
      <c r="G10" s="121" t="s">
        <v>83</v>
      </c>
      <c r="H10" s="28">
        <f>+J10*18</f>
        <v>0</v>
      </c>
      <c r="I10" s="57">
        <f>+SUM(I9)</f>
        <v>30</v>
      </c>
      <c r="J10" s="57">
        <f>+SUM(J9)</f>
        <v>0</v>
      </c>
      <c r="K10" s="57">
        <f>+SUM(K9)</f>
        <v>30</v>
      </c>
      <c r="L10" s="105"/>
      <c r="M10" s="121" t="s">
        <v>83</v>
      </c>
      <c r="N10" s="28">
        <f>+P10*18</f>
        <v>0</v>
      </c>
      <c r="O10" s="57">
        <f>+SUM(O9)</f>
        <v>1700</v>
      </c>
      <c r="P10" s="57">
        <f>+SUM(P9)</f>
        <v>0</v>
      </c>
      <c r="Q10" s="57">
        <f>+SUM(Q9)</f>
        <v>1700</v>
      </c>
      <c r="R10" s="234"/>
      <c r="S10" s="235"/>
    </row>
    <row r="11" spans="1:19" ht="66" customHeight="1">
      <c r="A11" s="708" t="s">
        <v>84</v>
      </c>
      <c r="B11" s="704"/>
      <c r="C11" s="705"/>
      <c r="D11" s="708">
        <f>+B10/2</f>
        <v>0</v>
      </c>
      <c r="E11" s="705"/>
      <c r="F11" s="115"/>
      <c r="G11" s="703" t="s">
        <v>84</v>
      </c>
      <c r="H11" s="704"/>
      <c r="I11" s="705"/>
      <c r="J11" s="708">
        <f>+H10/2</f>
        <v>0</v>
      </c>
      <c r="K11" s="705"/>
      <c r="L11" s="115"/>
      <c r="M11" s="703" t="s">
        <v>84</v>
      </c>
      <c r="N11" s="704"/>
      <c r="O11" s="705"/>
      <c r="P11" s="708">
        <f>+N10/2</f>
        <v>0</v>
      </c>
      <c r="Q11" s="705"/>
      <c r="R11" s="234"/>
    </row>
    <row r="12" spans="1:19" ht="45" customHeight="1">
      <c r="A12" s="236">
        <v>227</v>
      </c>
      <c r="B12" s="55" t="s">
        <v>192</v>
      </c>
      <c r="C12" s="56">
        <v>5800</v>
      </c>
      <c r="D12" s="56">
        <v>0</v>
      </c>
      <c r="E12" s="56">
        <f>SUM(C12-D12)</f>
        <v>5800</v>
      </c>
      <c r="F12" s="115"/>
      <c r="G12" s="237">
        <v>237</v>
      </c>
      <c r="H12" s="55" t="s">
        <v>156</v>
      </c>
      <c r="I12" s="56">
        <v>600</v>
      </c>
      <c r="J12" s="56">
        <v>600</v>
      </c>
      <c r="K12" s="56">
        <f>SUM(I12-J12)</f>
        <v>0</v>
      </c>
      <c r="L12" s="115"/>
      <c r="M12" s="237">
        <v>247</v>
      </c>
      <c r="N12" s="55" t="s">
        <v>165</v>
      </c>
      <c r="O12" s="56">
        <v>1500</v>
      </c>
      <c r="P12" s="56">
        <v>1500</v>
      </c>
      <c r="Q12" s="56">
        <f>SUM(O12-P12)</f>
        <v>0</v>
      </c>
      <c r="R12" s="234"/>
    </row>
    <row r="13" spans="1:19" ht="74.25" customHeight="1">
      <c r="A13" s="238" t="s">
        <v>83</v>
      </c>
      <c r="B13" s="28">
        <f>+D13*18</f>
        <v>0</v>
      </c>
      <c r="C13" s="57">
        <f>+SUM(C12)</f>
        <v>5800</v>
      </c>
      <c r="D13" s="57">
        <f>+SUM(D12)</f>
        <v>0</v>
      </c>
      <c r="E13" s="57">
        <f>+SUM(E12)</f>
        <v>5800</v>
      </c>
      <c r="F13" s="105"/>
      <c r="G13" s="121" t="s">
        <v>83</v>
      </c>
      <c r="H13" s="28">
        <f>+J13*18</f>
        <v>10800</v>
      </c>
      <c r="I13" s="57">
        <f>+SUM(I12)</f>
        <v>600</v>
      </c>
      <c r="J13" s="57">
        <f>+SUM(J12)</f>
        <v>600</v>
      </c>
      <c r="K13" s="57">
        <f>+SUM(K12)</f>
        <v>0</v>
      </c>
      <c r="L13" s="105"/>
      <c r="M13" s="121" t="s">
        <v>83</v>
      </c>
      <c r="N13" s="28">
        <f>+P13*18</f>
        <v>27000</v>
      </c>
      <c r="O13" s="57">
        <f>+SUM(O12)</f>
        <v>1500</v>
      </c>
      <c r="P13" s="57">
        <f>+SUM(P12)</f>
        <v>1500</v>
      </c>
      <c r="Q13" s="57">
        <f>+SUM(Q12)</f>
        <v>0</v>
      </c>
      <c r="R13" s="234"/>
    </row>
    <row r="14" spans="1:19" ht="74.25" customHeight="1">
      <c r="A14" s="708" t="s">
        <v>84</v>
      </c>
      <c r="B14" s="704"/>
      <c r="C14" s="705"/>
      <c r="D14" s="708">
        <f>+B13/2</f>
        <v>0</v>
      </c>
      <c r="E14" s="705"/>
      <c r="F14" s="105"/>
      <c r="G14" s="703" t="s">
        <v>84</v>
      </c>
      <c r="H14" s="704"/>
      <c r="I14" s="705"/>
      <c r="J14" s="708">
        <f>+H13/2</f>
        <v>5400</v>
      </c>
      <c r="K14" s="705"/>
      <c r="L14" s="105"/>
      <c r="M14" s="703" t="s">
        <v>84</v>
      </c>
      <c r="N14" s="704"/>
      <c r="O14" s="705"/>
      <c r="P14" s="708">
        <f>+N13/2</f>
        <v>13500</v>
      </c>
      <c r="Q14" s="705"/>
      <c r="R14" s="234"/>
    </row>
    <row r="15" spans="1:19" ht="45" customHeight="1">
      <c r="A15" s="236">
        <v>226</v>
      </c>
      <c r="B15" s="55" t="s">
        <v>193</v>
      </c>
      <c r="C15" s="56">
        <v>4000</v>
      </c>
      <c r="D15" s="56">
        <v>4000</v>
      </c>
      <c r="E15" s="56">
        <f>SUM(C15-D15)</f>
        <v>0</v>
      </c>
      <c r="F15" s="105"/>
      <c r="G15" s="237">
        <v>236</v>
      </c>
      <c r="H15" s="55" t="s">
        <v>157</v>
      </c>
      <c r="I15" s="56">
        <v>1700</v>
      </c>
      <c r="J15" s="56">
        <v>1000</v>
      </c>
      <c r="K15" s="56">
        <f>SUM(I15-J15)</f>
        <v>700</v>
      </c>
      <c r="L15" s="105"/>
      <c r="M15" s="237">
        <v>246</v>
      </c>
      <c r="N15" s="55" t="s">
        <v>164</v>
      </c>
      <c r="O15" s="56">
        <v>1065</v>
      </c>
      <c r="P15" s="56">
        <v>65</v>
      </c>
      <c r="Q15" s="56">
        <f>SUM(O15-P15)</f>
        <v>1000</v>
      </c>
      <c r="R15" s="234"/>
    </row>
    <row r="16" spans="1:19" ht="71.25" customHeight="1">
      <c r="A16" s="238" t="s">
        <v>83</v>
      </c>
      <c r="B16" s="28">
        <f>+D16*18</f>
        <v>0</v>
      </c>
      <c r="C16" s="57">
        <f>+SUM(C15)</f>
        <v>4000</v>
      </c>
      <c r="D16" s="57">
        <v>0</v>
      </c>
      <c r="E16" s="57">
        <f>+SUM(E15)</f>
        <v>0</v>
      </c>
      <c r="F16" s="105"/>
      <c r="G16" s="121" t="s">
        <v>83</v>
      </c>
      <c r="H16" s="28">
        <f>+J16*18</f>
        <v>18000</v>
      </c>
      <c r="I16" s="57">
        <f>+SUM(I15)</f>
        <v>1700</v>
      </c>
      <c r="J16" s="57">
        <f>+SUM(J15)</f>
        <v>1000</v>
      </c>
      <c r="K16" s="57">
        <f>+SUM(K15)</f>
        <v>700</v>
      </c>
      <c r="L16" s="105"/>
      <c r="M16" s="121" t="s">
        <v>83</v>
      </c>
      <c r="N16" s="28">
        <f>+P16*18</f>
        <v>126</v>
      </c>
      <c r="O16" s="57">
        <f>+SUM(O15)</f>
        <v>1065</v>
      </c>
      <c r="P16" s="57">
        <v>7</v>
      </c>
      <c r="Q16" s="57">
        <f>+SUM(Q15)</f>
        <v>1000</v>
      </c>
      <c r="R16" s="234"/>
    </row>
    <row r="17" spans="1:18" ht="71.25" customHeight="1">
      <c r="A17" s="708" t="s">
        <v>84</v>
      </c>
      <c r="B17" s="704"/>
      <c r="C17" s="705"/>
      <c r="D17" s="708">
        <f>+B16/2</f>
        <v>0</v>
      </c>
      <c r="E17" s="705"/>
      <c r="F17" s="115"/>
      <c r="G17" s="703" t="s">
        <v>84</v>
      </c>
      <c r="H17" s="704"/>
      <c r="I17" s="705"/>
      <c r="J17" s="708">
        <f>+H16/2</f>
        <v>9000</v>
      </c>
      <c r="K17" s="705"/>
      <c r="L17" s="115"/>
      <c r="M17" s="703" t="s">
        <v>84</v>
      </c>
      <c r="N17" s="704"/>
      <c r="O17" s="705"/>
      <c r="P17" s="708">
        <f>+N16/2</f>
        <v>63</v>
      </c>
      <c r="Q17" s="705"/>
      <c r="R17" s="234"/>
    </row>
    <row r="18" spans="1:18" ht="45" customHeight="1">
      <c r="A18" s="236">
        <v>225</v>
      </c>
      <c r="B18" s="55" t="s">
        <v>151</v>
      </c>
      <c r="C18" s="56">
        <v>6000</v>
      </c>
      <c r="D18" s="56">
        <v>3500</v>
      </c>
      <c r="E18" s="56">
        <f>SUM(C18-D18)</f>
        <v>2500</v>
      </c>
      <c r="F18" s="115"/>
      <c r="G18" s="237">
        <v>235</v>
      </c>
      <c r="H18" s="55" t="s">
        <v>158</v>
      </c>
      <c r="I18" s="56">
        <v>2200</v>
      </c>
      <c r="J18" s="56">
        <v>0</v>
      </c>
      <c r="K18" s="56">
        <f>SUM(I18-J18)</f>
        <v>2200</v>
      </c>
      <c r="L18" s="115"/>
      <c r="M18" s="237">
        <v>245</v>
      </c>
      <c r="N18" s="55" t="s">
        <v>53</v>
      </c>
      <c r="O18" s="56">
        <v>600</v>
      </c>
      <c r="P18" s="56">
        <v>440</v>
      </c>
      <c r="Q18" s="56">
        <f>SUM(O18-P18)</f>
        <v>160</v>
      </c>
      <c r="R18" s="243"/>
    </row>
    <row r="19" spans="1:18" ht="69" customHeight="1">
      <c r="A19" s="238" t="s">
        <v>83</v>
      </c>
      <c r="B19" s="28">
        <f>+D19*18</f>
        <v>63000</v>
      </c>
      <c r="C19" s="57">
        <f>+SUM(C18)</f>
        <v>6000</v>
      </c>
      <c r="D19" s="57">
        <f>+SUM(D18)</f>
        <v>3500</v>
      </c>
      <c r="E19" s="57">
        <f>+SUM(E18)</f>
        <v>2500</v>
      </c>
      <c r="F19" s="109"/>
      <c r="G19" s="121" t="s">
        <v>83</v>
      </c>
      <c r="H19" s="28">
        <f>+J19*18</f>
        <v>30600</v>
      </c>
      <c r="I19" s="57">
        <f>+SUM(I18)</f>
        <v>2200</v>
      </c>
      <c r="J19" s="57">
        <v>1700</v>
      </c>
      <c r="K19" s="57">
        <f>+SUM(K18)</f>
        <v>2200</v>
      </c>
      <c r="L19" s="109"/>
      <c r="M19" s="121" t="s">
        <v>83</v>
      </c>
      <c r="N19" s="28">
        <f>+P19*18</f>
        <v>7920</v>
      </c>
      <c r="O19" s="57">
        <f>+SUM(O18)</f>
        <v>600</v>
      </c>
      <c r="P19" s="57">
        <f>+SUM(P18)</f>
        <v>440</v>
      </c>
      <c r="Q19" s="57">
        <f>+SUM(Q18)</f>
        <v>160</v>
      </c>
      <c r="R19" s="243"/>
    </row>
    <row r="20" spans="1:18" ht="69" customHeight="1">
      <c r="A20" s="708" t="s">
        <v>84</v>
      </c>
      <c r="B20" s="704"/>
      <c r="C20" s="705"/>
      <c r="D20" s="708">
        <f>+B19/2</f>
        <v>31500</v>
      </c>
      <c r="E20" s="705"/>
      <c r="F20" s="109"/>
      <c r="G20" s="703" t="s">
        <v>84</v>
      </c>
      <c r="H20" s="704"/>
      <c r="I20" s="705"/>
      <c r="J20" s="708">
        <f>+H19/2</f>
        <v>15300</v>
      </c>
      <c r="K20" s="705"/>
      <c r="L20" s="109"/>
      <c r="M20" s="703" t="s">
        <v>84</v>
      </c>
      <c r="N20" s="704"/>
      <c r="O20" s="705"/>
      <c r="P20" s="708">
        <f>+N19/2</f>
        <v>3960</v>
      </c>
      <c r="Q20" s="705"/>
      <c r="R20" s="243"/>
    </row>
    <row r="21" spans="1:18" ht="45" customHeight="1">
      <c r="A21" s="236">
        <v>224</v>
      </c>
      <c r="B21" s="55" t="s">
        <v>234</v>
      </c>
      <c r="C21" s="56">
        <v>4000</v>
      </c>
      <c r="D21" s="56">
        <v>3200</v>
      </c>
      <c r="E21" s="56">
        <f>SUM(C21-D21)</f>
        <v>800</v>
      </c>
      <c r="F21" s="109"/>
      <c r="G21" s="237">
        <v>234</v>
      </c>
      <c r="H21" s="55" t="s">
        <v>159</v>
      </c>
      <c r="I21" s="56">
        <v>220</v>
      </c>
      <c r="J21" s="56">
        <v>120</v>
      </c>
      <c r="K21" s="56">
        <f>SUM(I21-J21)</f>
        <v>100</v>
      </c>
      <c r="L21" s="109"/>
      <c r="M21" s="237">
        <v>244</v>
      </c>
      <c r="N21" s="55" t="s">
        <v>163</v>
      </c>
      <c r="O21" s="56">
        <v>30</v>
      </c>
      <c r="P21" s="56">
        <v>30</v>
      </c>
      <c r="Q21" s="56">
        <f>SUM(O21-P21)</f>
        <v>0</v>
      </c>
      <c r="R21" s="243"/>
    </row>
    <row r="22" spans="1:18" ht="67.5" customHeight="1">
      <c r="A22" s="238" t="s">
        <v>83</v>
      </c>
      <c r="B22" s="28">
        <f>+D22*18</f>
        <v>57600</v>
      </c>
      <c r="C22" s="57">
        <f>+SUM(C21)</f>
        <v>4000</v>
      </c>
      <c r="D22" s="57">
        <f>+SUM(D21)</f>
        <v>3200</v>
      </c>
      <c r="E22" s="57">
        <f>+SUM(E21)</f>
        <v>800</v>
      </c>
      <c r="F22" s="109"/>
      <c r="G22" s="121" t="s">
        <v>83</v>
      </c>
      <c r="H22" s="28">
        <f>+J22*18</f>
        <v>2160</v>
      </c>
      <c r="I22" s="57">
        <f>+SUM(I21)</f>
        <v>220</v>
      </c>
      <c r="J22" s="57">
        <f>+SUM(J21)</f>
        <v>120</v>
      </c>
      <c r="K22" s="57">
        <f>+SUM(K21)</f>
        <v>100</v>
      </c>
      <c r="L22" s="109"/>
      <c r="M22" s="121" t="s">
        <v>83</v>
      </c>
      <c r="N22" s="28">
        <f>+P22*18</f>
        <v>540</v>
      </c>
      <c r="O22" s="57">
        <f>+SUM(O21)</f>
        <v>30</v>
      </c>
      <c r="P22" s="57">
        <f>+SUM(P21)</f>
        <v>30</v>
      </c>
      <c r="Q22" s="57" t="s">
        <v>169</v>
      </c>
      <c r="R22" s="243"/>
    </row>
    <row r="23" spans="1:18" ht="67.5" customHeight="1">
      <c r="A23" s="708" t="s">
        <v>84</v>
      </c>
      <c r="B23" s="704"/>
      <c r="C23" s="705"/>
      <c r="D23" s="708">
        <f>+B22/2</f>
        <v>28800</v>
      </c>
      <c r="E23" s="705"/>
      <c r="F23" s="109"/>
      <c r="G23" s="703" t="s">
        <v>84</v>
      </c>
      <c r="H23" s="704"/>
      <c r="I23" s="705"/>
      <c r="J23" s="708">
        <f>+H22/2</f>
        <v>1080</v>
      </c>
      <c r="K23" s="705"/>
      <c r="L23" s="109"/>
      <c r="M23" s="703" t="s">
        <v>84</v>
      </c>
      <c r="N23" s="704"/>
      <c r="O23" s="705"/>
      <c r="P23" s="708">
        <f>+N22/2</f>
        <v>270</v>
      </c>
      <c r="Q23" s="705"/>
      <c r="R23" s="243"/>
    </row>
    <row r="24" spans="1:18" ht="45" customHeight="1">
      <c r="A24" s="236">
        <v>223</v>
      </c>
      <c r="B24" s="55" t="s">
        <v>233</v>
      </c>
      <c r="C24" s="56">
        <v>12000</v>
      </c>
      <c r="D24" s="56">
        <v>0</v>
      </c>
      <c r="E24" s="56">
        <f>SUM(C24-D24)</f>
        <v>12000</v>
      </c>
      <c r="F24" s="109"/>
      <c r="G24" s="237">
        <v>233</v>
      </c>
      <c r="H24" s="55" t="s">
        <v>160</v>
      </c>
      <c r="I24" s="56">
        <v>2000</v>
      </c>
      <c r="J24" s="56">
        <v>1860</v>
      </c>
      <c r="K24" s="56">
        <f>SUM(I24-J24)</f>
        <v>140</v>
      </c>
      <c r="L24" s="109"/>
      <c r="M24" s="237">
        <v>243</v>
      </c>
      <c r="N24" s="55" t="s">
        <v>190</v>
      </c>
      <c r="O24" s="56">
        <v>4000</v>
      </c>
      <c r="P24" s="56">
        <v>4000</v>
      </c>
      <c r="Q24" s="56">
        <f>SUM(O24-P24)</f>
        <v>0</v>
      </c>
      <c r="R24" s="243"/>
    </row>
    <row r="25" spans="1:18" ht="69.75" customHeight="1">
      <c r="A25" s="238" t="s">
        <v>83</v>
      </c>
      <c r="B25" s="28">
        <f>+D25*18</f>
        <v>0</v>
      </c>
      <c r="C25" s="57">
        <f>+SUM(C24)</f>
        <v>12000</v>
      </c>
      <c r="D25" s="57">
        <f>+SUM(D24)</f>
        <v>0</v>
      </c>
      <c r="E25" s="57">
        <f>+SUM(E24)</f>
        <v>12000</v>
      </c>
      <c r="F25" s="109"/>
      <c r="G25" s="121" t="s">
        <v>83</v>
      </c>
      <c r="H25" s="28">
        <f>+J25*18</f>
        <v>0</v>
      </c>
      <c r="I25" s="57">
        <f>+SUM(I24)</f>
        <v>2000</v>
      </c>
      <c r="J25" s="57">
        <v>0</v>
      </c>
      <c r="K25" s="57">
        <f>+SUM(K24)</f>
        <v>140</v>
      </c>
      <c r="L25" s="109"/>
      <c r="M25" s="121" t="s">
        <v>83</v>
      </c>
      <c r="N25" s="28">
        <f>+P25*18</f>
        <v>72000</v>
      </c>
      <c r="O25" s="57">
        <f>+SUM(O24)</f>
        <v>4000</v>
      </c>
      <c r="P25" s="57">
        <f>+SUM(P24)</f>
        <v>4000</v>
      </c>
      <c r="Q25" s="57">
        <f>+SUM(Q24)</f>
        <v>0</v>
      </c>
      <c r="R25" s="243"/>
    </row>
    <row r="26" spans="1:18" ht="69.75" customHeight="1">
      <c r="A26" s="708" t="s">
        <v>84</v>
      </c>
      <c r="B26" s="704"/>
      <c r="C26" s="705"/>
      <c r="D26" s="708">
        <f>+B25/2</f>
        <v>0</v>
      </c>
      <c r="E26" s="705"/>
      <c r="F26" s="109"/>
      <c r="G26" s="703" t="s">
        <v>84</v>
      </c>
      <c r="H26" s="704"/>
      <c r="I26" s="705"/>
      <c r="J26" s="708">
        <f>+H25/2</f>
        <v>0</v>
      </c>
      <c r="K26" s="705"/>
      <c r="L26" s="109"/>
      <c r="M26" s="703" t="s">
        <v>84</v>
      </c>
      <c r="N26" s="704"/>
      <c r="O26" s="705"/>
      <c r="P26" s="708">
        <f>+N25/2</f>
        <v>36000</v>
      </c>
      <c r="Q26" s="705"/>
      <c r="R26" s="243"/>
    </row>
    <row r="27" spans="1:18" ht="45" customHeight="1">
      <c r="A27" s="236">
        <v>222</v>
      </c>
      <c r="B27" s="55" t="s">
        <v>231</v>
      </c>
      <c r="C27" s="56">
        <v>3000</v>
      </c>
      <c r="D27" s="56">
        <v>0</v>
      </c>
      <c r="E27" s="56">
        <f>SUM(C27-D27)</f>
        <v>3000</v>
      </c>
      <c r="F27" s="109"/>
      <c r="G27" s="237">
        <v>232</v>
      </c>
      <c r="H27" s="244" t="s">
        <v>151</v>
      </c>
      <c r="I27" s="56">
        <v>6000</v>
      </c>
      <c r="J27" s="56">
        <v>3780</v>
      </c>
      <c r="K27" s="56">
        <f>SUM(I27-J27)</f>
        <v>2220</v>
      </c>
      <c r="L27" s="109"/>
      <c r="M27" s="237">
        <v>242</v>
      </c>
      <c r="N27" s="55" t="s">
        <v>162</v>
      </c>
      <c r="O27" s="56">
        <v>1700</v>
      </c>
      <c r="P27" s="56">
        <v>0</v>
      </c>
      <c r="Q27" s="56">
        <f>SUM(O27-P27)</f>
        <v>1700</v>
      </c>
      <c r="R27" s="243"/>
    </row>
    <row r="28" spans="1:18" ht="69" customHeight="1">
      <c r="A28" s="238" t="s">
        <v>83</v>
      </c>
      <c r="B28" s="28">
        <f>+D28*18</f>
        <v>0</v>
      </c>
      <c r="C28" s="57">
        <f>+SUM(C27)</f>
        <v>3000</v>
      </c>
      <c r="D28" s="57">
        <f>+SUM(D27)</f>
        <v>0</v>
      </c>
      <c r="E28" s="57">
        <f>+SUM(E27)</f>
        <v>3000</v>
      </c>
      <c r="F28" s="109"/>
      <c r="G28" s="121" t="s">
        <v>83</v>
      </c>
      <c r="H28" s="28">
        <f>+J28*18</f>
        <v>68040</v>
      </c>
      <c r="I28" s="57">
        <f>+SUM(I27)</f>
        <v>6000</v>
      </c>
      <c r="J28" s="57">
        <f>+SUM(J27)</f>
        <v>3780</v>
      </c>
      <c r="K28" s="57">
        <f>+SUM(K27)</f>
        <v>2220</v>
      </c>
      <c r="L28" s="109"/>
      <c r="M28" s="121" t="s">
        <v>83</v>
      </c>
      <c r="N28" s="28">
        <f>+P28*18</f>
        <v>0</v>
      </c>
      <c r="O28" s="57">
        <f>+SUM(O27)</f>
        <v>1700</v>
      </c>
      <c r="P28" s="57">
        <f>+SUM(P27)</f>
        <v>0</v>
      </c>
      <c r="Q28" s="57">
        <f>+SUM(Q27)</f>
        <v>1700</v>
      </c>
      <c r="R28" s="243"/>
    </row>
    <row r="29" spans="1:18" ht="69" customHeight="1">
      <c r="A29" s="708" t="s">
        <v>84</v>
      </c>
      <c r="B29" s="704"/>
      <c r="C29" s="705"/>
      <c r="D29" s="708">
        <f>+B28/2</f>
        <v>0</v>
      </c>
      <c r="E29" s="705"/>
      <c r="F29" s="109"/>
      <c r="G29" s="703" t="s">
        <v>84</v>
      </c>
      <c r="H29" s="704"/>
      <c r="I29" s="705"/>
      <c r="J29" s="708">
        <f>+H28/2</f>
        <v>34020</v>
      </c>
      <c r="K29" s="705"/>
      <c r="L29" s="109"/>
      <c r="M29" s="703" t="s">
        <v>84</v>
      </c>
      <c r="N29" s="704"/>
      <c r="O29" s="705"/>
      <c r="P29" s="708">
        <f>+N28/2</f>
        <v>0</v>
      </c>
      <c r="Q29" s="705"/>
      <c r="R29" s="243"/>
    </row>
    <row r="30" spans="1:18" ht="45" customHeight="1">
      <c r="A30" s="236">
        <v>221</v>
      </c>
      <c r="B30" s="55" t="s">
        <v>230</v>
      </c>
      <c r="C30" s="56">
        <v>1000</v>
      </c>
      <c r="D30" s="56">
        <v>0</v>
      </c>
      <c r="E30" s="56">
        <f>SUM(C30-D30)</f>
        <v>1000</v>
      </c>
      <c r="F30" s="109"/>
      <c r="G30" s="237">
        <v>231</v>
      </c>
      <c r="H30" s="55" t="s">
        <v>152</v>
      </c>
      <c r="I30" s="56">
        <v>3500</v>
      </c>
      <c r="J30" s="56">
        <v>3500</v>
      </c>
      <c r="K30" s="56">
        <f>SUM(I30-J30)</f>
        <v>0</v>
      </c>
      <c r="L30" s="109"/>
      <c r="M30" s="237">
        <v>241</v>
      </c>
      <c r="N30" s="55" t="s">
        <v>196</v>
      </c>
      <c r="O30" s="56">
        <v>2000</v>
      </c>
      <c r="P30" s="56">
        <v>0</v>
      </c>
      <c r="Q30" s="56">
        <f>SUM(O30-P30)</f>
        <v>2000</v>
      </c>
      <c r="R30" s="243"/>
    </row>
    <row r="31" spans="1:18" ht="71.25" customHeight="1">
      <c r="A31" s="238" t="s">
        <v>83</v>
      </c>
      <c r="B31" s="28">
        <f>+D31*18</f>
        <v>0</v>
      </c>
      <c r="C31" s="57">
        <f>+SUM(C30)</f>
        <v>1000</v>
      </c>
      <c r="D31" s="57">
        <f>+SUM(D30)</f>
        <v>0</v>
      </c>
      <c r="E31" s="57">
        <f>+SUM(E30)</f>
        <v>1000</v>
      </c>
      <c r="F31" s="109"/>
      <c r="G31" s="121" t="s">
        <v>83</v>
      </c>
      <c r="H31" s="28">
        <f>+J31*18</f>
        <v>63000</v>
      </c>
      <c r="I31" s="57">
        <f>+SUM(I30)</f>
        <v>3500</v>
      </c>
      <c r="J31" s="57">
        <f>+SUM(J30)</f>
        <v>3500</v>
      </c>
      <c r="K31" s="57">
        <f>+SUM(K30)</f>
        <v>0</v>
      </c>
      <c r="L31" s="109"/>
      <c r="M31" s="121" t="s">
        <v>83</v>
      </c>
      <c r="N31" s="28">
        <f>+P31*18</f>
        <v>0</v>
      </c>
      <c r="O31" s="57">
        <f>+SUM(O30)</f>
        <v>2000</v>
      </c>
      <c r="P31" s="57">
        <f>+SUM(P30)</f>
        <v>0</v>
      </c>
      <c r="Q31" s="57">
        <f>+SUM(Q30)</f>
        <v>2000</v>
      </c>
      <c r="R31" s="243"/>
    </row>
    <row r="32" spans="1:18" ht="71.25" customHeight="1">
      <c r="A32" s="708" t="s">
        <v>84</v>
      </c>
      <c r="B32" s="704"/>
      <c r="C32" s="705"/>
      <c r="D32" s="708">
        <f>+B31/2</f>
        <v>0</v>
      </c>
      <c r="E32" s="705"/>
      <c r="F32" s="109"/>
      <c r="G32" s="723" t="s">
        <v>84</v>
      </c>
      <c r="H32" s="704"/>
      <c r="I32" s="705"/>
      <c r="J32" s="708">
        <f>+H31/2</f>
        <v>31500</v>
      </c>
      <c r="K32" s="705"/>
      <c r="L32" s="245"/>
      <c r="M32" s="703" t="s">
        <v>84</v>
      </c>
      <c r="N32" s="704"/>
      <c r="O32" s="705"/>
      <c r="P32" s="708">
        <f>+N31/2</f>
        <v>0</v>
      </c>
      <c r="Q32" s="705"/>
      <c r="R32" s="246"/>
    </row>
    <row r="33" spans="6:7" ht="15" hidden="1" customHeight="1">
      <c r="F33" s="140"/>
      <c r="G33" s="140"/>
    </row>
  </sheetData>
  <mergeCells count="63">
    <mergeCell ref="A20:C20"/>
    <mergeCell ref="D20:E20"/>
    <mergeCell ref="A32:C32"/>
    <mergeCell ref="D32:E32"/>
    <mergeCell ref="M1:Q1"/>
    <mergeCell ref="A29:C29"/>
    <mergeCell ref="D29:E29"/>
    <mergeCell ref="A26:C26"/>
    <mergeCell ref="D26:E26"/>
    <mergeCell ref="A23:C23"/>
    <mergeCell ref="D23:E23"/>
    <mergeCell ref="G20:I20"/>
    <mergeCell ref="G29:I29"/>
    <mergeCell ref="A1:E1"/>
    <mergeCell ref="G1:K1"/>
    <mergeCell ref="A17:C17"/>
    <mergeCell ref="D17:E17"/>
    <mergeCell ref="A14:C14"/>
    <mergeCell ref="D14:E14"/>
    <mergeCell ref="A11:C11"/>
    <mergeCell ref="D11:E11"/>
    <mergeCell ref="A5:C5"/>
    <mergeCell ref="D5:E5"/>
    <mergeCell ref="G5:I5"/>
    <mergeCell ref="J5:K5"/>
    <mergeCell ref="G8:I8"/>
    <mergeCell ref="J8:K8"/>
    <mergeCell ref="A8:C8"/>
    <mergeCell ref="D8:E8"/>
    <mergeCell ref="G11:I11"/>
    <mergeCell ref="J11:K11"/>
    <mergeCell ref="G14:I14"/>
    <mergeCell ref="J14:K14"/>
    <mergeCell ref="G17:I17"/>
    <mergeCell ref="J17:K17"/>
    <mergeCell ref="J20:K20"/>
    <mergeCell ref="G23:I23"/>
    <mergeCell ref="J23:K23"/>
    <mergeCell ref="G26:I26"/>
    <mergeCell ref="J26:K26"/>
    <mergeCell ref="J29:K29"/>
    <mergeCell ref="G32:I32"/>
    <mergeCell ref="J32:K32"/>
    <mergeCell ref="M5:O5"/>
    <mergeCell ref="P5:Q5"/>
    <mergeCell ref="M8:O8"/>
    <mergeCell ref="P8:Q8"/>
    <mergeCell ref="M11:O11"/>
    <mergeCell ref="P11:Q11"/>
    <mergeCell ref="M14:O14"/>
    <mergeCell ref="P14:Q14"/>
    <mergeCell ref="M17:O17"/>
    <mergeCell ref="P17:Q17"/>
    <mergeCell ref="M20:O20"/>
    <mergeCell ref="P20:Q20"/>
    <mergeCell ref="M23:O23"/>
    <mergeCell ref="M32:O32"/>
    <mergeCell ref="P32:Q32"/>
    <mergeCell ref="P23:Q23"/>
    <mergeCell ref="M26:O26"/>
    <mergeCell ref="P26:Q26"/>
    <mergeCell ref="M29:O29"/>
    <mergeCell ref="P29:Q29"/>
  </mergeCells>
  <pageMargins left="0.70866141732283505" right="0.70866141732283505" top="0.74803040244969399" bottom="0.74803040244969399" header="0.31496062992126" footer="0.31496062992126"/>
  <pageSetup scale="35" orientation="portrait" verticalDpi="300" r:id="rId1"/>
  <rowBreaks count="1" manualBreakCount="1">
    <brk id="38" max="17" man="1"/>
  </rowBreaks>
  <colBreaks count="2" manualBreakCount="2">
    <brk id="6" max="38" man="1"/>
    <brk id="12" max="38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</sheetPr>
  <dimension ref="A1:AW368"/>
  <sheetViews>
    <sheetView workbookViewId="0">
      <pane ySplit="2" topLeftCell="A322" activePane="bottomLeft" state="frozen"/>
      <selection activeCell="A2" sqref="A2"/>
      <selection pane="bottomLeft" activeCell="M324" sqref="M324"/>
    </sheetView>
  </sheetViews>
  <sheetFormatPr defaultColWidth="12.42578125" defaultRowHeight="18.75"/>
  <cols>
    <col min="1" max="1" width="11.28515625" style="332" customWidth="1"/>
    <col min="2" max="8" width="12.5703125" style="325" bestFit="1" customWidth="1"/>
    <col min="9" max="9" width="12.5703125" style="358" bestFit="1" customWidth="1"/>
    <col min="10" max="10" width="12.5703125" style="359" bestFit="1" customWidth="1"/>
    <col min="11" max="12" width="12.5703125" style="325" bestFit="1" customWidth="1"/>
    <col min="13" max="14" width="12.5703125" style="359" bestFit="1" customWidth="1"/>
    <col min="15" max="15" width="13" style="360" bestFit="1" customWidth="1"/>
    <col min="16" max="16" width="12.42578125" style="361"/>
    <col min="17" max="17" width="12.42578125" style="325"/>
    <col min="18" max="23" width="12.5703125" style="325" bestFit="1" customWidth="1"/>
    <col min="24" max="24" width="12.42578125" style="325"/>
    <col min="25" max="25" width="12.42578125" style="492"/>
    <col min="26" max="35" width="12.42578125" style="325"/>
    <col min="36" max="36" width="12.42578125" style="492"/>
    <col min="37" max="47" width="12.42578125" style="325"/>
    <col min="48" max="49" width="12.42578125" style="326"/>
  </cols>
  <sheetData>
    <row r="1" spans="1:49" ht="9" hidden="1" customHeight="1">
      <c r="A1" s="332" t="s">
        <v>57</v>
      </c>
      <c r="B1" s="321" t="s">
        <v>15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2"/>
      <c r="N1" s="322"/>
      <c r="O1" s="323"/>
      <c r="P1" s="324"/>
    </row>
    <row r="2" spans="1:49" s="6" customFormat="1" ht="19.5">
      <c r="A2" s="332"/>
      <c r="B2" s="327" t="s">
        <v>10</v>
      </c>
      <c r="C2" s="328" t="s">
        <v>21</v>
      </c>
      <c r="D2" s="328" t="s">
        <v>20</v>
      </c>
      <c r="E2" s="328" t="s">
        <v>11</v>
      </c>
      <c r="F2" s="328" t="s">
        <v>42</v>
      </c>
      <c r="G2" s="327" t="s">
        <v>12</v>
      </c>
      <c r="H2" s="327" t="s">
        <v>41</v>
      </c>
      <c r="I2" s="329" t="s">
        <v>13</v>
      </c>
      <c r="J2" s="327" t="s">
        <v>40</v>
      </c>
      <c r="K2" s="327" t="s">
        <v>14</v>
      </c>
      <c r="L2" s="330" t="s">
        <v>43</v>
      </c>
      <c r="M2" s="327" t="s">
        <v>17</v>
      </c>
      <c r="N2" s="327" t="s">
        <v>39</v>
      </c>
      <c r="O2" s="18" t="s">
        <v>16</v>
      </c>
      <c r="P2" s="331"/>
      <c r="Q2" s="332" t="s">
        <v>19</v>
      </c>
      <c r="R2" s="327" t="s">
        <v>10</v>
      </c>
      <c r="S2" s="333" t="s">
        <v>11</v>
      </c>
      <c r="T2" s="333" t="s">
        <v>12</v>
      </c>
      <c r="U2" s="334" t="s">
        <v>13</v>
      </c>
      <c r="V2" s="335" t="s">
        <v>14</v>
      </c>
      <c r="W2" s="336" t="s">
        <v>17</v>
      </c>
      <c r="X2" s="236" t="s">
        <v>16</v>
      </c>
      <c r="Y2" s="492"/>
      <c r="Z2" s="332" t="s">
        <v>55</v>
      </c>
      <c r="AA2" s="327" t="s">
        <v>10</v>
      </c>
      <c r="AB2" s="333">
        <v>7</v>
      </c>
      <c r="AC2" s="333">
        <v>9</v>
      </c>
      <c r="AD2" s="334">
        <v>11</v>
      </c>
      <c r="AE2" s="335">
        <v>13.5</v>
      </c>
      <c r="AF2" s="335">
        <v>21</v>
      </c>
      <c r="AG2" s="335">
        <v>36</v>
      </c>
      <c r="AH2" s="336">
        <v>48</v>
      </c>
      <c r="AI2" s="236" t="s">
        <v>16</v>
      </c>
      <c r="AJ2" s="492"/>
      <c r="AK2" s="332" t="s">
        <v>56</v>
      </c>
      <c r="AL2" s="327" t="s">
        <v>10</v>
      </c>
      <c r="AM2" s="333">
        <v>7</v>
      </c>
      <c r="AN2" s="333">
        <v>9</v>
      </c>
      <c r="AO2" s="334">
        <v>11</v>
      </c>
      <c r="AP2" s="335">
        <v>13.5</v>
      </c>
      <c r="AQ2" s="335">
        <v>16</v>
      </c>
      <c r="AR2" s="335">
        <v>21</v>
      </c>
      <c r="AS2" s="335">
        <v>36</v>
      </c>
      <c r="AT2" s="336">
        <v>48</v>
      </c>
      <c r="AU2" s="236" t="s">
        <v>16</v>
      </c>
      <c r="AV2" s="337"/>
      <c r="AW2" s="337"/>
    </row>
    <row r="3" spans="1:49" ht="14.45" customHeight="1">
      <c r="B3" s="338">
        <v>1</v>
      </c>
      <c r="C3" s="338"/>
      <c r="D3" s="338"/>
      <c r="E3" s="339"/>
      <c r="F3" s="339"/>
      <c r="G3" s="339"/>
      <c r="H3" s="339"/>
      <c r="I3" s="339"/>
      <c r="J3" s="340"/>
      <c r="K3" s="340"/>
      <c r="L3" s="340"/>
      <c r="M3" s="340"/>
      <c r="N3" s="340"/>
      <c r="O3" s="729">
        <f>+E34+G34+I34+K34+N34</f>
        <v>0</v>
      </c>
      <c r="P3" s="331"/>
      <c r="R3" s="338">
        <v>1</v>
      </c>
      <c r="S3" s="341"/>
      <c r="T3" s="341"/>
      <c r="U3" s="341"/>
      <c r="V3" s="341"/>
      <c r="W3" s="341"/>
      <c r="X3" s="479">
        <f>SUM(S34:X34)</f>
        <v>0</v>
      </c>
      <c r="AA3" s="338">
        <v>1</v>
      </c>
      <c r="AB3" s="341"/>
      <c r="AC3" s="341"/>
      <c r="AD3" s="341"/>
      <c r="AE3" s="341"/>
      <c r="AF3" s="341"/>
      <c r="AG3" s="341"/>
      <c r="AH3" s="341"/>
      <c r="AI3" s="479">
        <f>SUM(AB34:AI34)</f>
        <v>0</v>
      </c>
      <c r="AL3" s="338">
        <v>1</v>
      </c>
      <c r="AM3" s="341"/>
      <c r="AN3" s="341"/>
      <c r="AO3" s="341"/>
      <c r="AP3" s="341"/>
      <c r="AQ3" s="341"/>
      <c r="AR3" s="341"/>
      <c r="AS3" s="341"/>
      <c r="AT3" s="341"/>
      <c r="AU3" s="479">
        <f>SUM(AM34:AU34)</f>
        <v>0</v>
      </c>
    </row>
    <row r="4" spans="1:49" ht="14.45" customHeight="1">
      <c r="B4" s="338">
        <v>2</v>
      </c>
      <c r="C4" s="338"/>
      <c r="D4" s="338"/>
      <c r="E4" s="339"/>
      <c r="F4" s="339"/>
      <c r="G4" s="339"/>
      <c r="H4" s="339"/>
      <c r="I4" s="339"/>
      <c r="J4" s="340"/>
      <c r="K4" s="340"/>
      <c r="L4" s="340"/>
      <c r="M4" s="340"/>
      <c r="N4" s="340"/>
      <c r="O4" s="730"/>
      <c r="P4" s="331"/>
      <c r="R4" s="338">
        <v>2</v>
      </c>
      <c r="S4" s="341"/>
      <c r="T4" s="341"/>
      <c r="U4" s="341"/>
      <c r="V4" s="341"/>
      <c r="W4" s="341"/>
      <c r="X4" s="480"/>
      <c r="AA4" s="338">
        <v>2</v>
      </c>
      <c r="AB4" s="341"/>
      <c r="AC4" s="341"/>
      <c r="AD4" s="341"/>
      <c r="AE4" s="341"/>
      <c r="AF4" s="341"/>
      <c r="AG4" s="341"/>
      <c r="AH4" s="341"/>
      <c r="AI4" s="480"/>
      <c r="AL4" s="338">
        <v>2</v>
      </c>
      <c r="AM4" s="341"/>
      <c r="AN4" s="341"/>
      <c r="AO4" s="341"/>
      <c r="AP4" s="341"/>
      <c r="AQ4" s="341"/>
      <c r="AR4" s="341"/>
      <c r="AS4" s="341"/>
      <c r="AT4" s="341"/>
      <c r="AU4" s="480"/>
    </row>
    <row r="5" spans="1:49" ht="14.45" customHeight="1">
      <c r="B5" s="338">
        <v>3</v>
      </c>
      <c r="C5" s="338"/>
      <c r="D5" s="338"/>
      <c r="E5" s="339"/>
      <c r="F5" s="339"/>
      <c r="G5" s="339"/>
      <c r="H5" s="339"/>
      <c r="I5" s="339"/>
      <c r="J5" s="340"/>
      <c r="K5" s="340"/>
      <c r="L5" s="340"/>
      <c r="M5" s="340"/>
      <c r="N5" s="340"/>
      <c r="O5" s="730"/>
      <c r="P5" s="331"/>
      <c r="R5" s="338">
        <v>3</v>
      </c>
      <c r="S5" s="341"/>
      <c r="T5" s="341"/>
      <c r="U5" s="341"/>
      <c r="V5" s="341"/>
      <c r="W5" s="341"/>
      <c r="X5" s="480"/>
      <c r="AA5" s="338">
        <v>3</v>
      </c>
      <c r="AB5" s="341"/>
      <c r="AC5" s="341"/>
      <c r="AD5" s="341"/>
      <c r="AE5" s="341"/>
      <c r="AF5" s="341"/>
      <c r="AG5" s="341"/>
      <c r="AH5" s="341"/>
      <c r="AI5" s="480"/>
      <c r="AL5" s="338">
        <v>3</v>
      </c>
      <c r="AM5" s="341"/>
      <c r="AN5" s="341"/>
      <c r="AO5" s="341"/>
      <c r="AP5" s="341"/>
      <c r="AQ5" s="341"/>
      <c r="AR5" s="341"/>
      <c r="AS5" s="341"/>
      <c r="AT5" s="341"/>
      <c r="AU5" s="480"/>
    </row>
    <row r="6" spans="1:49" ht="14.45" customHeight="1">
      <c r="B6" s="338">
        <v>4</v>
      </c>
      <c r="C6" s="338"/>
      <c r="D6" s="338"/>
      <c r="E6" s="339"/>
      <c r="F6" s="339"/>
      <c r="G6" s="339"/>
      <c r="H6" s="339"/>
      <c r="I6" s="339"/>
      <c r="J6" s="340"/>
      <c r="K6" s="340"/>
      <c r="L6" s="340"/>
      <c r="M6" s="340"/>
      <c r="N6" s="340"/>
      <c r="O6" s="730"/>
      <c r="P6" s="331"/>
      <c r="R6" s="338">
        <v>4</v>
      </c>
      <c r="S6" s="341"/>
      <c r="T6" s="341"/>
      <c r="U6" s="341"/>
      <c r="V6" s="341"/>
      <c r="W6" s="341"/>
      <c r="X6" s="480"/>
      <c r="AA6" s="338">
        <v>4</v>
      </c>
      <c r="AB6" s="341"/>
      <c r="AC6" s="341"/>
      <c r="AD6" s="341"/>
      <c r="AE6" s="341"/>
      <c r="AF6" s="341"/>
      <c r="AG6" s="341"/>
      <c r="AH6" s="341"/>
      <c r="AI6" s="480"/>
      <c r="AL6" s="338">
        <v>4</v>
      </c>
      <c r="AM6" s="341"/>
      <c r="AN6" s="341"/>
      <c r="AO6" s="341"/>
      <c r="AP6" s="341"/>
      <c r="AQ6" s="341"/>
      <c r="AR6" s="341"/>
      <c r="AS6" s="341"/>
      <c r="AT6" s="341"/>
      <c r="AU6" s="480"/>
    </row>
    <row r="7" spans="1:49" ht="14.45" customHeight="1">
      <c r="B7" s="338">
        <v>5</v>
      </c>
      <c r="C7" s="338"/>
      <c r="D7" s="338"/>
      <c r="E7" s="339"/>
      <c r="F7" s="339"/>
      <c r="G7" s="339"/>
      <c r="H7" s="339"/>
      <c r="I7" s="339"/>
      <c r="J7" s="340"/>
      <c r="K7" s="340"/>
      <c r="L7" s="340"/>
      <c r="M7" s="340"/>
      <c r="N7" s="340"/>
      <c r="O7" s="730"/>
      <c r="P7" s="331"/>
      <c r="R7" s="338">
        <v>5</v>
      </c>
      <c r="S7" s="341"/>
      <c r="T7" s="341"/>
      <c r="U7" s="341"/>
      <c r="V7" s="341"/>
      <c r="W7" s="341"/>
      <c r="X7" s="480"/>
      <c r="AA7" s="338">
        <v>5</v>
      </c>
      <c r="AB7" s="341"/>
      <c r="AC7" s="341"/>
      <c r="AD7" s="341"/>
      <c r="AE7" s="341"/>
      <c r="AF7" s="341"/>
      <c r="AG7" s="341"/>
      <c r="AH7" s="341"/>
      <c r="AI7" s="480"/>
      <c r="AL7" s="338">
        <v>5</v>
      </c>
      <c r="AM7" s="341"/>
      <c r="AN7" s="341"/>
      <c r="AO7" s="341"/>
      <c r="AP7" s="341"/>
      <c r="AQ7" s="341"/>
      <c r="AR7" s="341"/>
      <c r="AS7" s="341"/>
      <c r="AT7" s="341"/>
      <c r="AU7" s="480"/>
    </row>
    <row r="8" spans="1:49" ht="14.45" customHeight="1">
      <c r="B8" s="338">
        <v>6</v>
      </c>
      <c r="C8" s="338"/>
      <c r="D8" s="338"/>
      <c r="E8" s="339"/>
      <c r="F8" s="339"/>
      <c r="G8" s="339"/>
      <c r="H8" s="339"/>
      <c r="I8" s="339"/>
      <c r="J8" s="340"/>
      <c r="K8" s="340"/>
      <c r="L8" s="340"/>
      <c r="M8" s="340"/>
      <c r="N8" s="340"/>
      <c r="O8" s="730"/>
      <c r="P8" s="331"/>
      <c r="R8" s="338">
        <v>6</v>
      </c>
      <c r="S8" s="341"/>
      <c r="T8" s="341"/>
      <c r="U8" s="341"/>
      <c r="V8" s="341"/>
      <c r="W8" s="341"/>
      <c r="X8" s="480"/>
      <c r="AA8" s="338">
        <v>6</v>
      </c>
      <c r="AB8" s="341"/>
      <c r="AC8" s="341"/>
      <c r="AD8" s="341"/>
      <c r="AE8" s="341"/>
      <c r="AF8" s="341"/>
      <c r="AG8" s="341"/>
      <c r="AH8" s="341"/>
      <c r="AI8" s="480"/>
      <c r="AL8" s="338">
        <v>6</v>
      </c>
      <c r="AM8" s="341"/>
      <c r="AN8" s="341"/>
      <c r="AO8" s="341"/>
      <c r="AP8" s="341"/>
      <c r="AQ8" s="341"/>
      <c r="AR8" s="341"/>
      <c r="AS8" s="341"/>
      <c r="AT8" s="341"/>
      <c r="AU8" s="480"/>
    </row>
    <row r="9" spans="1:49" ht="14.45" customHeight="1">
      <c r="B9" s="338">
        <v>7</v>
      </c>
      <c r="C9" s="338"/>
      <c r="D9" s="338"/>
      <c r="E9" s="339"/>
      <c r="F9" s="339"/>
      <c r="G9" s="339"/>
      <c r="H9" s="339"/>
      <c r="I9" s="339"/>
      <c r="J9" s="340"/>
      <c r="K9" s="340"/>
      <c r="L9" s="340"/>
      <c r="M9" s="340"/>
      <c r="N9" s="340"/>
      <c r="O9" s="730"/>
      <c r="P9" s="331"/>
      <c r="R9" s="338">
        <v>7</v>
      </c>
      <c r="S9" s="341"/>
      <c r="T9" s="341"/>
      <c r="U9" s="341"/>
      <c r="V9" s="341"/>
      <c r="W9" s="341"/>
      <c r="X9" s="480"/>
      <c r="AA9" s="338">
        <v>7</v>
      </c>
      <c r="AB9" s="341"/>
      <c r="AC9" s="341"/>
      <c r="AD9" s="341"/>
      <c r="AE9" s="341"/>
      <c r="AF9" s="341"/>
      <c r="AG9" s="341"/>
      <c r="AH9" s="341"/>
      <c r="AI9" s="480"/>
      <c r="AL9" s="338">
        <v>7</v>
      </c>
      <c r="AM9" s="341"/>
      <c r="AN9" s="341"/>
      <c r="AO9" s="341"/>
      <c r="AP9" s="341"/>
      <c r="AQ9" s="341"/>
      <c r="AR9" s="341"/>
      <c r="AS9" s="341"/>
      <c r="AT9" s="341"/>
      <c r="AU9" s="480"/>
    </row>
    <row r="10" spans="1:49" ht="14.45" customHeight="1">
      <c r="B10" s="338">
        <v>8</v>
      </c>
      <c r="C10" s="338"/>
      <c r="D10" s="338"/>
      <c r="E10" s="339"/>
      <c r="F10" s="339"/>
      <c r="G10" s="339"/>
      <c r="H10" s="339"/>
      <c r="I10" s="339"/>
      <c r="J10" s="340"/>
      <c r="K10" s="340"/>
      <c r="L10" s="340"/>
      <c r="M10" s="340"/>
      <c r="N10" s="340"/>
      <c r="O10" s="730"/>
      <c r="P10" s="331"/>
      <c r="R10" s="338">
        <v>8</v>
      </c>
      <c r="S10" s="341"/>
      <c r="T10" s="341"/>
      <c r="U10" s="341"/>
      <c r="V10" s="341"/>
      <c r="W10" s="341"/>
      <c r="X10" s="480"/>
      <c r="AA10" s="338">
        <v>8</v>
      </c>
      <c r="AB10" s="341"/>
      <c r="AC10" s="341"/>
      <c r="AD10" s="341"/>
      <c r="AE10" s="341"/>
      <c r="AF10" s="341"/>
      <c r="AG10" s="341"/>
      <c r="AH10" s="341"/>
      <c r="AI10" s="480"/>
      <c r="AL10" s="338">
        <v>8</v>
      </c>
      <c r="AM10" s="341"/>
      <c r="AN10" s="341"/>
      <c r="AO10" s="341"/>
      <c r="AP10" s="341"/>
      <c r="AQ10" s="341"/>
      <c r="AR10" s="341"/>
      <c r="AS10" s="341"/>
      <c r="AT10" s="341"/>
      <c r="AU10" s="480"/>
    </row>
    <row r="11" spans="1:49" ht="14.45" customHeight="1">
      <c r="B11" s="338">
        <v>9</v>
      </c>
      <c r="C11" s="338"/>
      <c r="D11" s="338"/>
      <c r="E11" s="339"/>
      <c r="F11" s="339"/>
      <c r="G11" s="339"/>
      <c r="H11" s="339"/>
      <c r="I11" s="339"/>
      <c r="J11" s="340"/>
      <c r="K11" s="340"/>
      <c r="L11" s="340"/>
      <c r="M11" s="340"/>
      <c r="N11" s="340"/>
      <c r="O11" s="730"/>
      <c r="P11" s="331"/>
      <c r="R11" s="338">
        <v>9</v>
      </c>
      <c r="S11" s="341"/>
      <c r="T11" s="341"/>
      <c r="U11" s="341"/>
      <c r="V11" s="341"/>
      <c r="W11" s="341"/>
      <c r="X11" s="480"/>
      <c r="AA11" s="338">
        <v>9</v>
      </c>
      <c r="AB11" s="341"/>
      <c r="AC11" s="341"/>
      <c r="AD11" s="341"/>
      <c r="AE11" s="341"/>
      <c r="AF11" s="341"/>
      <c r="AG11" s="341"/>
      <c r="AH11" s="341"/>
      <c r="AI11" s="480"/>
      <c r="AL11" s="338">
        <v>9</v>
      </c>
      <c r="AM11" s="341"/>
      <c r="AN11" s="341"/>
      <c r="AO11" s="341"/>
      <c r="AP11" s="341"/>
      <c r="AQ11" s="341"/>
      <c r="AR11" s="341"/>
      <c r="AS11" s="341"/>
      <c r="AT11" s="341"/>
      <c r="AU11" s="480"/>
    </row>
    <row r="12" spans="1:49" ht="14.45" customHeight="1">
      <c r="B12" s="338">
        <v>10</v>
      </c>
      <c r="C12" s="338"/>
      <c r="D12" s="338"/>
      <c r="E12" s="339"/>
      <c r="F12" s="339"/>
      <c r="G12" s="339"/>
      <c r="H12" s="339"/>
      <c r="I12" s="339"/>
      <c r="J12" s="340"/>
      <c r="K12" s="340"/>
      <c r="L12" s="340"/>
      <c r="M12" s="340"/>
      <c r="N12" s="340"/>
      <c r="O12" s="730"/>
      <c r="P12" s="331"/>
      <c r="R12" s="338">
        <v>10</v>
      </c>
      <c r="S12" s="341"/>
      <c r="T12" s="341"/>
      <c r="U12" s="341"/>
      <c r="V12" s="341"/>
      <c r="W12" s="341"/>
      <c r="X12" s="480"/>
      <c r="AA12" s="338">
        <v>10</v>
      </c>
      <c r="AB12" s="341"/>
      <c r="AC12" s="341"/>
      <c r="AD12" s="341"/>
      <c r="AE12" s="341"/>
      <c r="AF12" s="341"/>
      <c r="AG12" s="341"/>
      <c r="AH12" s="341"/>
      <c r="AI12" s="480"/>
      <c r="AL12" s="338">
        <v>10</v>
      </c>
      <c r="AM12" s="341"/>
      <c r="AN12" s="341"/>
      <c r="AO12" s="341"/>
      <c r="AP12" s="341"/>
      <c r="AQ12" s="341"/>
      <c r="AR12" s="341"/>
      <c r="AS12" s="341"/>
      <c r="AT12" s="341"/>
      <c r="AU12" s="480"/>
    </row>
    <row r="13" spans="1:49" ht="14.45" customHeight="1">
      <c r="B13" s="338">
        <v>11</v>
      </c>
      <c r="C13" s="338"/>
      <c r="D13" s="338"/>
      <c r="E13" s="339"/>
      <c r="F13" s="339"/>
      <c r="G13" s="339"/>
      <c r="H13" s="339"/>
      <c r="I13" s="339"/>
      <c r="J13" s="340"/>
      <c r="K13" s="340"/>
      <c r="L13" s="340"/>
      <c r="M13" s="340"/>
      <c r="N13" s="340"/>
      <c r="O13" s="730"/>
      <c r="P13" s="331"/>
      <c r="R13" s="338">
        <v>11</v>
      </c>
      <c r="S13" s="341"/>
      <c r="T13" s="341"/>
      <c r="U13" s="341"/>
      <c r="V13" s="341"/>
      <c r="W13" s="341"/>
      <c r="X13" s="480"/>
      <c r="AA13" s="338">
        <v>11</v>
      </c>
      <c r="AB13" s="341"/>
      <c r="AC13" s="341"/>
      <c r="AD13" s="341"/>
      <c r="AE13" s="341"/>
      <c r="AF13" s="341"/>
      <c r="AG13" s="341"/>
      <c r="AH13" s="341"/>
      <c r="AI13" s="480"/>
      <c r="AL13" s="338">
        <v>11</v>
      </c>
      <c r="AM13" s="341"/>
      <c r="AN13" s="341"/>
      <c r="AO13" s="341"/>
      <c r="AP13" s="341"/>
      <c r="AQ13" s="341"/>
      <c r="AR13" s="341"/>
      <c r="AS13" s="341"/>
      <c r="AT13" s="341"/>
      <c r="AU13" s="480"/>
    </row>
    <row r="14" spans="1:49" ht="14.45" customHeight="1">
      <c r="B14" s="338">
        <v>12</v>
      </c>
      <c r="C14" s="338"/>
      <c r="D14" s="338"/>
      <c r="E14" s="339"/>
      <c r="F14" s="339"/>
      <c r="G14" s="339"/>
      <c r="H14" s="339"/>
      <c r="I14" s="339"/>
      <c r="J14" s="340"/>
      <c r="K14" s="340"/>
      <c r="L14" s="340"/>
      <c r="M14" s="340"/>
      <c r="N14" s="340"/>
      <c r="O14" s="730"/>
      <c r="P14" s="331"/>
      <c r="R14" s="338">
        <v>12</v>
      </c>
      <c r="S14" s="341"/>
      <c r="T14" s="341"/>
      <c r="U14" s="341"/>
      <c r="V14" s="341"/>
      <c r="W14" s="341"/>
      <c r="X14" s="480"/>
      <c r="AA14" s="338">
        <v>12</v>
      </c>
      <c r="AB14" s="341"/>
      <c r="AC14" s="341"/>
      <c r="AD14" s="341"/>
      <c r="AE14" s="341"/>
      <c r="AF14" s="341"/>
      <c r="AG14" s="341"/>
      <c r="AH14" s="341"/>
      <c r="AI14" s="480"/>
      <c r="AL14" s="338">
        <v>12</v>
      </c>
      <c r="AM14" s="341"/>
      <c r="AN14" s="341"/>
      <c r="AO14" s="341"/>
      <c r="AP14" s="341"/>
      <c r="AQ14" s="341"/>
      <c r="AR14" s="341"/>
      <c r="AS14" s="341"/>
      <c r="AT14" s="341"/>
      <c r="AU14" s="480"/>
    </row>
    <row r="15" spans="1:49" ht="14.45" customHeight="1">
      <c r="B15" s="338">
        <v>13</v>
      </c>
      <c r="C15" s="338"/>
      <c r="D15" s="338"/>
      <c r="E15" s="339" t="s">
        <v>5</v>
      </c>
      <c r="F15" s="339"/>
      <c r="G15" s="339"/>
      <c r="H15" s="339"/>
      <c r="I15" s="339"/>
      <c r="J15" s="340"/>
      <c r="K15" s="340"/>
      <c r="L15" s="340"/>
      <c r="M15" s="340"/>
      <c r="N15" s="340"/>
      <c r="O15" s="730"/>
      <c r="P15" s="331"/>
      <c r="R15" s="338">
        <v>13</v>
      </c>
      <c r="S15" s="341"/>
      <c r="T15" s="341"/>
      <c r="U15" s="341"/>
      <c r="V15" s="341"/>
      <c r="W15" s="341"/>
      <c r="X15" s="480"/>
      <c r="AA15" s="338">
        <v>13</v>
      </c>
      <c r="AB15" s="341"/>
      <c r="AC15" s="341"/>
      <c r="AD15" s="341"/>
      <c r="AE15" s="341"/>
      <c r="AF15" s="341"/>
      <c r="AG15" s="341"/>
      <c r="AH15" s="341"/>
      <c r="AI15" s="480"/>
      <c r="AL15" s="338">
        <v>13</v>
      </c>
      <c r="AM15" s="341"/>
      <c r="AN15" s="341"/>
      <c r="AO15" s="341"/>
      <c r="AP15" s="341"/>
      <c r="AQ15" s="341"/>
      <c r="AR15" s="341"/>
      <c r="AS15" s="341"/>
      <c r="AT15" s="341"/>
      <c r="AU15" s="480"/>
    </row>
    <row r="16" spans="1:49" ht="14.45" customHeight="1">
      <c r="B16" s="338">
        <v>14</v>
      </c>
      <c r="C16" s="338"/>
      <c r="D16" s="338"/>
      <c r="E16" s="339"/>
      <c r="F16" s="339"/>
      <c r="G16" s="339"/>
      <c r="H16" s="339"/>
      <c r="I16" s="339"/>
      <c r="J16" s="340"/>
      <c r="K16" s="340"/>
      <c r="L16" s="340"/>
      <c r="M16" s="340"/>
      <c r="N16" s="340"/>
      <c r="O16" s="730"/>
      <c r="P16" s="331"/>
      <c r="R16" s="338">
        <v>14</v>
      </c>
      <c r="S16" s="341"/>
      <c r="T16" s="341"/>
      <c r="U16" s="341"/>
      <c r="V16" s="341"/>
      <c r="W16" s="341"/>
      <c r="X16" s="480"/>
      <c r="AA16" s="338">
        <v>14</v>
      </c>
      <c r="AB16" s="341"/>
      <c r="AC16" s="341"/>
      <c r="AD16" s="341"/>
      <c r="AE16" s="341"/>
      <c r="AF16" s="341"/>
      <c r="AG16" s="341"/>
      <c r="AH16" s="341"/>
      <c r="AI16" s="480"/>
      <c r="AL16" s="338">
        <v>14</v>
      </c>
      <c r="AM16" s="341"/>
      <c r="AN16" s="341"/>
      <c r="AO16" s="341"/>
      <c r="AP16" s="341"/>
      <c r="AQ16" s="341"/>
      <c r="AR16" s="341"/>
      <c r="AS16" s="341"/>
      <c r="AT16" s="341"/>
      <c r="AU16" s="480"/>
    </row>
    <row r="17" spans="2:47" ht="14.45" customHeight="1">
      <c r="B17" s="338">
        <v>15</v>
      </c>
      <c r="C17" s="338"/>
      <c r="D17" s="338"/>
      <c r="E17" s="339"/>
      <c r="F17" s="339"/>
      <c r="G17" s="339"/>
      <c r="H17" s="339"/>
      <c r="I17" s="339"/>
      <c r="J17" s="340"/>
      <c r="K17" s="340"/>
      <c r="L17" s="340"/>
      <c r="M17" s="340"/>
      <c r="N17" s="340"/>
      <c r="O17" s="730"/>
      <c r="P17" s="331"/>
      <c r="R17" s="338">
        <v>15</v>
      </c>
      <c r="S17" s="341"/>
      <c r="T17" s="341"/>
      <c r="U17" s="341"/>
      <c r="V17" s="341"/>
      <c r="W17" s="341"/>
      <c r="X17" s="480"/>
      <c r="AA17" s="338">
        <v>15</v>
      </c>
      <c r="AB17" s="341"/>
      <c r="AC17" s="341"/>
      <c r="AD17" s="341"/>
      <c r="AE17" s="341"/>
      <c r="AF17" s="341"/>
      <c r="AG17" s="341"/>
      <c r="AH17" s="341"/>
      <c r="AI17" s="480"/>
      <c r="AL17" s="338">
        <v>15</v>
      </c>
      <c r="AM17" s="341"/>
      <c r="AN17" s="341"/>
      <c r="AO17" s="341"/>
      <c r="AP17" s="341"/>
      <c r="AQ17" s="341"/>
      <c r="AR17" s="341"/>
      <c r="AS17" s="341"/>
      <c r="AT17" s="341"/>
      <c r="AU17" s="480"/>
    </row>
    <row r="18" spans="2:47" ht="14.45" customHeight="1">
      <c r="B18" s="338">
        <v>16</v>
      </c>
      <c r="C18" s="338"/>
      <c r="D18" s="338"/>
      <c r="E18" s="339"/>
      <c r="F18" s="339"/>
      <c r="G18" s="339"/>
      <c r="H18" s="339"/>
      <c r="I18" s="339"/>
      <c r="J18" s="340"/>
      <c r="K18" s="340"/>
      <c r="L18" s="340"/>
      <c r="M18" s="340"/>
      <c r="N18" s="340"/>
      <c r="O18" s="730"/>
      <c r="P18" s="331"/>
      <c r="R18" s="338">
        <v>16</v>
      </c>
      <c r="S18" s="341"/>
      <c r="T18" s="341"/>
      <c r="U18" s="341"/>
      <c r="V18" s="341"/>
      <c r="W18" s="341"/>
      <c r="X18" s="480"/>
      <c r="AA18" s="338">
        <v>16</v>
      </c>
      <c r="AB18" s="341"/>
      <c r="AC18" s="341"/>
      <c r="AD18" s="341"/>
      <c r="AE18" s="341"/>
      <c r="AF18" s="341"/>
      <c r="AG18" s="341"/>
      <c r="AH18" s="341"/>
      <c r="AI18" s="480"/>
      <c r="AL18" s="338">
        <v>16</v>
      </c>
      <c r="AM18" s="341"/>
      <c r="AN18" s="341"/>
      <c r="AO18" s="341"/>
      <c r="AP18" s="341"/>
      <c r="AQ18" s="341"/>
      <c r="AR18" s="341"/>
      <c r="AS18" s="341"/>
      <c r="AT18" s="341"/>
      <c r="AU18" s="480"/>
    </row>
    <row r="19" spans="2:47" ht="14.45" customHeight="1">
      <c r="B19" s="338">
        <v>17</v>
      </c>
      <c r="C19" s="338"/>
      <c r="D19" s="338"/>
      <c r="E19" s="339"/>
      <c r="F19" s="339"/>
      <c r="G19" s="339"/>
      <c r="H19" s="339"/>
      <c r="I19" s="339"/>
      <c r="J19" s="340"/>
      <c r="K19" s="340"/>
      <c r="L19" s="340"/>
      <c r="M19" s="340"/>
      <c r="N19" s="340"/>
      <c r="O19" s="730"/>
      <c r="P19" s="331"/>
      <c r="R19" s="338">
        <v>17</v>
      </c>
      <c r="S19" s="341"/>
      <c r="T19" s="341"/>
      <c r="U19" s="341"/>
      <c r="V19" s="341"/>
      <c r="W19" s="341"/>
      <c r="X19" s="480"/>
      <c r="AA19" s="338">
        <v>17</v>
      </c>
      <c r="AB19" s="341"/>
      <c r="AC19" s="341"/>
      <c r="AD19" s="341"/>
      <c r="AE19" s="341"/>
      <c r="AF19" s="341"/>
      <c r="AG19" s="341"/>
      <c r="AH19" s="341"/>
      <c r="AI19" s="480"/>
      <c r="AL19" s="338">
        <v>17</v>
      </c>
      <c r="AM19" s="341"/>
      <c r="AN19" s="341"/>
      <c r="AO19" s="341"/>
      <c r="AP19" s="341"/>
      <c r="AQ19" s="341"/>
      <c r="AR19" s="341"/>
      <c r="AS19" s="341"/>
      <c r="AT19" s="341"/>
      <c r="AU19" s="480"/>
    </row>
    <row r="20" spans="2:47" ht="14.45" customHeight="1">
      <c r="B20" s="338">
        <v>18</v>
      </c>
      <c r="C20" s="338"/>
      <c r="D20" s="338"/>
      <c r="E20" s="339"/>
      <c r="F20" s="339"/>
      <c r="G20" s="339"/>
      <c r="H20" s="339"/>
      <c r="I20" s="339"/>
      <c r="J20" s="340"/>
      <c r="K20" s="340"/>
      <c r="L20" s="340"/>
      <c r="M20" s="340" t="s">
        <v>9</v>
      </c>
      <c r="N20" s="340" t="s">
        <v>9</v>
      </c>
      <c r="O20" s="730"/>
      <c r="P20" s="331"/>
      <c r="R20" s="338">
        <v>18</v>
      </c>
      <c r="S20" s="341"/>
      <c r="T20" s="341"/>
      <c r="U20" s="341"/>
      <c r="V20" s="341"/>
      <c r="W20" s="341"/>
      <c r="X20" s="480"/>
      <c r="AA20" s="338">
        <v>18</v>
      </c>
      <c r="AB20" s="341"/>
      <c r="AC20" s="341"/>
      <c r="AD20" s="341"/>
      <c r="AE20" s="341"/>
      <c r="AF20" s="341"/>
      <c r="AG20" s="341"/>
      <c r="AH20" s="341"/>
      <c r="AI20" s="480"/>
      <c r="AL20" s="338">
        <v>18</v>
      </c>
      <c r="AM20" s="341"/>
      <c r="AN20" s="341"/>
      <c r="AO20" s="341"/>
      <c r="AP20" s="341"/>
      <c r="AQ20" s="341"/>
      <c r="AR20" s="341"/>
      <c r="AS20" s="341"/>
      <c r="AT20" s="341"/>
      <c r="AU20" s="480"/>
    </row>
    <row r="21" spans="2:47" ht="14.45" customHeight="1">
      <c r="B21" s="338">
        <v>19</v>
      </c>
      <c r="C21" s="338"/>
      <c r="D21" s="338"/>
      <c r="E21" s="339"/>
      <c r="F21" s="339"/>
      <c r="G21" s="339"/>
      <c r="H21" s="339"/>
      <c r="I21" s="339"/>
      <c r="J21" s="340"/>
      <c r="K21" s="340"/>
      <c r="L21" s="340"/>
      <c r="M21" s="340"/>
      <c r="N21" s="340"/>
      <c r="O21" s="730"/>
      <c r="P21" s="331"/>
      <c r="R21" s="338">
        <v>19</v>
      </c>
      <c r="S21" s="341"/>
      <c r="T21" s="341"/>
      <c r="U21" s="341"/>
      <c r="V21" s="341"/>
      <c r="W21" s="341"/>
      <c r="X21" s="480"/>
      <c r="AA21" s="338">
        <v>19</v>
      </c>
      <c r="AB21" s="341"/>
      <c r="AC21" s="341"/>
      <c r="AD21" s="341"/>
      <c r="AE21" s="341"/>
      <c r="AF21" s="341"/>
      <c r="AG21" s="341"/>
      <c r="AH21" s="341"/>
      <c r="AI21" s="480"/>
      <c r="AL21" s="338">
        <v>19</v>
      </c>
      <c r="AM21" s="341"/>
      <c r="AN21" s="341"/>
      <c r="AO21" s="341"/>
      <c r="AP21" s="341"/>
      <c r="AQ21" s="341"/>
      <c r="AR21" s="341"/>
      <c r="AS21" s="341"/>
      <c r="AT21" s="341"/>
      <c r="AU21" s="480"/>
    </row>
    <row r="22" spans="2:47" ht="14.45" customHeight="1">
      <c r="B22" s="338">
        <v>20</v>
      </c>
      <c r="C22" s="338"/>
      <c r="D22" s="338"/>
      <c r="E22" s="339"/>
      <c r="F22" s="339"/>
      <c r="G22" s="339"/>
      <c r="H22" s="339"/>
      <c r="I22" s="339"/>
      <c r="J22" s="340"/>
      <c r="K22" s="340"/>
      <c r="L22" s="340"/>
      <c r="M22" s="340"/>
      <c r="N22" s="340"/>
      <c r="O22" s="730"/>
      <c r="P22" s="331"/>
      <c r="R22" s="338">
        <v>20</v>
      </c>
      <c r="S22" s="341"/>
      <c r="T22" s="341"/>
      <c r="U22" s="341"/>
      <c r="V22" s="341"/>
      <c r="W22" s="341"/>
      <c r="X22" s="480"/>
      <c r="AA22" s="338">
        <v>20</v>
      </c>
      <c r="AB22" s="341"/>
      <c r="AC22" s="341"/>
      <c r="AD22" s="341"/>
      <c r="AE22" s="341"/>
      <c r="AF22" s="341"/>
      <c r="AG22" s="341"/>
      <c r="AH22" s="341"/>
      <c r="AI22" s="480"/>
      <c r="AL22" s="338">
        <v>20</v>
      </c>
      <c r="AM22" s="341"/>
      <c r="AN22" s="341"/>
      <c r="AO22" s="341"/>
      <c r="AP22" s="341"/>
      <c r="AQ22" s="341"/>
      <c r="AR22" s="341"/>
      <c r="AS22" s="341"/>
      <c r="AT22" s="341"/>
      <c r="AU22" s="480"/>
    </row>
    <row r="23" spans="2:47" ht="14.45" customHeight="1">
      <c r="B23" s="338">
        <v>21</v>
      </c>
      <c r="C23" s="338"/>
      <c r="D23" s="338"/>
      <c r="E23" s="339"/>
      <c r="F23" s="339"/>
      <c r="G23" s="339"/>
      <c r="H23" s="339"/>
      <c r="I23" s="339"/>
      <c r="J23" s="340"/>
      <c r="K23" s="340"/>
      <c r="L23" s="340"/>
      <c r="M23" s="340"/>
      <c r="N23" s="340"/>
      <c r="O23" s="730"/>
      <c r="P23" s="331"/>
      <c r="R23" s="338">
        <v>21</v>
      </c>
      <c r="S23" s="341"/>
      <c r="T23" s="341"/>
      <c r="U23" s="341"/>
      <c r="V23" s="341"/>
      <c r="W23" s="341"/>
      <c r="X23" s="480"/>
      <c r="AA23" s="338">
        <v>21</v>
      </c>
      <c r="AB23" s="341"/>
      <c r="AC23" s="341"/>
      <c r="AD23" s="341"/>
      <c r="AE23" s="341"/>
      <c r="AF23" s="341"/>
      <c r="AG23" s="341"/>
      <c r="AH23" s="341"/>
      <c r="AI23" s="480"/>
      <c r="AL23" s="338">
        <v>21</v>
      </c>
      <c r="AM23" s="341"/>
      <c r="AN23" s="341"/>
      <c r="AO23" s="341"/>
      <c r="AP23" s="341"/>
      <c r="AQ23" s="341"/>
      <c r="AR23" s="341"/>
      <c r="AS23" s="341"/>
      <c r="AT23" s="341"/>
      <c r="AU23" s="480"/>
    </row>
    <row r="24" spans="2:47" ht="14.45" customHeight="1">
      <c r="B24" s="338">
        <v>22</v>
      </c>
      <c r="C24" s="338"/>
      <c r="D24" s="338"/>
      <c r="E24" s="339"/>
      <c r="F24" s="339"/>
      <c r="G24" s="339"/>
      <c r="H24" s="339"/>
      <c r="I24" s="339"/>
      <c r="J24" s="340"/>
      <c r="K24" s="340"/>
      <c r="L24" s="340"/>
      <c r="M24" s="340"/>
      <c r="N24" s="340"/>
      <c r="O24" s="730"/>
      <c r="P24" s="331"/>
      <c r="R24" s="338">
        <v>22</v>
      </c>
      <c r="S24" s="341"/>
      <c r="T24" s="341"/>
      <c r="U24" s="341"/>
      <c r="V24" s="341"/>
      <c r="W24" s="341"/>
      <c r="X24" s="480"/>
      <c r="AA24" s="338">
        <v>22</v>
      </c>
      <c r="AB24" s="341"/>
      <c r="AC24" s="341"/>
      <c r="AD24" s="341"/>
      <c r="AE24" s="341"/>
      <c r="AF24" s="341"/>
      <c r="AG24" s="341"/>
      <c r="AH24" s="341"/>
      <c r="AI24" s="480"/>
      <c r="AL24" s="338">
        <v>22</v>
      </c>
      <c r="AM24" s="341"/>
      <c r="AN24" s="341"/>
      <c r="AO24" s="341"/>
      <c r="AP24" s="341"/>
      <c r="AQ24" s="341"/>
      <c r="AR24" s="341"/>
      <c r="AS24" s="341"/>
      <c r="AT24" s="341"/>
      <c r="AU24" s="480"/>
    </row>
    <row r="25" spans="2:47" ht="14.45" customHeight="1">
      <c r="B25" s="338">
        <v>23</v>
      </c>
      <c r="C25" s="338"/>
      <c r="D25" s="338"/>
      <c r="E25" s="339"/>
      <c r="F25" s="339"/>
      <c r="G25" s="339"/>
      <c r="H25" s="339"/>
      <c r="I25" s="339"/>
      <c r="J25" s="340"/>
      <c r="K25" s="340"/>
      <c r="L25" s="340"/>
      <c r="M25" s="340"/>
      <c r="N25" s="340"/>
      <c r="O25" s="730"/>
      <c r="P25" s="331"/>
      <c r="R25" s="338">
        <v>23</v>
      </c>
      <c r="S25" s="341"/>
      <c r="T25" s="341"/>
      <c r="U25" s="341"/>
      <c r="V25" s="341"/>
      <c r="W25" s="341"/>
      <c r="X25" s="480"/>
      <c r="AA25" s="338">
        <v>23</v>
      </c>
      <c r="AB25" s="341"/>
      <c r="AC25" s="341"/>
      <c r="AD25" s="341"/>
      <c r="AE25" s="341"/>
      <c r="AF25" s="341"/>
      <c r="AG25" s="341"/>
      <c r="AH25" s="341"/>
      <c r="AI25" s="480"/>
      <c r="AL25" s="338">
        <v>23</v>
      </c>
      <c r="AM25" s="341"/>
      <c r="AN25" s="341"/>
      <c r="AO25" s="341"/>
      <c r="AP25" s="341"/>
      <c r="AQ25" s="341"/>
      <c r="AR25" s="341"/>
      <c r="AS25" s="341"/>
      <c r="AT25" s="341"/>
      <c r="AU25" s="480"/>
    </row>
    <row r="26" spans="2:47" ht="14.45" customHeight="1">
      <c r="B26" s="338">
        <v>24</v>
      </c>
      <c r="C26" s="338"/>
      <c r="D26" s="338"/>
      <c r="E26" s="339"/>
      <c r="F26" s="339"/>
      <c r="G26" s="339"/>
      <c r="H26" s="339"/>
      <c r="I26" s="339"/>
      <c r="J26" s="340"/>
      <c r="K26" s="340"/>
      <c r="L26" s="340"/>
      <c r="M26" s="340"/>
      <c r="N26" s="340"/>
      <c r="O26" s="730"/>
      <c r="P26" s="331"/>
      <c r="R26" s="338">
        <v>24</v>
      </c>
      <c r="S26" s="341"/>
      <c r="T26" s="341"/>
      <c r="U26" s="341"/>
      <c r="V26" s="341"/>
      <c r="W26" s="341"/>
      <c r="X26" s="480"/>
      <c r="AA26" s="338">
        <v>24</v>
      </c>
      <c r="AB26" s="341"/>
      <c r="AC26" s="341"/>
      <c r="AD26" s="341"/>
      <c r="AE26" s="341"/>
      <c r="AF26" s="341"/>
      <c r="AG26" s="341"/>
      <c r="AH26" s="341"/>
      <c r="AI26" s="480"/>
      <c r="AL26" s="338">
        <v>24</v>
      </c>
      <c r="AM26" s="341"/>
      <c r="AN26" s="341"/>
      <c r="AO26" s="341"/>
      <c r="AP26" s="341"/>
      <c r="AQ26" s="341"/>
      <c r="AR26" s="341"/>
      <c r="AS26" s="341"/>
      <c r="AT26" s="341"/>
      <c r="AU26" s="480"/>
    </row>
    <row r="27" spans="2:47" ht="14.45" customHeight="1">
      <c r="B27" s="338">
        <v>25</v>
      </c>
      <c r="C27" s="338"/>
      <c r="D27" s="338"/>
      <c r="E27" s="339"/>
      <c r="F27" s="339"/>
      <c r="G27" s="339"/>
      <c r="H27" s="339"/>
      <c r="I27" s="339"/>
      <c r="J27" s="340"/>
      <c r="K27" s="340"/>
      <c r="L27" s="340"/>
      <c r="M27" s="340"/>
      <c r="N27" s="340"/>
      <c r="O27" s="730"/>
      <c r="P27" s="331"/>
      <c r="R27" s="338">
        <v>25</v>
      </c>
      <c r="S27" s="341"/>
      <c r="T27" s="341"/>
      <c r="U27" s="341"/>
      <c r="V27" s="341"/>
      <c r="W27" s="341"/>
      <c r="X27" s="480"/>
      <c r="AA27" s="338">
        <v>25</v>
      </c>
      <c r="AB27" s="341"/>
      <c r="AC27" s="341"/>
      <c r="AD27" s="341"/>
      <c r="AE27" s="341"/>
      <c r="AF27" s="341"/>
      <c r="AG27" s="341"/>
      <c r="AH27" s="341"/>
      <c r="AI27" s="480"/>
      <c r="AL27" s="338">
        <v>25</v>
      </c>
      <c r="AM27" s="341"/>
      <c r="AN27" s="341"/>
      <c r="AO27" s="341"/>
      <c r="AP27" s="341"/>
      <c r="AQ27" s="341"/>
      <c r="AR27" s="341"/>
      <c r="AS27" s="341"/>
      <c r="AT27" s="341"/>
      <c r="AU27" s="480"/>
    </row>
    <row r="28" spans="2:47" ht="14.45" customHeight="1">
      <c r="B28" s="338">
        <v>26</v>
      </c>
      <c r="C28" s="344"/>
      <c r="D28" s="344"/>
      <c r="E28" s="340"/>
      <c r="F28" s="345"/>
      <c r="G28" s="345"/>
      <c r="H28" s="345"/>
      <c r="I28" s="345"/>
      <c r="J28" s="345"/>
      <c r="K28" s="481"/>
      <c r="L28" s="345"/>
      <c r="M28" s="340"/>
      <c r="N28" s="340"/>
      <c r="O28" s="730"/>
      <c r="P28" s="331"/>
      <c r="R28" s="338">
        <v>26</v>
      </c>
      <c r="S28" s="341"/>
      <c r="T28" s="341"/>
      <c r="U28" s="341"/>
      <c r="V28" s="341"/>
      <c r="W28" s="341"/>
      <c r="X28" s="480"/>
      <c r="AA28" s="338">
        <v>26</v>
      </c>
      <c r="AB28" s="341"/>
      <c r="AC28" s="341"/>
      <c r="AD28" s="341"/>
      <c r="AE28" s="341"/>
      <c r="AF28" s="341"/>
      <c r="AG28" s="341"/>
      <c r="AH28" s="341"/>
      <c r="AI28" s="480"/>
      <c r="AL28" s="338">
        <v>26</v>
      </c>
      <c r="AM28" s="341"/>
      <c r="AN28" s="341"/>
      <c r="AO28" s="341"/>
      <c r="AP28" s="341"/>
      <c r="AQ28" s="341"/>
      <c r="AR28" s="341"/>
      <c r="AS28" s="341"/>
      <c r="AT28" s="341"/>
      <c r="AU28" s="480"/>
    </row>
    <row r="29" spans="2:47" ht="14.45" customHeight="1">
      <c r="B29" s="338">
        <v>27</v>
      </c>
      <c r="C29" s="346"/>
      <c r="D29" s="346"/>
      <c r="E29" s="347"/>
      <c r="F29" s="347"/>
      <c r="G29" s="347"/>
      <c r="H29" s="347"/>
      <c r="I29" s="347"/>
      <c r="J29" s="340"/>
      <c r="K29" s="348"/>
      <c r="L29" s="348"/>
      <c r="M29" s="340"/>
      <c r="N29" s="340"/>
      <c r="O29" s="730"/>
      <c r="P29" s="331"/>
      <c r="R29" s="338">
        <v>27</v>
      </c>
      <c r="S29" s="341"/>
      <c r="T29" s="341"/>
      <c r="U29" s="341"/>
      <c r="V29" s="341"/>
      <c r="W29" s="341"/>
      <c r="X29" s="480"/>
      <c r="AA29" s="338">
        <v>27</v>
      </c>
      <c r="AB29" s="341"/>
      <c r="AC29" s="341"/>
      <c r="AD29" s="341"/>
      <c r="AE29" s="341"/>
      <c r="AF29" s="341"/>
      <c r="AG29" s="341"/>
      <c r="AH29" s="341"/>
      <c r="AI29" s="480"/>
      <c r="AL29" s="338">
        <v>27</v>
      </c>
      <c r="AM29" s="341"/>
      <c r="AN29" s="341"/>
      <c r="AO29" s="341"/>
      <c r="AP29" s="341"/>
      <c r="AQ29" s="341"/>
      <c r="AR29" s="341"/>
      <c r="AS29" s="341"/>
      <c r="AT29" s="341"/>
      <c r="AU29" s="480"/>
    </row>
    <row r="30" spans="2:47" ht="14.45" customHeight="1">
      <c r="B30" s="338">
        <v>28</v>
      </c>
      <c r="C30" s="338"/>
      <c r="D30" s="338"/>
      <c r="E30" s="339"/>
      <c r="F30" s="339"/>
      <c r="G30" s="339"/>
      <c r="H30" s="339"/>
      <c r="I30" s="339"/>
      <c r="J30" s="340"/>
      <c r="K30" s="340"/>
      <c r="L30" s="340"/>
      <c r="M30" s="340"/>
      <c r="N30" s="340"/>
      <c r="O30" s="730"/>
      <c r="P30" s="331"/>
      <c r="R30" s="338">
        <v>28</v>
      </c>
      <c r="S30" s="341"/>
      <c r="T30" s="341"/>
      <c r="U30" s="341"/>
      <c r="V30" s="341"/>
      <c r="W30" s="341"/>
      <c r="X30" s="480"/>
      <c r="AA30" s="338">
        <v>28</v>
      </c>
      <c r="AB30" s="341"/>
      <c r="AC30" s="341"/>
      <c r="AD30" s="341"/>
      <c r="AE30" s="341"/>
      <c r="AF30" s="341"/>
      <c r="AG30" s="341"/>
      <c r="AH30" s="341"/>
      <c r="AI30" s="480"/>
      <c r="AL30" s="338">
        <v>28</v>
      </c>
      <c r="AM30" s="341"/>
      <c r="AN30" s="341"/>
      <c r="AO30" s="341"/>
      <c r="AP30" s="341"/>
      <c r="AQ30" s="341"/>
      <c r="AR30" s="341"/>
      <c r="AS30" s="341"/>
      <c r="AT30" s="341"/>
      <c r="AU30" s="480"/>
    </row>
    <row r="31" spans="2:47" ht="14.45" customHeight="1">
      <c r="B31" s="338">
        <v>29</v>
      </c>
      <c r="C31" s="338"/>
      <c r="D31" s="338"/>
      <c r="E31" s="339"/>
      <c r="F31" s="339"/>
      <c r="G31" s="339"/>
      <c r="H31" s="339"/>
      <c r="I31" s="339"/>
      <c r="J31" s="340"/>
      <c r="K31" s="340"/>
      <c r="L31" s="340"/>
      <c r="M31" s="340"/>
      <c r="N31" s="340"/>
      <c r="O31" s="730"/>
      <c r="P31" s="331"/>
      <c r="R31" s="338">
        <v>29</v>
      </c>
      <c r="S31" s="341"/>
      <c r="T31" s="341"/>
      <c r="U31" s="341"/>
      <c r="V31" s="341"/>
      <c r="W31" s="341"/>
      <c r="X31" s="480"/>
      <c r="AA31" s="338">
        <v>29</v>
      </c>
      <c r="AB31" s="341"/>
      <c r="AC31" s="341"/>
      <c r="AD31" s="341"/>
      <c r="AE31" s="341"/>
      <c r="AF31" s="341"/>
      <c r="AG31" s="341"/>
      <c r="AH31" s="341"/>
      <c r="AI31" s="480"/>
      <c r="AL31" s="338">
        <v>29</v>
      </c>
      <c r="AM31" s="341"/>
      <c r="AN31" s="341"/>
      <c r="AO31" s="341"/>
      <c r="AP31" s="341"/>
      <c r="AQ31" s="341"/>
      <c r="AR31" s="341"/>
      <c r="AS31" s="341"/>
      <c r="AT31" s="341"/>
      <c r="AU31" s="480"/>
    </row>
    <row r="32" spans="2:47" ht="14.45" customHeight="1">
      <c r="B32" s="338">
        <v>30</v>
      </c>
      <c r="C32" s="349"/>
      <c r="D32" s="349"/>
      <c r="E32" s="350"/>
      <c r="F32" s="350"/>
      <c r="G32" s="350"/>
      <c r="H32" s="350"/>
      <c r="I32" s="350"/>
      <c r="J32" s="340"/>
      <c r="K32" s="351"/>
      <c r="L32" s="351"/>
      <c r="M32" s="340"/>
      <c r="N32" s="340"/>
      <c r="O32" s="730"/>
      <c r="P32" s="331"/>
      <c r="R32" s="338">
        <v>30</v>
      </c>
      <c r="S32" s="341"/>
      <c r="T32" s="341"/>
      <c r="U32" s="341"/>
      <c r="V32" s="341"/>
      <c r="W32" s="341"/>
      <c r="X32" s="480"/>
      <c r="AA32" s="338">
        <v>30</v>
      </c>
      <c r="AB32" s="341"/>
      <c r="AC32" s="341"/>
      <c r="AD32" s="341"/>
      <c r="AE32" s="341"/>
      <c r="AF32" s="341"/>
      <c r="AG32" s="341"/>
      <c r="AH32" s="341"/>
      <c r="AI32" s="480"/>
      <c r="AL32" s="338">
        <v>30</v>
      </c>
      <c r="AM32" s="341"/>
      <c r="AN32" s="341"/>
      <c r="AO32" s="341"/>
      <c r="AP32" s="341"/>
      <c r="AQ32" s="341"/>
      <c r="AR32" s="341"/>
      <c r="AS32" s="341"/>
      <c r="AT32" s="341"/>
      <c r="AU32" s="480"/>
    </row>
    <row r="33" spans="1:49" ht="14.45" customHeight="1">
      <c r="B33" s="338">
        <v>31</v>
      </c>
      <c r="C33" s="349"/>
      <c r="D33" s="349"/>
      <c r="E33" s="350"/>
      <c r="F33" s="350"/>
      <c r="G33" s="350"/>
      <c r="H33" s="350"/>
      <c r="I33" s="350"/>
      <c r="J33" s="340"/>
      <c r="K33" s="351"/>
      <c r="L33" s="351"/>
      <c r="M33" s="340"/>
      <c r="N33" s="340"/>
      <c r="O33" s="730"/>
      <c r="P33" s="331"/>
      <c r="R33" s="338">
        <v>31</v>
      </c>
      <c r="S33" s="352"/>
      <c r="T33" s="352"/>
      <c r="U33" s="352"/>
      <c r="V33" s="352"/>
      <c r="W33" s="352"/>
      <c r="X33" s="480"/>
      <c r="AA33" s="338">
        <v>31</v>
      </c>
      <c r="AB33" s="352"/>
      <c r="AC33" s="352"/>
      <c r="AD33" s="352"/>
      <c r="AE33" s="352"/>
      <c r="AF33" s="352"/>
      <c r="AG33" s="352"/>
      <c r="AH33" s="352"/>
      <c r="AI33" s="480"/>
      <c r="AL33" s="338">
        <v>31</v>
      </c>
      <c r="AM33" s="352"/>
      <c r="AN33" s="352"/>
      <c r="AO33" s="352"/>
      <c r="AP33" s="352"/>
      <c r="AQ33" s="352"/>
      <c r="AR33" s="352"/>
      <c r="AS33" s="352"/>
      <c r="AT33" s="352"/>
      <c r="AU33" s="480"/>
    </row>
    <row r="34" spans="1:49" s="7" customFormat="1" ht="32.450000000000003" customHeight="1">
      <c r="A34" s="332"/>
      <c r="B34" s="353" t="s">
        <v>16</v>
      </c>
      <c r="C34" s="353"/>
      <c r="D34" s="353"/>
      <c r="E34" s="354">
        <f>+SUM(E3:E33)</f>
        <v>0</v>
      </c>
      <c r="F34" s="354"/>
      <c r="G34" s="354">
        <f>+SUM(G3:G33)</f>
        <v>0</v>
      </c>
      <c r="H34" s="354"/>
      <c r="I34" s="354">
        <f>+SUM(I3:I33)</f>
        <v>0</v>
      </c>
      <c r="J34" s="355"/>
      <c r="K34" s="355">
        <f>+SUM(K3:K33)</f>
        <v>0</v>
      </c>
      <c r="L34" s="355"/>
      <c r="M34" s="355"/>
      <c r="N34" s="355"/>
      <c r="O34" s="730"/>
      <c r="P34" s="331"/>
      <c r="Q34" s="325"/>
      <c r="R34" s="353" t="s">
        <v>16</v>
      </c>
      <c r="S34" s="352">
        <f>SUM(S3:S33)</f>
        <v>0</v>
      </c>
      <c r="T34" s="352">
        <f>SUM(T3:T33)</f>
        <v>0</v>
      </c>
      <c r="U34" s="352">
        <f>SUM(U3:U33)</f>
        <v>0</v>
      </c>
      <c r="V34" s="352">
        <f>SUM(V3:V33)</f>
        <v>0</v>
      </c>
      <c r="W34" s="352">
        <f>SUM(W3:W33)</f>
        <v>0</v>
      </c>
      <c r="X34" s="482"/>
      <c r="Y34" s="493"/>
      <c r="Z34" s="325"/>
      <c r="AA34" s="353" t="s">
        <v>16</v>
      </c>
      <c r="AB34" s="352">
        <f>SUM(AB3:AB33)</f>
        <v>0</v>
      </c>
      <c r="AC34" s="352">
        <f t="shared" ref="AC34:AH34" si="0">SUM(AC3:AC33)</f>
        <v>0</v>
      </c>
      <c r="AD34" s="352">
        <f t="shared" si="0"/>
        <v>0</v>
      </c>
      <c r="AE34" s="352">
        <f t="shared" si="0"/>
        <v>0</v>
      </c>
      <c r="AF34" s="352"/>
      <c r="AG34" s="352"/>
      <c r="AH34" s="352">
        <f t="shared" si="0"/>
        <v>0</v>
      </c>
      <c r="AI34" s="482"/>
      <c r="AJ34" s="493"/>
      <c r="AK34" s="325"/>
      <c r="AL34" s="353" t="s">
        <v>16</v>
      </c>
      <c r="AM34" s="352">
        <f>SUM(AM3:AM33)</f>
        <v>0</v>
      </c>
      <c r="AN34" s="352">
        <f>SUM(AN3:AN33)</f>
        <v>0</v>
      </c>
      <c r="AO34" s="352">
        <f>SUM(AO3:AO33)</f>
        <v>0</v>
      </c>
      <c r="AP34" s="352">
        <f>SUM(AP3:AP33)</f>
        <v>0</v>
      </c>
      <c r="AQ34" s="352"/>
      <c r="AR34" s="352"/>
      <c r="AS34" s="352"/>
      <c r="AT34" s="352">
        <f>SUM(AT3:AT33)</f>
        <v>0</v>
      </c>
      <c r="AU34" s="482"/>
      <c r="AV34" s="357"/>
      <c r="AW34" s="357"/>
    </row>
    <row r="36" spans="1:49" ht="18" customHeight="1">
      <c r="AV36" s="325"/>
    </row>
    <row r="37" spans="1:49" ht="14.45" customHeight="1">
      <c r="B37" s="338">
        <v>1</v>
      </c>
      <c r="C37" s="338">
        <v>144</v>
      </c>
      <c r="D37" s="338"/>
      <c r="E37" s="339"/>
      <c r="F37" s="339"/>
      <c r="G37" s="339"/>
      <c r="H37" s="339"/>
      <c r="I37" s="339">
        <v>115</v>
      </c>
      <c r="J37" s="340"/>
      <c r="K37" s="340">
        <v>54</v>
      </c>
      <c r="L37" s="340"/>
      <c r="M37" s="340"/>
      <c r="N37" s="340"/>
      <c r="O37" s="478">
        <f>+C68+D68+E68+F68+G68+H68+I68+J68+K68+L68+M68+N68</f>
        <v>4828.1980000000003</v>
      </c>
      <c r="P37" s="331"/>
      <c r="R37" s="338">
        <v>1</v>
      </c>
      <c r="S37" s="341"/>
      <c r="T37" s="341"/>
      <c r="U37" s="341"/>
      <c r="V37" s="341"/>
      <c r="W37" s="341"/>
      <c r="X37" s="479">
        <f>SUM(S68:X68)</f>
        <v>0</v>
      </c>
      <c r="AA37" s="338">
        <v>1</v>
      </c>
      <c r="AB37" s="341"/>
      <c r="AC37" s="341"/>
      <c r="AD37" s="341"/>
      <c r="AE37" s="341"/>
      <c r="AF37" s="341"/>
      <c r="AG37" s="341"/>
      <c r="AH37" s="341"/>
      <c r="AI37" s="479">
        <f>SUM(AB68:AI68)</f>
        <v>0</v>
      </c>
      <c r="AL37" s="338">
        <v>1</v>
      </c>
      <c r="AM37" s="341"/>
      <c r="AN37" s="341"/>
      <c r="AO37" s="341"/>
      <c r="AP37" s="341"/>
      <c r="AQ37" s="341"/>
      <c r="AR37" s="341"/>
      <c r="AS37" s="341"/>
      <c r="AT37" s="341"/>
      <c r="AU37" s="341"/>
      <c r="AV37" s="341"/>
      <c r="AW37" s="342">
        <f>SUM(AM68:AW68)</f>
        <v>4500</v>
      </c>
    </row>
    <row r="38" spans="1:49" ht="14.45" customHeight="1">
      <c r="B38" s="338">
        <v>2</v>
      </c>
      <c r="C38" s="338"/>
      <c r="D38" s="338"/>
      <c r="E38" s="339"/>
      <c r="F38" s="339"/>
      <c r="G38" s="339"/>
      <c r="H38" s="339"/>
      <c r="I38" s="339"/>
      <c r="J38" s="340"/>
      <c r="K38" s="340"/>
      <c r="L38" s="340"/>
      <c r="M38" s="340"/>
      <c r="N38" s="340"/>
      <c r="O38" s="478"/>
      <c r="P38" s="331"/>
      <c r="R38" s="338">
        <v>2</v>
      </c>
      <c r="S38" s="341"/>
      <c r="T38" s="341"/>
      <c r="U38" s="341"/>
      <c r="V38" s="341"/>
      <c r="W38" s="341"/>
      <c r="X38" s="480"/>
      <c r="AA38" s="338">
        <v>2</v>
      </c>
      <c r="AB38" s="341"/>
      <c r="AC38" s="341"/>
      <c r="AD38" s="341"/>
      <c r="AE38" s="341"/>
      <c r="AF38" s="341"/>
      <c r="AG38" s="341"/>
      <c r="AH38" s="341"/>
      <c r="AI38" s="480"/>
      <c r="AL38" s="338">
        <v>2</v>
      </c>
      <c r="AM38" s="341"/>
      <c r="AN38" s="341"/>
      <c r="AO38" s="341"/>
      <c r="AP38" s="341"/>
      <c r="AQ38" s="341"/>
      <c r="AR38" s="341"/>
      <c r="AS38" s="341"/>
      <c r="AT38" s="341"/>
      <c r="AU38" s="341"/>
      <c r="AV38" s="341"/>
      <c r="AW38" s="343"/>
    </row>
    <row r="39" spans="1:49" ht="14.45" customHeight="1">
      <c r="B39" s="338">
        <v>3</v>
      </c>
      <c r="C39" s="338"/>
      <c r="D39" s="338"/>
      <c r="E39" s="339">
        <v>19</v>
      </c>
      <c r="F39" s="339"/>
      <c r="G39" s="339"/>
      <c r="H39" s="339"/>
      <c r="I39" s="339"/>
      <c r="J39" s="340"/>
      <c r="K39" s="340">
        <v>100</v>
      </c>
      <c r="L39" s="340"/>
      <c r="M39" s="340">
        <v>41</v>
      </c>
      <c r="N39" s="340"/>
      <c r="O39" s="478"/>
      <c r="P39" s="331"/>
      <c r="R39" s="338">
        <v>3</v>
      </c>
      <c r="S39" s="341"/>
      <c r="T39" s="341"/>
      <c r="U39" s="341"/>
      <c r="V39" s="341"/>
      <c r="W39" s="341"/>
      <c r="X39" s="480"/>
      <c r="AA39" s="338">
        <v>3</v>
      </c>
      <c r="AB39" s="341"/>
      <c r="AC39" s="341"/>
      <c r="AD39" s="341"/>
      <c r="AE39" s="341"/>
      <c r="AF39" s="341"/>
      <c r="AG39" s="341"/>
      <c r="AH39" s="341"/>
      <c r="AI39" s="480"/>
      <c r="AL39" s="338">
        <v>3</v>
      </c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3"/>
    </row>
    <row r="40" spans="1:49" ht="14.45" customHeight="1">
      <c r="B40" s="338">
        <v>4</v>
      </c>
      <c r="C40" s="338"/>
      <c r="D40" s="338"/>
      <c r="E40" s="339">
        <v>28</v>
      </c>
      <c r="F40" s="339"/>
      <c r="G40" s="339">
        <v>2</v>
      </c>
      <c r="H40" s="339"/>
      <c r="I40" s="339">
        <v>10</v>
      </c>
      <c r="J40" s="340"/>
      <c r="K40" s="340">
        <v>40</v>
      </c>
      <c r="L40" s="340"/>
      <c r="M40" s="340">
        <v>46</v>
      </c>
      <c r="N40" s="340"/>
      <c r="O40" s="478"/>
      <c r="P40" s="331"/>
      <c r="R40" s="338">
        <v>4</v>
      </c>
      <c r="S40" s="341"/>
      <c r="T40" s="341"/>
      <c r="U40" s="341"/>
      <c r="V40" s="341"/>
      <c r="W40" s="341"/>
      <c r="X40" s="480"/>
      <c r="AA40" s="338">
        <v>4</v>
      </c>
      <c r="AB40" s="341"/>
      <c r="AC40" s="341"/>
      <c r="AD40" s="341"/>
      <c r="AE40" s="341"/>
      <c r="AF40" s="341"/>
      <c r="AG40" s="341"/>
      <c r="AH40" s="341"/>
      <c r="AI40" s="480"/>
      <c r="AL40" s="338">
        <v>4</v>
      </c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3"/>
    </row>
    <row r="41" spans="1:49" ht="14.45" customHeight="1">
      <c r="B41" s="338">
        <v>5</v>
      </c>
      <c r="C41" s="338"/>
      <c r="D41" s="338"/>
      <c r="E41" s="339"/>
      <c r="F41" s="339"/>
      <c r="G41" s="339"/>
      <c r="H41" s="339"/>
      <c r="I41" s="339"/>
      <c r="J41" s="340"/>
      <c r="K41" s="340"/>
      <c r="L41" s="340"/>
      <c r="M41" s="340"/>
      <c r="N41" s="340"/>
      <c r="O41" s="478"/>
      <c r="P41" s="331"/>
      <c r="R41" s="338">
        <v>5</v>
      </c>
      <c r="S41" s="341"/>
      <c r="T41" s="341"/>
      <c r="U41" s="341"/>
      <c r="V41" s="341"/>
      <c r="W41" s="341"/>
      <c r="X41" s="480"/>
      <c r="AA41" s="338">
        <v>5</v>
      </c>
      <c r="AB41" s="341"/>
      <c r="AC41" s="341"/>
      <c r="AD41" s="341"/>
      <c r="AE41" s="341"/>
      <c r="AF41" s="341"/>
      <c r="AG41" s="341"/>
      <c r="AH41" s="341"/>
      <c r="AI41" s="480"/>
      <c r="AL41" s="338">
        <v>5</v>
      </c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3"/>
    </row>
    <row r="42" spans="1:49" ht="14.45" customHeight="1">
      <c r="B42" s="338">
        <v>6</v>
      </c>
      <c r="C42" s="338">
        <v>35</v>
      </c>
      <c r="D42" s="338">
        <v>30</v>
      </c>
      <c r="E42" s="339">
        <v>40</v>
      </c>
      <c r="F42" s="339">
        <v>8</v>
      </c>
      <c r="G42" s="339">
        <v>80</v>
      </c>
      <c r="H42" s="339"/>
      <c r="I42" s="339">
        <v>37.5</v>
      </c>
      <c r="J42" s="340"/>
      <c r="K42" s="340">
        <v>50</v>
      </c>
      <c r="L42" s="340"/>
      <c r="M42" s="340">
        <v>17</v>
      </c>
      <c r="N42" s="340"/>
      <c r="O42" s="478"/>
      <c r="P42" s="331"/>
      <c r="R42" s="338">
        <v>6</v>
      </c>
      <c r="S42" s="341"/>
      <c r="T42" s="341"/>
      <c r="U42" s="341"/>
      <c r="V42" s="341"/>
      <c r="W42" s="341"/>
      <c r="X42" s="480"/>
      <c r="AA42" s="338">
        <v>6</v>
      </c>
      <c r="AB42" s="341"/>
      <c r="AC42" s="341"/>
      <c r="AD42" s="341"/>
      <c r="AE42" s="341"/>
      <c r="AF42" s="341"/>
      <c r="AG42" s="341"/>
      <c r="AH42" s="341"/>
      <c r="AI42" s="480"/>
      <c r="AL42" s="338">
        <v>6</v>
      </c>
      <c r="AM42" s="341"/>
      <c r="AN42" s="341"/>
      <c r="AO42" s="341"/>
      <c r="AP42" s="341"/>
      <c r="AQ42" s="341"/>
      <c r="AR42" s="341"/>
      <c r="AS42" s="341"/>
      <c r="AT42" s="341"/>
      <c r="AU42" s="341"/>
      <c r="AV42" s="341"/>
      <c r="AW42" s="343"/>
    </row>
    <row r="43" spans="1:49" ht="14.45" customHeight="1">
      <c r="B43" s="338">
        <v>7</v>
      </c>
      <c r="C43" s="338"/>
      <c r="D43" s="338">
        <v>82</v>
      </c>
      <c r="E43" s="339">
        <v>27</v>
      </c>
      <c r="F43" s="339"/>
      <c r="G43" s="339">
        <v>20</v>
      </c>
      <c r="H43" s="339"/>
      <c r="I43" s="339">
        <v>40</v>
      </c>
      <c r="J43" s="340"/>
      <c r="K43" s="340">
        <v>85</v>
      </c>
      <c r="L43" s="340"/>
      <c r="M43" s="340"/>
      <c r="N43" s="340"/>
      <c r="O43" s="478"/>
      <c r="P43" s="331"/>
      <c r="R43" s="338">
        <v>7</v>
      </c>
      <c r="S43" s="341"/>
      <c r="T43" s="341"/>
      <c r="U43" s="341"/>
      <c r="V43" s="341"/>
      <c r="W43" s="341"/>
      <c r="X43" s="480"/>
      <c r="AA43" s="338">
        <v>7</v>
      </c>
      <c r="AB43" s="341"/>
      <c r="AC43" s="341"/>
      <c r="AD43" s="341"/>
      <c r="AE43" s="341"/>
      <c r="AF43" s="341"/>
      <c r="AG43" s="341"/>
      <c r="AH43" s="341"/>
      <c r="AI43" s="480"/>
      <c r="AL43" s="338">
        <v>7</v>
      </c>
      <c r="AM43" s="341"/>
      <c r="AN43" s="341"/>
      <c r="AO43" s="341"/>
      <c r="AP43" s="341"/>
      <c r="AQ43" s="341"/>
      <c r="AR43" s="341"/>
      <c r="AS43" s="341"/>
      <c r="AT43" s="341"/>
      <c r="AU43" s="341"/>
      <c r="AV43" s="341"/>
      <c r="AW43" s="343"/>
    </row>
    <row r="44" spans="1:49" ht="14.45" customHeight="1">
      <c r="B44" s="338">
        <v>8</v>
      </c>
      <c r="C44" s="338">
        <v>120</v>
      </c>
      <c r="D44" s="338">
        <v>35</v>
      </c>
      <c r="E44" s="339">
        <v>15</v>
      </c>
      <c r="F44" s="339"/>
      <c r="G44" s="339">
        <v>2.5</v>
      </c>
      <c r="H44" s="339"/>
      <c r="I44" s="339">
        <v>75</v>
      </c>
      <c r="J44" s="340"/>
      <c r="K44" s="340">
        <v>80.599999999999994</v>
      </c>
      <c r="L44" s="340"/>
      <c r="M44" s="340">
        <v>9</v>
      </c>
      <c r="N44" s="340"/>
      <c r="O44" s="478"/>
      <c r="P44" s="331"/>
      <c r="R44" s="338">
        <v>8</v>
      </c>
      <c r="S44" s="341"/>
      <c r="T44" s="341"/>
      <c r="U44" s="341"/>
      <c r="V44" s="341"/>
      <c r="W44" s="341"/>
      <c r="X44" s="480"/>
      <c r="AA44" s="338">
        <v>8</v>
      </c>
      <c r="AB44" s="341"/>
      <c r="AC44" s="341"/>
      <c r="AD44" s="341"/>
      <c r="AE44" s="341"/>
      <c r="AF44" s="341"/>
      <c r="AG44" s="341"/>
      <c r="AH44" s="341"/>
      <c r="AI44" s="480"/>
      <c r="AL44" s="338">
        <v>8</v>
      </c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3"/>
    </row>
    <row r="45" spans="1:49" ht="14.45" customHeight="1">
      <c r="B45" s="338">
        <v>9</v>
      </c>
      <c r="C45" s="338"/>
      <c r="D45" s="338">
        <v>203</v>
      </c>
      <c r="E45" s="339">
        <v>4</v>
      </c>
      <c r="F45" s="339"/>
      <c r="G45" s="339"/>
      <c r="H45" s="339"/>
      <c r="I45" s="339">
        <v>80</v>
      </c>
      <c r="J45" s="340"/>
      <c r="K45" s="340">
        <v>120</v>
      </c>
      <c r="L45" s="340"/>
      <c r="M45" s="340">
        <v>3</v>
      </c>
      <c r="N45" s="340"/>
      <c r="O45" s="478"/>
      <c r="P45" s="331"/>
      <c r="R45" s="338">
        <v>9</v>
      </c>
      <c r="S45" s="341"/>
      <c r="T45" s="341"/>
      <c r="U45" s="341"/>
      <c r="V45" s="341"/>
      <c r="W45" s="341"/>
      <c r="X45" s="480"/>
      <c r="AA45" s="338">
        <v>9</v>
      </c>
      <c r="AB45" s="341"/>
      <c r="AC45" s="341"/>
      <c r="AD45" s="341"/>
      <c r="AE45" s="341"/>
      <c r="AF45" s="341"/>
      <c r="AG45" s="341"/>
      <c r="AH45" s="341"/>
      <c r="AI45" s="480"/>
      <c r="AL45" s="338">
        <v>9</v>
      </c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3"/>
    </row>
    <row r="46" spans="1:49" ht="14.45" customHeight="1">
      <c r="B46" s="338">
        <v>10</v>
      </c>
      <c r="C46" s="338"/>
      <c r="D46" s="338"/>
      <c r="E46" s="339"/>
      <c r="F46" s="339"/>
      <c r="G46" s="339">
        <v>1.4</v>
      </c>
      <c r="H46" s="339"/>
      <c r="I46" s="339">
        <v>12</v>
      </c>
      <c r="J46" s="340"/>
      <c r="K46" s="340">
        <v>133</v>
      </c>
      <c r="L46" s="340"/>
      <c r="M46" s="340">
        <v>3</v>
      </c>
      <c r="N46" s="340"/>
      <c r="O46" s="478"/>
      <c r="P46" s="331"/>
      <c r="R46" s="338">
        <v>10</v>
      </c>
      <c r="S46" s="341"/>
      <c r="T46" s="341"/>
      <c r="U46" s="341"/>
      <c r="V46" s="341"/>
      <c r="W46" s="341"/>
      <c r="X46" s="480"/>
      <c r="AA46" s="338">
        <v>10</v>
      </c>
      <c r="AB46" s="341"/>
      <c r="AC46" s="341"/>
      <c r="AD46" s="341"/>
      <c r="AE46" s="341"/>
      <c r="AF46" s="341"/>
      <c r="AG46" s="341"/>
      <c r="AH46" s="341"/>
      <c r="AI46" s="480"/>
      <c r="AL46" s="338">
        <v>10</v>
      </c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3"/>
    </row>
    <row r="47" spans="1:49" ht="14.45" customHeight="1">
      <c r="B47" s="338">
        <v>11</v>
      </c>
      <c r="C47" s="338"/>
      <c r="D47" s="338">
        <v>6</v>
      </c>
      <c r="E47" s="339"/>
      <c r="F47" s="339"/>
      <c r="G47" s="339">
        <v>11</v>
      </c>
      <c r="H47" s="339"/>
      <c r="I47" s="339">
        <v>83</v>
      </c>
      <c r="J47" s="340"/>
      <c r="K47" s="340">
        <v>60</v>
      </c>
      <c r="L47" s="340"/>
      <c r="M47" s="340">
        <v>25</v>
      </c>
      <c r="N47" s="340"/>
      <c r="O47" s="478"/>
      <c r="P47" s="331"/>
      <c r="R47" s="338">
        <v>11</v>
      </c>
      <c r="S47" s="341"/>
      <c r="T47" s="341"/>
      <c r="U47" s="341"/>
      <c r="V47" s="341"/>
      <c r="W47" s="341"/>
      <c r="X47" s="480"/>
      <c r="AA47" s="338">
        <v>11</v>
      </c>
      <c r="AB47" s="341"/>
      <c r="AC47" s="341"/>
      <c r="AD47" s="341"/>
      <c r="AE47" s="341"/>
      <c r="AF47" s="341"/>
      <c r="AG47" s="341"/>
      <c r="AH47" s="341"/>
      <c r="AI47" s="480"/>
      <c r="AL47" s="338">
        <v>11</v>
      </c>
      <c r="AM47" s="341"/>
      <c r="AN47" s="341"/>
      <c r="AO47" s="341"/>
      <c r="AP47" s="341"/>
      <c r="AQ47" s="341"/>
      <c r="AR47" s="341"/>
      <c r="AS47" s="341"/>
      <c r="AT47" s="341"/>
      <c r="AU47" s="341"/>
      <c r="AV47" s="341"/>
      <c r="AW47" s="343"/>
    </row>
    <row r="48" spans="1:49" ht="14.45" customHeight="1">
      <c r="B48" s="338">
        <v>12</v>
      </c>
      <c r="C48" s="338"/>
      <c r="D48" s="338"/>
      <c r="E48" s="339">
        <v>40</v>
      </c>
      <c r="F48" s="339"/>
      <c r="G48" s="339"/>
      <c r="H48" s="339"/>
      <c r="I48" s="339">
        <v>84</v>
      </c>
      <c r="J48" s="340"/>
      <c r="K48" s="340">
        <v>51</v>
      </c>
      <c r="L48" s="340"/>
      <c r="M48" s="340">
        <v>2</v>
      </c>
      <c r="N48" s="340"/>
      <c r="O48" s="478"/>
      <c r="P48" s="331"/>
      <c r="R48" s="338">
        <v>12</v>
      </c>
      <c r="S48" s="341"/>
      <c r="T48" s="341"/>
      <c r="U48" s="341"/>
      <c r="V48" s="341"/>
      <c r="W48" s="341"/>
      <c r="X48" s="480"/>
      <c r="AA48" s="338">
        <v>12</v>
      </c>
      <c r="AB48" s="341"/>
      <c r="AC48" s="341"/>
      <c r="AD48" s="341"/>
      <c r="AE48" s="341"/>
      <c r="AF48" s="341"/>
      <c r="AG48" s="341"/>
      <c r="AH48" s="341"/>
      <c r="AI48" s="480"/>
      <c r="AL48" s="338">
        <v>12</v>
      </c>
      <c r="AM48" s="341"/>
      <c r="AN48" s="341"/>
      <c r="AO48" s="341"/>
      <c r="AP48" s="341"/>
      <c r="AQ48" s="341"/>
      <c r="AR48" s="341"/>
      <c r="AS48" s="341"/>
      <c r="AT48" s="341"/>
      <c r="AU48" s="341"/>
      <c r="AV48" s="341"/>
      <c r="AW48" s="343"/>
    </row>
    <row r="49" spans="2:49" ht="14.45" customHeight="1">
      <c r="B49" s="338">
        <v>13</v>
      </c>
      <c r="C49" s="338"/>
      <c r="D49" s="338"/>
      <c r="E49" s="339"/>
      <c r="F49" s="339"/>
      <c r="G49" s="339">
        <v>23</v>
      </c>
      <c r="H49" s="339"/>
      <c r="I49" s="339">
        <v>13</v>
      </c>
      <c r="J49" s="340"/>
      <c r="K49" s="340">
        <v>30</v>
      </c>
      <c r="L49" s="340"/>
      <c r="M49" s="340">
        <v>9</v>
      </c>
      <c r="N49" s="340"/>
      <c r="O49" s="478"/>
      <c r="P49" s="331"/>
      <c r="R49" s="338">
        <v>13</v>
      </c>
      <c r="S49" s="341"/>
      <c r="T49" s="341"/>
      <c r="U49" s="341"/>
      <c r="V49" s="341"/>
      <c r="W49" s="341"/>
      <c r="X49" s="480"/>
      <c r="AA49" s="338">
        <v>13</v>
      </c>
      <c r="AB49" s="341"/>
      <c r="AC49" s="341"/>
      <c r="AD49" s="341"/>
      <c r="AE49" s="341"/>
      <c r="AF49" s="341"/>
      <c r="AG49" s="341"/>
      <c r="AH49" s="341"/>
      <c r="AI49" s="480"/>
      <c r="AL49" s="338">
        <v>13</v>
      </c>
      <c r="AM49" s="341"/>
      <c r="AN49" s="341">
        <v>1500</v>
      </c>
      <c r="AO49" s="341">
        <v>500</v>
      </c>
      <c r="AP49" s="341">
        <v>300</v>
      </c>
      <c r="AQ49" s="341"/>
      <c r="AR49" s="341">
        <v>1100</v>
      </c>
      <c r="AS49" s="341">
        <v>300</v>
      </c>
      <c r="AT49" s="341">
        <v>500</v>
      </c>
      <c r="AU49" s="341">
        <v>500</v>
      </c>
      <c r="AV49" s="341"/>
      <c r="AW49" s="343"/>
    </row>
    <row r="50" spans="2:49" ht="14.45" customHeight="1">
      <c r="B50" s="338">
        <v>14</v>
      </c>
      <c r="C50" s="338"/>
      <c r="D50" s="338"/>
      <c r="E50" s="339">
        <v>87</v>
      </c>
      <c r="F50" s="339"/>
      <c r="G50" s="339">
        <v>45</v>
      </c>
      <c r="H50" s="339"/>
      <c r="I50" s="339">
        <v>34</v>
      </c>
      <c r="J50" s="340"/>
      <c r="K50" s="340">
        <v>27</v>
      </c>
      <c r="L50" s="340"/>
      <c r="M50" s="340"/>
      <c r="N50" s="340"/>
      <c r="O50" s="478"/>
      <c r="P50" s="331"/>
      <c r="R50" s="338">
        <v>14</v>
      </c>
      <c r="S50" s="341"/>
      <c r="T50" s="341"/>
      <c r="U50" s="341"/>
      <c r="V50" s="341"/>
      <c r="W50" s="341"/>
      <c r="X50" s="480"/>
      <c r="AA50" s="338">
        <v>14</v>
      </c>
      <c r="AB50" s="341"/>
      <c r="AC50" s="341"/>
      <c r="AD50" s="341"/>
      <c r="AE50" s="341"/>
      <c r="AF50" s="341"/>
      <c r="AG50" s="341"/>
      <c r="AH50" s="341"/>
      <c r="AI50" s="480"/>
      <c r="AL50" s="338">
        <v>14</v>
      </c>
      <c r="AM50" s="341"/>
      <c r="AN50" s="341"/>
      <c r="AO50" s="341"/>
      <c r="AP50" s="341"/>
      <c r="AQ50" s="341"/>
      <c r="AR50" s="341">
        <v>200</v>
      </c>
      <c r="AS50" s="341"/>
      <c r="AT50" s="341"/>
      <c r="AU50" s="341"/>
      <c r="AV50" s="341"/>
      <c r="AW50" s="343"/>
    </row>
    <row r="51" spans="2:49" ht="14.45" customHeight="1">
      <c r="B51" s="338">
        <v>15</v>
      </c>
      <c r="C51" s="338"/>
      <c r="D51" s="338"/>
      <c r="E51" s="339">
        <v>16</v>
      </c>
      <c r="F51" s="339"/>
      <c r="G51" s="339">
        <v>75</v>
      </c>
      <c r="H51" s="339"/>
      <c r="I51" s="339">
        <v>73.248000000000005</v>
      </c>
      <c r="J51" s="340"/>
      <c r="K51" s="340">
        <v>13.8</v>
      </c>
      <c r="L51" s="340"/>
      <c r="M51" s="340"/>
      <c r="N51" s="340"/>
      <c r="O51" s="478"/>
      <c r="P51" s="331"/>
      <c r="R51" s="338">
        <v>15</v>
      </c>
      <c r="S51" s="341"/>
      <c r="T51" s="341"/>
      <c r="U51" s="341"/>
      <c r="V51" s="341"/>
      <c r="W51" s="341"/>
      <c r="X51" s="480"/>
      <c r="AA51" s="338">
        <v>15</v>
      </c>
      <c r="AB51" s="341"/>
      <c r="AC51" s="341"/>
      <c r="AD51" s="341"/>
      <c r="AE51" s="341"/>
      <c r="AF51" s="341"/>
      <c r="AG51" s="341"/>
      <c r="AH51" s="341"/>
      <c r="AI51" s="480"/>
      <c r="AL51" s="338">
        <v>15</v>
      </c>
      <c r="AM51" s="341">
        <v>100</v>
      </c>
      <c r="AN51" s="341"/>
      <c r="AO51" s="341"/>
      <c r="AP51" s="341"/>
      <c r="AQ51" s="341"/>
      <c r="AR51" s="341"/>
      <c r="AS51" s="341"/>
      <c r="AT51" s="341">
        <v>200</v>
      </c>
      <c r="AU51" s="341"/>
      <c r="AV51" s="341"/>
      <c r="AW51" s="343"/>
    </row>
    <row r="52" spans="2:49" ht="14.45" customHeight="1">
      <c r="B52" s="338">
        <v>16</v>
      </c>
      <c r="C52" s="338">
        <v>10</v>
      </c>
      <c r="D52" s="338"/>
      <c r="E52" s="339">
        <v>12</v>
      </c>
      <c r="F52" s="339"/>
      <c r="G52" s="339">
        <v>70.2</v>
      </c>
      <c r="H52" s="339"/>
      <c r="I52" s="339">
        <v>70</v>
      </c>
      <c r="J52" s="340"/>
      <c r="K52" s="340">
        <v>39.25</v>
      </c>
      <c r="L52" s="340"/>
      <c r="M52" s="340">
        <v>4</v>
      </c>
      <c r="N52" s="340">
        <v>3.5</v>
      </c>
      <c r="O52" s="478"/>
      <c r="P52" s="331"/>
      <c r="R52" s="338">
        <v>16</v>
      </c>
      <c r="S52" s="341"/>
      <c r="T52" s="341"/>
      <c r="U52" s="341"/>
      <c r="V52" s="341"/>
      <c r="W52" s="341"/>
      <c r="X52" s="480"/>
      <c r="AA52" s="338">
        <v>16</v>
      </c>
      <c r="AB52" s="341"/>
      <c r="AC52" s="341"/>
      <c r="AD52" s="341"/>
      <c r="AE52" s="341"/>
      <c r="AF52" s="341"/>
      <c r="AG52" s="341"/>
      <c r="AH52" s="341"/>
      <c r="AI52" s="480"/>
      <c r="AL52" s="338">
        <v>16</v>
      </c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3"/>
    </row>
    <row r="53" spans="2:49" ht="14.45" customHeight="1">
      <c r="B53" s="338">
        <v>17</v>
      </c>
      <c r="C53" s="338"/>
      <c r="D53" s="338">
        <v>12</v>
      </c>
      <c r="E53" s="339">
        <v>61</v>
      </c>
      <c r="F53" s="339"/>
      <c r="G53" s="339">
        <v>66</v>
      </c>
      <c r="H53" s="339"/>
      <c r="I53" s="339">
        <v>69.599999999999994</v>
      </c>
      <c r="J53" s="340"/>
      <c r="K53" s="340">
        <v>20</v>
      </c>
      <c r="L53" s="340"/>
      <c r="M53" s="340">
        <v>30</v>
      </c>
      <c r="N53" s="340"/>
      <c r="O53" s="478"/>
      <c r="P53" s="331"/>
      <c r="R53" s="338">
        <v>17</v>
      </c>
      <c r="S53" s="341"/>
      <c r="T53" s="341"/>
      <c r="U53" s="341"/>
      <c r="V53" s="341"/>
      <c r="W53" s="341"/>
      <c r="X53" s="480"/>
      <c r="AA53" s="338">
        <v>17</v>
      </c>
      <c r="AB53" s="341"/>
      <c r="AC53" s="341"/>
      <c r="AD53" s="341"/>
      <c r="AE53" s="341"/>
      <c r="AF53" s="341"/>
      <c r="AG53" s="341"/>
      <c r="AH53" s="341"/>
      <c r="AI53" s="480"/>
      <c r="AL53" s="338">
        <v>17</v>
      </c>
      <c r="AM53" s="341"/>
      <c r="AN53" s="341"/>
      <c r="AO53" s="341"/>
      <c r="AP53" s="341"/>
      <c r="AQ53" s="341"/>
      <c r="AR53" s="341"/>
      <c r="AS53" s="341"/>
      <c r="AT53" s="341"/>
      <c r="AU53" s="341"/>
      <c r="AV53" s="341"/>
      <c r="AW53" s="343"/>
    </row>
    <row r="54" spans="2:49" ht="14.45" customHeight="1">
      <c r="B54" s="338">
        <v>18</v>
      </c>
      <c r="C54" s="338"/>
      <c r="D54" s="338">
        <v>40</v>
      </c>
      <c r="E54" s="339">
        <v>40</v>
      </c>
      <c r="F54" s="339"/>
      <c r="G54" s="339">
        <v>8</v>
      </c>
      <c r="H54" s="339"/>
      <c r="I54" s="339">
        <v>66</v>
      </c>
      <c r="J54" s="340"/>
      <c r="K54" s="340">
        <v>80</v>
      </c>
      <c r="L54" s="340"/>
      <c r="M54" s="340" t="s">
        <v>9</v>
      </c>
      <c r="N54" s="340" t="s">
        <v>9</v>
      </c>
      <c r="O54" s="478"/>
      <c r="P54" s="331"/>
      <c r="R54" s="338">
        <v>18</v>
      </c>
      <c r="S54" s="341"/>
      <c r="T54" s="341"/>
      <c r="U54" s="341"/>
      <c r="V54" s="341"/>
      <c r="W54" s="341"/>
      <c r="X54" s="480"/>
      <c r="AA54" s="338">
        <v>18</v>
      </c>
      <c r="AB54" s="341"/>
      <c r="AC54" s="341"/>
      <c r="AD54" s="341"/>
      <c r="AE54" s="341"/>
      <c r="AF54" s="341"/>
      <c r="AG54" s="341"/>
      <c r="AH54" s="341"/>
      <c r="AI54" s="480"/>
      <c r="AL54" s="338">
        <v>18</v>
      </c>
      <c r="AM54" s="341"/>
      <c r="AN54" s="341"/>
      <c r="AO54" s="341"/>
      <c r="AP54" s="341"/>
      <c r="AQ54" s="341"/>
      <c r="AR54" s="341"/>
      <c r="AS54" s="341"/>
      <c r="AT54" s="341"/>
      <c r="AU54" s="341"/>
      <c r="AV54" s="341"/>
      <c r="AW54" s="343"/>
    </row>
    <row r="55" spans="2:49" ht="14.45" customHeight="1">
      <c r="B55" s="338">
        <v>19</v>
      </c>
      <c r="C55" s="483" t="s">
        <v>80</v>
      </c>
      <c r="D55" s="484"/>
      <c r="E55" s="484"/>
      <c r="F55" s="484"/>
      <c r="G55" s="484"/>
      <c r="H55" s="484"/>
      <c r="I55" s="484"/>
      <c r="J55" s="484"/>
      <c r="K55" s="484"/>
      <c r="L55" s="484"/>
      <c r="M55" s="484"/>
      <c r="N55" s="485"/>
      <c r="O55" s="478"/>
      <c r="P55" s="331"/>
      <c r="R55" s="338">
        <v>19</v>
      </c>
      <c r="S55" s="341"/>
      <c r="T55" s="341"/>
      <c r="U55" s="341"/>
      <c r="V55" s="341"/>
      <c r="W55" s="341"/>
      <c r="X55" s="480"/>
      <c r="AA55" s="338">
        <v>19</v>
      </c>
      <c r="AB55" s="341"/>
      <c r="AC55" s="341"/>
      <c r="AD55" s="341"/>
      <c r="AE55" s="341"/>
      <c r="AF55" s="341"/>
      <c r="AG55" s="341"/>
      <c r="AH55" s="341"/>
      <c r="AI55" s="480"/>
      <c r="AL55" s="338">
        <v>19</v>
      </c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3"/>
    </row>
    <row r="56" spans="2:49" ht="14.45" customHeight="1">
      <c r="B56" s="338">
        <v>20</v>
      </c>
      <c r="C56" s="486"/>
      <c r="D56" s="487"/>
      <c r="E56" s="487"/>
      <c r="F56" s="487"/>
      <c r="G56" s="487"/>
      <c r="H56" s="487"/>
      <c r="I56" s="487"/>
      <c r="J56" s="487"/>
      <c r="K56" s="487"/>
      <c r="L56" s="487"/>
      <c r="M56" s="487"/>
      <c r="N56" s="488"/>
      <c r="O56" s="478"/>
      <c r="P56" s="331"/>
      <c r="R56" s="338">
        <v>20</v>
      </c>
      <c r="S56" s="341"/>
      <c r="T56" s="341"/>
      <c r="U56" s="341"/>
      <c r="V56" s="341"/>
      <c r="W56" s="341"/>
      <c r="X56" s="480"/>
      <c r="AA56" s="338">
        <v>20</v>
      </c>
      <c r="AB56" s="341"/>
      <c r="AC56" s="341"/>
      <c r="AD56" s="341"/>
      <c r="AE56" s="341"/>
      <c r="AF56" s="341"/>
      <c r="AG56" s="341"/>
      <c r="AH56" s="341"/>
      <c r="AI56" s="480"/>
      <c r="AL56" s="338">
        <v>20</v>
      </c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3"/>
    </row>
    <row r="57" spans="2:49" ht="14.45" customHeight="1">
      <c r="B57" s="338">
        <v>21</v>
      </c>
      <c r="C57" s="486"/>
      <c r="D57" s="487"/>
      <c r="E57" s="487"/>
      <c r="F57" s="487"/>
      <c r="G57" s="487"/>
      <c r="H57" s="487"/>
      <c r="I57" s="487"/>
      <c r="J57" s="487"/>
      <c r="K57" s="487"/>
      <c r="L57" s="487"/>
      <c r="M57" s="487"/>
      <c r="N57" s="488"/>
      <c r="O57" s="478"/>
      <c r="P57" s="331"/>
      <c r="R57" s="338">
        <v>21</v>
      </c>
      <c r="S57" s="341"/>
      <c r="T57" s="341"/>
      <c r="U57" s="341"/>
      <c r="V57" s="341"/>
      <c r="W57" s="341"/>
      <c r="X57" s="480"/>
      <c r="AA57" s="338">
        <v>21</v>
      </c>
      <c r="AB57" s="341"/>
      <c r="AC57" s="341"/>
      <c r="AD57" s="341"/>
      <c r="AE57" s="341"/>
      <c r="AF57" s="341"/>
      <c r="AG57" s="341"/>
      <c r="AH57" s="341"/>
      <c r="AI57" s="480"/>
      <c r="AL57" s="338">
        <v>21</v>
      </c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3"/>
    </row>
    <row r="58" spans="2:49" ht="14.45" customHeight="1">
      <c r="B58" s="338">
        <v>22</v>
      </c>
      <c r="C58" s="489"/>
      <c r="D58" s="490"/>
      <c r="E58" s="490"/>
      <c r="F58" s="490"/>
      <c r="G58" s="490"/>
      <c r="H58" s="490"/>
      <c r="I58" s="490"/>
      <c r="J58" s="490"/>
      <c r="K58" s="490"/>
      <c r="L58" s="490"/>
      <c r="M58" s="490"/>
      <c r="N58" s="491"/>
      <c r="O58" s="478"/>
      <c r="P58" s="331"/>
      <c r="R58" s="338">
        <v>22</v>
      </c>
      <c r="S58" s="341"/>
      <c r="T58" s="341"/>
      <c r="U58" s="341"/>
      <c r="V58" s="341"/>
      <c r="W58" s="341"/>
      <c r="X58" s="480"/>
      <c r="AA58" s="338">
        <v>22</v>
      </c>
      <c r="AB58" s="341"/>
      <c r="AC58" s="341"/>
      <c r="AD58" s="341"/>
      <c r="AE58" s="341"/>
      <c r="AF58" s="341"/>
      <c r="AG58" s="341"/>
      <c r="AH58" s="341"/>
      <c r="AI58" s="480"/>
      <c r="AL58" s="338">
        <v>22</v>
      </c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3"/>
    </row>
    <row r="59" spans="2:49" ht="14.45" customHeight="1">
      <c r="B59" s="338">
        <v>23</v>
      </c>
      <c r="C59" s="338"/>
      <c r="D59" s="338"/>
      <c r="E59" s="339"/>
      <c r="F59" s="339">
        <v>1</v>
      </c>
      <c r="G59" s="339">
        <v>27</v>
      </c>
      <c r="H59" s="339"/>
      <c r="I59" s="339">
        <v>25.6</v>
      </c>
      <c r="J59" s="340"/>
      <c r="K59" s="340">
        <v>42</v>
      </c>
      <c r="L59" s="340"/>
      <c r="M59" s="340"/>
      <c r="N59" s="340"/>
      <c r="O59" s="478"/>
      <c r="P59" s="331"/>
      <c r="R59" s="338">
        <v>23</v>
      </c>
      <c r="S59" s="341"/>
      <c r="T59" s="341"/>
      <c r="U59" s="341"/>
      <c r="V59" s="341"/>
      <c r="W59" s="341"/>
      <c r="X59" s="480"/>
      <c r="AA59" s="338">
        <v>23</v>
      </c>
      <c r="AB59" s="341"/>
      <c r="AC59" s="341"/>
      <c r="AD59" s="341"/>
      <c r="AE59" s="341"/>
      <c r="AF59" s="341"/>
      <c r="AG59" s="341"/>
      <c r="AH59" s="341"/>
      <c r="AI59" s="480"/>
      <c r="AL59" s="338">
        <v>23</v>
      </c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3"/>
    </row>
    <row r="60" spans="2:49" ht="14.45" customHeight="1">
      <c r="B60" s="338">
        <v>24</v>
      </c>
      <c r="C60" s="338"/>
      <c r="D60" s="338"/>
      <c r="E60" s="339"/>
      <c r="F60" s="339"/>
      <c r="G60" s="339">
        <v>72</v>
      </c>
      <c r="H60" s="339"/>
      <c r="I60" s="339">
        <v>80</v>
      </c>
      <c r="J60" s="340"/>
      <c r="K60" s="340">
        <v>30</v>
      </c>
      <c r="L60" s="340"/>
      <c r="M60" s="340">
        <v>4</v>
      </c>
      <c r="N60" s="340"/>
      <c r="O60" s="478"/>
      <c r="P60" s="331"/>
      <c r="R60" s="338">
        <v>24</v>
      </c>
      <c r="S60" s="341"/>
      <c r="T60" s="341"/>
      <c r="U60" s="341"/>
      <c r="V60" s="341"/>
      <c r="W60" s="341"/>
      <c r="X60" s="480"/>
      <c r="AA60" s="338">
        <v>24</v>
      </c>
      <c r="AB60" s="341"/>
      <c r="AC60" s="341"/>
      <c r="AD60" s="341"/>
      <c r="AE60" s="341"/>
      <c r="AF60" s="341"/>
      <c r="AG60" s="341"/>
      <c r="AH60" s="341"/>
      <c r="AI60" s="480"/>
      <c r="AL60" s="338">
        <v>24</v>
      </c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3"/>
    </row>
    <row r="61" spans="2:49" ht="14.45" customHeight="1">
      <c r="B61" s="338">
        <v>25</v>
      </c>
      <c r="C61" s="338"/>
      <c r="D61" s="338"/>
      <c r="E61" s="339">
        <v>25</v>
      </c>
      <c r="F61" s="339"/>
      <c r="G61" s="339">
        <v>5.3</v>
      </c>
      <c r="H61" s="339"/>
      <c r="I61" s="339">
        <v>75</v>
      </c>
      <c r="J61" s="340"/>
      <c r="K61" s="340">
        <v>80</v>
      </c>
      <c r="L61" s="340"/>
      <c r="M61" s="340">
        <v>10</v>
      </c>
      <c r="N61" s="340"/>
      <c r="O61" s="478"/>
      <c r="P61" s="331"/>
      <c r="R61" s="338">
        <v>25</v>
      </c>
      <c r="S61" s="341"/>
      <c r="T61" s="341"/>
      <c r="U61" s="341"/>
      <c r="V61" s="341"/>
      <c r="W61" s="341"/>
      <c r="X61" s="480"/>
      <c r="AA61" s="338">
        <v>25</v>
      </c>
      <c r="AB61" s="341"/>
      <c r="AC61" s="341"/>
      <c r="AD61" s="341"/>
      <c r="AE61" s="341"/>
      <c r="AF61" s="341"/>
      <c r="AG61" s="341"/>
      <c r="AH61" s="341"/>
      <c r="AI61" s="480"/>
      <c r="AL61" s="338">
        <v>25</v>
      </c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3"/>
    </row>
    <row r="62" spans="2:49" ht="14.45" customHeight="1">
      <c r="B62" s="338">
        <v>26</v>
      </c>
      <c r="C62" s="344">
        <v>7</v>
      </c>
      <c r="D62" s="344">
        <v>7</v>
      </c>
      <c r="E62" s="339">
        <v>9</v>
      </c>
      <c r="F62" s="339"/>
      <c r="G62" s="339">
        <v>20</v>
      </c>
      <c r="H62" s="339"/>
      <c r="I62" s="339">
        <v>17</v>
      </c>
      <c r="J62" s="339"/>
      <c r="K62" s="339">
        <v>19</v>
      </c>
      <c r="L62" s="345"/>
      <c r="M62" s="340">
        <v>15</v>
      </c>
      <c r="N62" s="340"/>
      <c r="O62" s="478"/>
      <c r="P62" s="331"/>
      <c r="R62" s="338">
        <v>26</v>
      </c>
      <c r="S62" s="341"/>
      <c r="T62" s="341"/>
      <c r="U62" s="341"/>
      <c r="V62" s="341"/>
      <c r="W62" s="341"/>
      <c r="X62" s="480"/>
      <c r="AA62" s="338">
        <v>26</v>
      </c>
      <c r="AB62" s="341"/>
      <c r="AC62" s="341"/>
      <c r="AD62" s="341"/>
      <c r="AE62" s="341"/>
      <c r="AF62" s="341"/>
      <c r="AG62" s="341"/>
      <c r="AH62" s="341"/>
      <c r="AI62" s="480"/>
      <c r="AL62" s="338">
        <v>26</v>
      </c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3"/>
    </row>
    <row r="63" spans="2:49" ht="14.45" customHeight="1">
      <c r="B63" s="338">
        <v>27</v>
      </c>
      <c r="N63" s="340"/>
      <c r="O63" s="478"/>
      <c r="P63" s="331"/>
      <c r="R63" s="338">
        <v>27</v>
      </c>
      <c r="S63" s="341"/>
      <c r="T63" s="341"/>
      <c r="U63" s="341"/>
      <c r="V63" s="341"/>
      <c r="W63" s="341"/>
      <c r="X63" s="480"/>
      <c r="AA63" s="338">
        <v>27</v>
      </c>
      <c r="AB63" s="341"/>
      <c r="AC63" s="341"/>
      <c r="AD63" s="341"/>
      <c r="AE63" s="341"/>
      <c r="AF63" s="341"/>
      <c r="AG63" s="341"/>
      <c r="AH63" s="341"/>
      <c r="AI63" s="480"/>
      <c r="AL63" s="338">
        <v>27</v>
      </c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3"/>
    </row>
    <row r="64" spans="2:49" ht="14.45" customHeight="1">
      <c r="B64" s="338">
        <v>28</v>
      </c>
      <c r="C64" s="346">
        <v>5</v>
      </c>
      <c r="D64" s="346"/>
      <c r="E64" s="347"/>
      <c r="F64" s="347"/>
      <c r="G64" s="347">
        <v>80.5</v>
      </c>
      <c r="H64" s="347"/>
      <c r="I64" s="347">
        <v>87.5</v>
      </c>
      <c r="J64" s="340"/>
      <c r="K64" s="348"/>
      <c r="L64" s="348"/>
      <c r="M64" s="340"/>
      <c r="N64" s="340"/>
      <c r="O64" s="478"/>
      <c r="P64" s="331"/>
      <c r="R64" s="338">
        <v>28</v>
      </c>
      <c r="S64" s="341"/>
      <c r="T64" s="341"/>
      <c r="U64" s="341"/>
      <c r="V64" s="341"/>
      <c r="W64" s="341"/>
      <c r="X64" s="480"/>
      <c r="AA64" s="338">
        <v>28</v>
      </c>
      <c r="AB64" s="341"/>
      <c r="AC64" s="341"/>
      <c r="AD64" s="341"/>
      <c r="AE64" s="341"/>
      <c r="AF64" s="341"/>
      <c r="AG64" s="341"/>
      <c r="AH64" s="341"/>
      <c r="AI64" s="480"/>
      <c r="AL64" s="338">
        <v>28</v>
      </c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3"/>
    </row>
    <row r="65" spans="1:49" ht="14.45" customHeight="1">
      <c r="B65" s="338">
        <v>29</v>
      </c>
      <c r="C65" s="338"/>
      <c r="D65" s="338"/>
      <c r="E65" s="339">
        <v>18</v>
      </c>
      <c r="F65" s="339"/>
      <c r="G65" s="339">
        <v>13</v>
      </c>
      <c r="H65" s="339"/>
      <c r="I65" s="339">
        <v>51</v>
      </c>
      <c r="J65" s="340"/>
      <c r="K65" s="340"/>
      <c r="L65" s="340"/>
      <c r="M65" s="340"/>
      <c r="N65" s="340"/>
      <c r="O65" s="478"/>
      <c r="P65" s="331"/>
      <c r="R65" s="338">
        <v>29</v>
      </c>
      <c r="S65" s="341"/>
      <c r="T65" s="341"/>
      <c r="U65" s="341"/>
      <c r="V65" s="341"/>
      <c r="W65" s="341"/>
      <c r="X65" s="480"/>
      <c r="AA65" s="338">
        <v>29</v>
      </c>
      <c r="AB65" s="341"/>
      <c r="AC65" s="341"/>
      <c r="AD65" s="341"/>
      <c r="AE65" s="341"/>
      <c r="AF65" s="341"/>
      <c r="AG65" s="341"/>
      <c r="AH65" s="341"/>
      <c r="AI65" s="480"/>
      <c r="AL65" s="338">
        <v>29</v>
      </c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3"/>
    </row>
    <row r="66" spans="1:49" ht="14.45" customHeight="1">
      <c r="B66" s="338">
        <v>30</v>
      </c>
      <c r="C66" s="349">
        <v>3</v>
      </c>
      <c r="D66" s="349"/>
      <c r="E66" s="350">
        <v>54</v>
      </c>
      <c r="F66" s="350">
        <v>10</v>
      </c>
      <c r="G66" s="350">
        <v>63</v>
      </c>
      <c r="H66" s="350"/>
      <c r="I66" s="350">
        <v>9</v>
      </c>
      <c r="J66" s="340"/>
      <c r="K66" s="351">
        <v>40</v>
      </c>
      <c r="L66" s="351"/>
      <c r="M66" s="340">
        <v>48</v>
      </c>
      <c r="N66" s="340"/>
      <c r="O66" s="478"/>
      <c r="P66" s="331"/>
      <c r="R66" s="338">
        <v>30</v>
      </c>
      <c r="S66" s="341"/>
      <c r="T66" s="341"/>
      <c r="U66" s="341"/>
      <c r="V66" s="341"/>
      <c r="W66" s="341"/>
      <c r="X66" s="480"/>
      <c r="AA66" s="338">
        <v>30</v>
      </c>
      <c r="AB66" s="341"/>
      <c r="AC66" s="341"/>
      <c r="AD66" s="341"/>
      <c r="AE66" s="341"/>
      <c r="AF66" s="341"/>
      <c r="AG66" s="341"/>
      <c r="AH66" s="341"/>
      <c r="AI66" s="480"/>
      <c r="AL66" s="338">
        <v>30</v>
      </c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3"/>
    </row>
    <row r="67" spans="1:49" ht="14.45" customHeight="1">
      <c r="B67" s="338">
        <v>31</v>
      </c>
      <c r="F67" s="350"/>
      <c r="G67" s="350">
        <v>70</v>
      </c>
      <c r="H67" s="350"/>
      <c r="I67" s="350">
        <v>50</v>
      </c>
      <c r="J67" s="340"/>
      <c r="K67" s="349">
        <v>69.7</v>
      </c>
      <c r="L67" s="349"/>
      <c r="M67" s="350">
        <v>29</v>
      </c>
      <c r="N67" s="340"/>
      <c r="O67" s="478"/>
      <c r="P67" s="331"/>
      <c r="R67" s="338">
        <v>31</v>
      </c>
      <c r="S67" s="352"/>
      <c r="T67" s="352"/>
      <c r="U67" s="352"/>
      <c r="V67" s="352"/>
      <c r="W67" s="352"/>
      <c r="X67" s="480"/>
      <c r="AA67" s="338">
        <v>31</v>
      </c>
      <c r="AB67" s="352"/>
      <c r="AC67" s="352"/>
      <c r="AD67" s="352"/>
      <c r="AE67" s="352"/>
      <c r="AF67" s="352"/>
      <c r="AG67" s="352"/>
      <c r="AH67" s="352"/>
      <c r="AI67" s="480"/>
      <c r="AL67" s="338">
        <v>31</v>
      </c>
      <c r="AM67" s="352"/>
      <c r="AN67" s="352"/>
      <c r="AO67" s="352"/>
      <c r="AP67" s="352"/>
      <c r="AQ67" s="352"/>
      <c r="AR67" s="352"/>
      <c r="AS67" s="352"/>
      <c r="AT67" s="352"/>
      <c r="AU67" s="352"/>
      <c r="AV67" s="352"/>
      <c r="AW67" s="343"/>
    </row>
    <row r="68" spans="1:49" s="7" customFormat="1" ht="32.450000000000003" customHeight="1">
      <c r="A68" s="332"/>
      <c r="B68" s="353" t="s">
        <v>16</v>
      </c>
      <c r="C68" s="354">
        <f>+SUM(C37:C67)</f>
        <v>324</v>
      </c>
      <c r="D68" s="354">
        <f t="shared" ref="D68:N68" si="1">+SUM(D37:D67)</f>
        <v>415</v>
      </c>
      <c r="E68" s="354">
        <f t="shared" si="1"/>
        <v>495</v>
      </c>
      <c r="F68" s="354">
        <f t="shared" si="1"/>
        <v>19</v>
      </c>
      <c r="G68" s="354">
        <f t="shared" si="1"/>
        <v>754.9</v>
      </c>
      <c r="H68" s="354">
        <f t="shared" si="1"/>
        <v>0</v>
      </c>
      <c r="I68" s="354">
        <f t="shared" si="1"/>
        <v>1257.4480000000001</v>
      </c>
      <c r="J68" s="354">
        <f t="shared" si="1"/>
        <v>0</v>
      </c>
      <c r="K68" s="354">
        <f t="shared" si="1"/>
        <v>1264.3500000000001</v>
      </c>
      <c r="L68" s="354">
        <f t="shared" si="1"/>
        <v>0</v>
      </c>
      <c r="M68" s="354">
        <f t="shared" si="1"/>
        <v>295</v>
      </c>
      <c r="N68" s="354">
        <f t="shared" si="1"/>
        <v>3.5</v>
      </c>
      <c r="O68" s="478"/>
      <c r="P68" s="331"/>
      <c r="Q68" s="325"/>
      <c r="R68" s="353" t="s">
        <v>16</v>
      </c>
      <c r="S68" s="352">
        <f>SUM(S37:S67)</f>
        <v>0</v>
      </c>
      <c r="T68" s="352">
        <f>SUM(T37:T67)</f>
        <v>0</v>
      </c>
      <c r="U68" s="352">
        <f>SUM(U37:U67)</f>
        <v>0</v>
      </c>
      <c r="V68" s="352">
        <f>SUM(V37:V67)</f>
        <v>0</v>
      </c>
      <c r="W68" s="352">
        <f>SUM(W37:W67)</f>
        <v>0</v>
      </c>
      <c r="X68" s="482"/>
      <c r="Y68" s="493"/>
      <c r="Z68" s="325"/>
      <c r="AA68" s="353" t="s">
        <v>16</v>
      </c>
      <c r="AB68" s="352">
        <f>SUM(AB37:AB67)</f>
        <v>0</v>
      </c>
      <c r="AC68" s="352">
        <f>SUM(AC37:AC67)</f>
        <v>0</v>
      </c>
      <c r="AD68" s="352">
        <f>SUM(AD37:AD67)</f>
        <v>0</v>
      </c>
      <c r="AE68" s="352">
        <f>SUM(AE37:AE67)</f>
        <v>0</v>
      </c>
      <c r="AF68" s="352"/>
      <c r="AG68" s="352"/>
      <c r="AH68" s="352">
        <f>SUM(AH37:AH67)</f>
        <v>0</v>
      </c>
      <c r="AI68" s="482"/>
      <c r="AJ68" s="493"/>
      <c r="AK68" s="325"/>
      <c r="AL68" s="353" t="s">
        <v>16</v>
      </c>
      <c r="AM68" s="352">
        <f>SUM(AM37:AM67)</f>
        <v>100</v>
      </c>
      <c r="AN68" s="352">
        <f t="shared" ref="AN68:AV68" si="2">SUM(AN37:AN67)</f>
        <v>1500</v>
      </c>
      <c r="AO68" s="352">
        <f t="shared" si="2"/>
        <v>500</v>
      </c>
      <c r="AP68" s="352">
        <f t="shared" si="2"/>
        <v>300</v>
      </c>
      <c r="AQ68" s="352"/>
      <c r="AR68" s="352">
        <f t="shared" si="2"/>
        <v>1300</v>
      </c>
      <c r="AS68" s="352">
        <f t="shared" si="2"/>
        <v>300</v>
      </c>
      <c r="AT68" s="352"/>
      <c r="AU68" s="352">
        <f t="shared" si="2"/>
        <v>500</v>
      </c>
      <c r="AV68" s="352">
        <f t="shared" si="2"/>
        <v>0</v>
      </c>
      <c r="AW68" s="356"/>
    </row>
    <row r="70" spans="1:49" ht="14.45" customHeight="1">
      <c r="B70" s="338">
        <v>1</v>
      </c>
      <c r="C70" s="338"/>
      <c r="D70" s="338"/>
      <c r="E70" s="339">
        <v>40</v>
      </c>
      <c r="F70" s="339"/>
      <c r="G70" s="339">
        <v>15</v>
      </c>
      <c r="H70" s="339"/>
      <c r="I70" s="339">
        <v>243.5</v>
      </c>
      <c r="J70" s="340"/>
      <c r="K70" s="340">
        <v>30</v>
      </c>
      <c r="L70" s="340"/>
      <c r="M70" s="340">
        <v>4</v>
      </c>
      <c r="N70" s="340"/>
      <c r="O70" s="478">
        <f>+C101+D101+E101+F101+G101+H101+I101+J101+K101+L101+M101+N101</f>
        <v>6195.04</v>
      </c>
      <c r="P70" s="331"/>
      <c r="R70" s="338">
        <v>1</v>
      </c>
      <c r="S70" s="341"/>
      <c r="T70" s="341"/>
      <c r="U70" s="341"/>
      <c r="V70" s="341"/>
      <c r="W70" s="341"/>
      <c r="X70" s="479">
        <f>SUM(S101:X101)</f>
        <v>0</v>
      </c>
      <c r="AA70" s="338">
        <v>1</v>
      </c>
      <c r="AB70" s="341"/>
      <c r="AC70" s="341"/>
      <c r="AD70" s="341"/>
      <c r="AE70" s="341"/>
      <c r="AF70" s="341"/>
      <c r="AG70" s="341"/>
      <c r="AH70" s="341"/>
      <c r="AI70" s="479">
        <f>SUM(AB101:AI101)</f>
        <v>0</v>
      </c>
      <c r="AL70" s="338">
        <v>1</v>
      </c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2">
        <f>SUM(AM101:AW101)</f>
        <v>5100</v>
      </c>
    </row>
    <row r="71" spans="1:49" ht="14.45" customHeight="1">
      <c r="B71" s="338">
        <v>2</v>
      </c>
      <c r="C71" s="338"/>
      <c r="D71" s="338"/>
      <c r="E71" s="339"/>
      <c r="F71" s="339"/>
      <c r="G71" s="339">
        <v>20</v>
      </c>
      <c r="H71" s="339"/>
      <c r="I71" s="339">
        <v>116</v>
      </c>
      <c r="J71" s="340"/>
      <c r="K71" s="340">
        <v>56</v>
      </c>
      <c r="L71" s="340"/>
      <c r="M71" s="340"/>
      <c r="N71" s="340"/>
      <c r="O71" s="478"/>
      <c r="P71" s="331"/>
      <c r="R71" s="338">
        <v>2</v>
      </c>
      <c r="S71" s="341"/>
      <c r="T71" s="341"/>
      <c r="U71" s="341"/>
      <c r="V71" s="341"/>
      <c r="W71" s="341"/>
      <c r="X71" s="480"/>
      <c r="AA71" s="338">
        <v>2</v>
      </c>
      <c r="AB71" s="341"/>
      <c r="AC71" s="341"/>
      <c r="AD71" s="341"/>
      <c r="AE71" s="341"/>
      <c r="AF71" s="341"/>
      <c r="AG71" s="341"/>
      <c r="AH71" s="341"/>
      <c r="AI71" s="480"/>
      <c r="AL71" s="338">
        <v>2</v>
      </c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3"/>
    </row>
    <row r="72" spans="1:49" ht="14.45" customHeight="1">
      <c r="B72" s="338">
        <v>3</v>
      </c>
      <c r="C72" s="338">
        <v>10</v>
      </c>
      <c r="D72" s="338"/>
      <c r="E72" s="339">
        <v>11</v>
      </c>
      <c r="F72" s="339"/>
      <c r="G72" s="339">
        <v>47</v>
      </c>
      <c r="H72" s="339"/>
      <c r="I72" s="339">
        <v>41.5</v>
      </c>
      <c r="J72" s="340"/>
      <c r="K72" s="340">
        <v>30</v>
      </c>
      <c r="L72" s="340"/>
      <c r="M72" s="340"/>
      <c r="N72" s="340"/>
      <c r="O72" s="478"/>
      <c r="P72" s="331"/>
      <c r="R72" s="338">
        <v>3</v>
      </c>
      <c r="S72" s="341"/>
      <c r="T72" s="341"/>
      <c r="U72" s="341"/>
      <c r="V72" s="341"/>
      <c r="W72" s="341"/>
      <c r="X72" s="480"/>
      <c r="AA72" s="338">
        <v>3</v>
      </c>
      <c r="AB72" s="341"/>
      <c r="AC72" s="341"/>
      <c r="AD72" s="341"/>
      <c r="AE72" s="341"/>
      <c r="AF72" s="341"/>
      <c r="AG72" s="341"/>
      <c r="AH72" s="341"/>
      <c r="AI72" s="480"/>
      <c r="AL72" s="338">
        <v>3</v>
      </c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3"/>
    </row>
    <row r="73" spans="1:49" ht="14.45" customHeight="1">
      <c r="B73" s="338">
        <v>4</v>
      </c>
      <c r="C73" s="338"/>
      <c r="D73" s="338"/>
      <c r="E73" s="339"/>
      <c r="F73" s="339"/>
      <c r="G73" s="339">
        <v>40</v>
      </c>
      <c r="H73" s="339"/>
      <c r="I73" s="339">
        <v>66.3</v>
      </c>
      <c r="J73" s="340"/>
      <c r="K73" s="340">
        <v>61.6</v>
      </c>
      <c r="L73" s="340"/>
      <c r="M73" s="340"/>
      <c r="N73" s="340"/>
      <c r="O73" s="478"/>
      <c r="P73" s="331"/>
      <c r="R73" s="338">
        <v>4</v>
      </c>
      <c r="S73" s="341"/>
      <c r="T73" s="341"/>
      <c r="U73" s="341"/>
      <c r="V73" s="341"/>
      <c r="W73" s="341"/>
      <c r="X73" s="480"/>
      <c r="AA73" s="338">
        <v>4</v>
      </c>
      <c r="AB73" s="341"/>
      <c r="AC73" s="341"/>
      <c r="AD73" s="341"/>
      <c r="AE73" s="341"/>
      <c r="AF73" s="341"/>
      <c r="AG73" s="341"/>
      <c r="AH73" s="341"/>
      <c r="AI73" s="480"/>
      <c r="AL73" s="338">
        <v>4</v>
      </c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3"/>
    </row>
    <row r="74" spans="1:49" ht="14.45" customHeight="1">
      <c r="B74" s="338">
        <v>5</v>
      </c>
      <c r="C74" s="338"/>
      <c r="D74" s="338"/>
      <c r="E74" s="339">
        <v>40</v>
      </c>
      <c r="F74" s="339"/>
      <c r="G74" s="339">
        <v>50</v>
      </c>
      <c r="H74" s="339"/>
      <c r="I74" s="339">
        <v>70</v>
      </c>
      <c r="J74" s="340"/>
      <c r="K74" s="340">
        <v>44</v>
      </c>
      <c r="L74" s="340"/>
      <c r="M74" s="340">
        <v>14</v>
      </c>
      <c r="N74" s="340"/>
      <c r="O74" s="478"/>
      <c r="P74" s="331"/>
      <c r="R74" s="338">
        <v>5</v>
      </c>
      <c r="S74" s="341"/>
      <c r="T74" s="341"/>
      <c r="U74" s="341"/>
      <c r="V74" s="341"/>
      <c r="W74" s="341"/>
      <c r="X74" s="480"/>
      <c r="AA74" s="338">
        <v>5</v>
      </c>
      <c r="AB74" s="341"/>
      <c r="AC74" s="341"/>
      <c r="AD74" s="341"/>
      <c r="AE74" s="341"/>
      <c r="AF74" s="341"/>
      <c r="AG74" s="341"/>
      <c r="AH74" s="341"/>
      <c r="AI74" s="480"/>
      <c r="AL74" s="338">
        <v>5</v>
      </c>
      <c r="AM74" s="341"/>
      <c r="AN74" s="341">
        <v>2800</v>
      </c>
      <c r="AO74" s="341">
        <v>1400</v>
      </c>
      <c r="AP74" s="341"/>
      <c r="AQ74" s="341"/>
      <c r="AR74" s="341"/>
      <c r="AS74" s="341"/>
      <c r="AT74" s="341"/>
      <c r="AU74" s="341"/>
      <c r="AV74" s="341"/>
      <c r="AW74" s="343"/>
    </row>
    <row r="75" spans="1:49" ht="14.45" customHeight="1">
      <c r="B75" s="338">
        <v>6</v>
      </c>
      <c r="C75" s="338"/>
      <c r="D75" s="338"/>
      <c r="E75" s="339"/>
      <c r="F75" s="339"/>
      <c r="G75" s="339">
        <v>100</v>
      </c>
      <c r="H75" s="339"/>
      <c r="I75" s="339">
        <v>64</v>
      </c>
      <c r="J75" s="340"/>
      <c r="K75" s="340">
        <v>50</v>
      </c>
      <c r="L75" s="340"/>
      <c r="M75" s="340"/>
      <c r="N75" s="340"/>
      <c r="O75" s="478"/>
      <c r="P75" s="331"/>
      <c r="R75" s="338">
        <v>6</v>
      </c>
      <c r="S75" s="341"/>
      <c r="T75" s="341"/>
      <c r="U75" s="341"/>
      <c r="V75" s="341"/>
      <c r="W75" s="341"/>
      <c r="X75" s="480"/>
      <c r="AA75" s="338">
        <v>6</v>
      </c>
      <c r="AB75" s="341"/>
      <c r="AC75" s="341"/>
      <c r="AD75" s="341"/>
      <c r="AE75" s="341"/>
      <c r="AF75" s="341"/>
      <c r="AG75" s="341"/>
      <c r="AH75" s="341"/>
      <c r="AI75" s="480"/>
      <c r="AL75" s="338">
        <v>6</v>
      </c>
      <c r="AM75" s="341">
        <v>200</v>
      </c>
      <c r="AN75" s="341"/>
      <c r="AO75" s="341"/>
      <c r="AP75" s="341"/>
      <c r="AQ75" s="341">
        <v>200</v>
      </c>
      <c r="AR75" s="341"/>
      <c r="AS75" s="341"/>
      <c r="AT75" s="341"/>
      <c r="AU75" s="341"/>
      <c r="AV75" s="341"/>
      <c r="AW75" s="343"/>
    </row>
    <row r="76" spans="1:49" ht="14.45" customHeight="1">
      <c r="B76" s="338">
        <v>7</v>
      </c>
      <c r="C76" s="338"/>
      <c r="D76" s="338"/>
      <c r="E76" s="339">
        <v>30</v>
      </c>
      <c r="F76" s="339"/>
      <c r="G76" s="339">
        <v>112</v>
      </c>
      <c r="H76" s="339"/>
      <c r="I76" s="339">
        <v>48.4</v>
      </c>
      <c r="J76" s="340"/>
      <c r="K76" s="340">
        <v>122</v>
      </c>
      <c r="L76" s="340"/>
      <c r="M76" s="340"/>
      <c r="N76" s="340"/>
      <c r="O76" s="478"/>
      <c r="P76" s="331"/>
      <c r="R76" s="338">
        <v>7</v>
      </c>
      <c r="S76" s="341"/>
      <c r="T76" s="341"/>
      <c r="U76" s="341"/>
      <c r="V76" s="341"/>
      <c r="W76" s="341"/>
      <c r="X76" s="480"/>
      <c r="AA76" s="338">
        <v>7</v>
      </c>
      <c r="AB76" s="341"/>
      <c r="AC76" s="341"/>
      <c r="AD76" s="341"/>
      <c r="AE76" s="341"/>
      <c r="AF76" s="341"/>
      <c r="AG76" s="341"/>
      <c r="AH76" s="341"/>
      <c r="AI76" s="480"/>
      <c r="AL76" s="338">
        <v>7</v>
      </c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3"/>
    </row>
    <row r="77" spans="1:49" ht="14.45" customHeight="1">
      <c r="B77" s="338">
        <v>8</v>
      </c>
      <c r="C77" s="338"/>
      <c r="D77" s="338">
        <v>1</v>
      </c>
      <c r="E77" s="339">
        <v>1</v>
      </c>
      <c r="F77" s="339"/>
      <c r="G77" s="339">
        <v>7</v>
      </c>
      <c r="H77" s="339"/>
      <c r="I77" s="339">
        <v>46</v>
      </c>
      <c r="J77" s="340"/>
      <c r="K77" s="340">
        <v>220</v>
      </c>
      <c r="L77" s="340"/>
      <c r="M77" s="340"/>
      <c r="N77" s="340"/>
      <c r="O77" s="478"/>
      <c r="P77" s="331"/>
      <c r="R77" s="338">
        <v>8</v>
      </c>
      <c r="S77" s="341"/>
      <c r="T77" s="341"/>
      <c r="U77" s="341"/>
      <c r="V77" s="341"/>
      <c r="W77" s="341"/>
      <c r="X77" s="480"/>
      <c r="AA77" s="338">
        <v>8</v>
      </c>
      <c r="AB77" s="341"/>
      <c r="AC77" s="341"/>
      <c r="AD77" s="341"/>
      <c r="AE77" s="341"/>
      <c r="AF77" s="341"/>
      <c r="AG77" s="341"/>
      <c r="AH77" s="341"/>
      <c r="AI77" s="480"/>
      <c r="AL77" s="338">
        <v>8</v>
      </c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3"/>
    </row>
    <row r="78" spans="1:49" ht="14.45" customHeight="1">
      <c r="B78" s="338">
        <v>9</v>
      </c>
      <c r="C78" s="338"/>
      <c r="D78" s="338"/>
      <c r="E78" s="339"/>
      <c r="F78" s="339"/>
      <c r="G78" s="339"/>
      <c r="H78" s="339"/>
      <c r="I78" s="339"/>
      <c r="J78" s="340"/>
      <c r="K78" s="340"/>
      <c r="L78" s="340"/>
      <c r="M78" s="340"/>
      <c r="N78" s="340"/>
      <c r="O78" s="478"/>
      <c r="P78" s="331"/>
      <c r="R78" s="338">
        <v>9</v>
      </c>
      <c r="S78" s="341"/>
      <c r="T78" s="341"/>
      <c r="U78" s="341"/>
      <c r="V78" s="341"/>
      <c r="W78" s="341"/>
      <c r="X78" s="480"/>
      <c r="AA78" s="338">
        <v>9</v>
      </c>
      <c r="AB78" s="341"/>
      <c r="AC78" s="341"/>
      <c r="AD78" s="341"/>
      <c r="AE78" s="341"/>
      <c r="AF78" s="341"/>
      <c r="AG78" s="341"/>
      <c r="AH78" s="341"/>
      <c r="AI78" s="480"/>
      <c r="AL78" s="338">
        <v>9</v>
      </c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3"/>
    </row>
    <row r="79" spans="1:49" ht="14.45" customHeight="1">
      <c r="B79" s="338">
        <v>10</v>
      </c>
      <c r="C79" s="338"/>
      <c r="D79" s="338"/>
      <c r="E79" s="339">
        <v>35</v>
      </c>
      <c r="F79" s="339"/>
      <c r="G79" s="339">
        <v>70</v>
      </c>
      <c r="H79" s="339"/>
      <c r="I79" s="339">
        <v>10</v>
      </c>
      <c r="J79" s="340"/>
      <c r="K79" s="340">
        <v>51</v>
      </c>
      <c r="L79" s="340"/>
      <c r="M79" s="340">
        <v>10</v>
      </c>
      <c r="N79" s="340"/>
      <c r="O79" s="478"/>
      <c r="P79" s="331"/>
      <c r="R79" s="338">
        <v>10</v>
      </c>
      <c r="S79" s="341"/>
      <c r="T79" s="341"/>
      <c r="U79" s="341"/>
      <c r="V79" s="341"/>
      <c r="W79" s="341"/>
      <c r="X79" s="480"/>
      <c r="AA79" s="338">
        <v>10</v>
      </c>
      <c r="AB79" s="341"/>
      <c r="AC79" s="341"/>
      <c r="AD79" s="341"/>
      <c r="AE79" s="341"/>
      <c r="AF79" s="341"/>
      <c r="AG79" s="341"/>
      <c r="AH79" s="341"/>
      <c r="AI79" s="480"/>
      <c r="AL79" s="338">
        <v>10</v>
      </c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3"/>
    </row>
    <row r="80" spans="1:49" ht="14.45" customHeight="1">
      <c r="B80" s="338">
        <v>11</v>
      </c>
      <c r="C80" s="338"/>
      <c r="D80" s="338"/>
      <c r="E80" s="339">
        <v>10</v>
      </c>
      <c r="F80" s="339"/>
      <c r="G80" s="339">
        <v>41</v>
      </c>
      <c r="H80" s="339"/>
      <c r="I80" s="339"/>
      <c r="J80" s="340"/>
      <c r="K80" s="340">
        <v>92</v>
      </c>
      <c r="L80" s="340"/>
      <c r="M80" s="340"/>
      <c r="N80" s="340"/>
      <c r="O80" s="478"/>
      <c r="P80" s="331"/>
      <c r="R80" s="338">
        <v>11</v>
      </c>
      <c r="S80" s="341"/>
      <c r="T80" s="341"/>
      <c r="U80" s="341"/>
      <c r="V80" s="341"/>
      <c r="W80" s="341"/>
      <c r="X80" s="480"/>
      <c r="AA80" s="338">
        <v>11</v>
      </c>
      <c r="AB80" s="341"/>
      <c r="AC80" s="341"/>
      <c r="AD80" s="341"/>
      <c r="AE80" s="341"/>
      <c r="AF80" s="341"/>
      <c r="AG80" s="341"/>
      <c r="AH80" s="341"/>
      <c r="AI80" s="480"/>
      <c r="AL80" s="338">
        <v>11</v>
      </c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3"/>
    </row>
    <row r="81" spans="2:49" ht="14.45" customHeight="1">
      <c r="B81" s="338">
        <v>12</v>
      </c>
      <c r="C81" s="338"/>
      <c r="D81" s="338">
        <v>9</v>
      </c>
      <c r="E81" s="339">
        <v>56</v>
      </c>
      <c r="F81" s="339"/>
      <c r="G81" s="339">
        <v>9</v>
      </c>
      <c r="H81" s="339"/>
      <c r="I81" s="339"/>
      <c r="J81" s="340"/>
      <c r="K81" s="340">
        <v>76</v>
      </c>
      <c r="L81" s="340"/>
      <c r="M81" s="340">
        <v>12</v>
      </c>
      <c r="N81" s="340"/>
      <c r="O81" s="478"/>
      <c r="P81" s="331"/>
      <c r="R81" s="338">
        <v>12</v>
      </c>
      <c r="S81" s="341"/>
      <c r="T81" s="341"/>
      <c r="U81" s="341"/>
      <c r="V81" s="341"/>
      <c r="W81" s="341"/>
      <c r="X81" s="480"/>
      <c r="AA81" s="338">
        <v>12</v>
      </c>
      <c r="AB81" s="341"/>
      <c r="AC81" s="341"/>
      <c r="AD81" s="341"/>
      <c r="AE81" s="341"/>
      <c r="AF81" s="341"/>
      <c r="AG81" s="341"/>
      <c r="AH81" s="341"/>
      <c r="AI81" s="480"/>
      <c r="AL81" s="338">
        <v>12</v>
      </c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3"/>
    </row>
    <row r="82" spans="2:49" ht="14.45" customHeight="1">
      <c r="B82" s="338">
        <v>13</v>
      </c>
      <c r="C82" s="338"/>
      <c r="D82" s="338"/>
      <c r="E82" s="339"/>
      <c r="F82" s="339"/>
      <c r="G82" s="339">
        <v>50</v>
      </c>
      <c r="H82" s="339"/>
      <c r="I82" s="339">
        <v>70</v>
      </c>
      <c r="J82" s="340"/>
      <c r="K82" s="340">
        <v>40</v>
      </c>
      <c r="L82" s="340"/>
      <c r="M82" s="340">
        <v>26</v>
      </c>
      <c r="N82" s="340"/>
      <c r="O82" s="478"/>
      <c r="P82" s="331"/>
      <c r="R82" s="338">
        <v>13</v>
      </c>
      <c r="S82" s="341"/>
      <c r="T82" s="341"/>
      <c r="U82" s="341"/>
      <c r="V82" s="341"/>
      <c r="W82" s="341"/>
      <c r="X82" s="480"/>
      <c r="AA82" s="338">
        <v>13</v>
      </c>
      <c r="AB82" s="341"/>
      <c r="AC82" s="341"/>
      <c r="AD82" s="341"/>
      <c r="AE82" s="341"/>
      <c r="AF82" s="341"/>
      <c r="AG82" s="341"/>
      <c r="AH82" s="341"/>
      <c r="AI82" s="480"/>
      <c r="AL82" s="338">
        <v>13</v>
      </c>
      <c r="AM82" s="341">
        <v>300</v>
      </c>
      <c r="AN82" s="341"/>
      <c r="AO82" s="341">
        <v>200</v>
      </c>
      <c r="AP82" s="341"/>
      <c r="AQ82" s="341"/>
      <c r="AR82" s="341"/>
      <c r="AS82" s="341"/>
      <c r="AT82" s="341"/>
      <c r="AU82" s="341"/>
      <c r="AV82" s="341"/>
      <c r="AW82" s="343"/>
    </row>
    <row r="83" spans="2:49" ht="14.45" customHeight="1">
      <c r="B83" s="338">
        <v>14</v>
      </c>
      <c r="C83" s="338"/>
      <c r="D83" s="338"/>
      <c r="E83" s="339"/>
      <c r="F83" s="339"/>
      <c r="G83" s="339">
        <v>25</v>
      </c>
      <c r="H83" s="339"/>
      <c r="I83" s="339">
        <v>105</v>
      </c>
      <c r="J83" s="340"/>
      <c r="K83" s="340">
        <v>134</v>
      </c>
      <c r="L83" s="340"/>
      <c r="M83" s="340">
        <v>6</v>
      </c>
      <c r="N83" s="340"/>
      <c r="O83" s="478"/>
      <c r="P83" s="331"/>
      <c r="R83" s="338">
        <v>14</v>
      </c>
      <c r="S83" s="341"/>
      <c r="T83" s="341"/>
      <c r="U83" s="341"/>
      <c r="V83" s="341"/>
      <c r="W83" s="341"/>
      <c r="X83" s="480"/>
      <c r="AA83" s="338">
        <v>14</v>
      </c>
      <c r="AB83" s="341"/>
      <c r="AC83" s="341"/>
      <c r="AD83" s="341"/>
      <c r="AE83" s="341"/>
      <c r="AF83" s="341"/>
      <c r="AG83" s="341"/>
      <c r="AH83" s="341"/>
      <c r="AI83" s="480"/>
      <c r="AL83" s="338">
        <v>14</v>
      </c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3"/>
    </row>
    <row r="84" spans="2:49" ht="14.45" customHeight="1">
      <c r="B84" s="338">
        <v>15</v>
      </c>
      <c r="C84" s="338"/>
      <c r="D84" s="338"/>
      <c r="E84" s="339">
        <v>2</v>
      </c>
      <c r="F84" s="339"/>
      <c r="G84" s="339">
        <v>16</v>
      </c>
      <c r="H84" s="339"/>
      <c r="I84" s="339">
        <v>31</v>
      </c>
      <c r="J84" s="340"/>
      <c r="K84" s="340">
        <v>50</v>
      </c>
      <c r="L84" s="340"/>
      <c r="M84" s="340"/>
      <c r="N84" s="340"/>
      <c r="O84" s="478"/>
      <c r="P84" s="331"/>
      <c r="R84" s="338">
        <v>15</v>
      </c>
      <c r="S84" s="341"/>
      <c r="T84" s="341"/>
      <c r="U84" s="341"/>
      <c r="V84" s="341"/>
      <c r="W84" s="341"/>
      <c r="X84" s="480"/>
      <c r="AA84" s="338">
        <v>15</v>
      </c>
      <c r="AB84" s="341"/>
      <c r="AC84" s="341"/>
      <c r="AD84" s="341"/>
      <c r="AE84" s="341"/>
      <c r="AF84" s="341"/>
      <c r="AG84" s="341"/>
      <c r="AH84" s="341"/>
      <c r="AI84" s="480"/>
      <c r="AL84" s="338">
        <v>15</v>
      </c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3"/>
    </row>
    <row r="85" spans="2:49" ht="14.45" customHeight="1">
      <c r="B85" s="338">
        <v>16</v>
      </c>
      <c r="C85" s="338"/>
      <c r="D85" s="338"/>
      <c r="E85" s="339"/>
      <c r="F85" s="339"/>
      <c r="G85" s="339"/>
      <c r="H85" s="339"/>
      <c r="I85" s="339"/>
      <c r="J85" s="340"/>
      <c r="K85" s="340"/>
      <c r="L85" s="340"/>
      <c r="M85" s="340"/>
      <c r="N85" s="340"/>
      <c r="O85" s="478"/>
      <c r="P85" s="331"/>
      <c r="R85" s="338">
        <v>16</v>
      </c>
      <c r="S85" s="341"/>
      <c r="T85" s="341"/>
      <c r="U85" s="341"/>
      <c r="V85" s="341"/>
      <c r="W85" s="341"/>
      <c r="X85" s="480"/>
      <c r="AA85" s="338">
        <v>16</v>
      </c>
      <c r="AB85" s="341"/>
      <c r="AC85" s="341"/>
      <c r="AD85" s="341"/>
      <c r="AE85" s="341"/>
      <c r="AF85" s="341"/>
      <c r="AG85" s="341"/>
      <c r="AH85" s="341"/>
      <c r="AI85" s="480"/>
      <c r="AL85" s="338">
        <v>16</v>
      </c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3"/>
    </row>
    <row r="86" spans="2:49" ht="14.45" customHeight="1">
      <c r="B86" s="338">
        <v>17</v>
      </c>
      <c r="C86" s="338">
        <v>120</v>
      </c>
      <c r="D86" s="338">
        <v>100</v>
      </c>
      <c r="E86" s="339"/>
      <c r="F86" s="339"/>
      <c r="G86" s="339">
        <v>4</v>
      </c>
      <c r="H86" s="339"/>
      <c r="I86" s="339">
        <f>1.5*5</f>
        <v>7.5</v>
      </c>
      <c r="J86" s="340"/>
      <c r="K86" s="340">
        <v>5</v>
      </c>
      <c r="L86" s="340"/>
      <c r="M86" s="340"/>
      <c r="N86" s="340"/>
      <c r="O86" s="478"/>
      <c r="P86" s="331"/>
      <c r="R86" s="338">
        <v>17</v>
      </c>
      <c r="S86" s="341"/>
      <c r="T86" s="341"/>
      <c r="U86" s="341"/>
      <c r="V86" s="341"/>
      <c r="W86" s="341"/>
      <c r="X86" s="480"/>
      <c r="AA86" s="338">
        <v>17</v>
      </c>
      <c r="AB86" s="341"/>
      <c r="AC86" s="341"/>
      <c r="AD86" s="341"/>
      <c r="AE86" s="341"/>
      <c r="AF86" s="341"/>
      <c r="AG86" s="341"/>
      <c r="AH86" s="341"/>
      <c r="AI86" s="480"/>
      <c r="AL86" s="338">
        <v>17</v>
      </c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3"/>
    </row>
    <row r="87" spans="2:49" ht="14.45" customHeight="1">
      <c r="B87" s="338">
        <v>18</v>
      </c>
      <c r="C87" s="338">
        <v>10</v>
      </c>
      <c r="D87" s="338">
        <v>20</v>
      </c>
      <c r="E87" s="339">
        <v>50</v>
      </c>
      <c r="F87" s="339"/>
      <c r="G87" s="339">
        <v>33</v>
      </c>
      <c r="H87" s="339"/>
      <c r="I87" s="339">
        <v>40</v>
      </c>
      <c r="J87" s="340"/>
      <c r="K87" s="340">
        <v>78</v>
      </c>
      <c r="L87" s="340"/>
      <c r="M87" s="340">
        <v>15</v>
      </c>
      <c r="N87" s="340"/>
      <c r="O87" s="478"/>
      <c r="P87" s="331"/>
      <c r="R87" s="338">
        <v>18</v>
      </c>
      <c r="S87" s="341"/>
      <c r="T87" s="341"/>
      <c r="U87" s="341"/>
      <c r="V87" s="341"/>
      <c r="W87" s="341"/>
      <c r="X87" s="480"/>
      <c r="AA87" s="338">
        <v>18</v>
      </c>
      <c r="AB87" s="341"/>
      <c r="AC87" s="341"/>
      <c r="AD87" s="341"/>
      <c r="AE87" s="341"/>
      <c r="AF87" s="341"/>
      <c r="AG87" s="341"/>
      <c r="AH87" s="341"/>
      <c r="AI87" s="480"/>
      <c r="AL87" s="338">
        <v>18</v>
      </c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3"/>
    </row>
    <row r="88" spans="2:49" ht="14.45" customHeight="1">
      <c r="B88" s="338">
        <v>19</v>
      </c>
      <c r="C88" s="338"/>
      <c r="D88" s="338"/>
      <c r="E88" s="338">
        <v>31</v>
      </c>
      <c r="F88" s="338"/>
      <c r="G88" s="338">
        <v>9</v>
      </c>
      <c r="H88" s="338"/>
      <c r="I88" s="338">
        <v>82</v>
      </c>
      <c r="J88" s="338"/>
      <c r="K88" s="338">
        <v>94</v>
      </c>
      <c r="L88" s="338"/>
      <c r="M88" s="338">
        <v>5.64</v>
      </c>
      <c r="N88" s="338"/>
      <c r="O88" s="478"/>
      <c r="P88" s="331"/>
      <c r="R88" s="338">
        <v>19</v>
      </c>
      <c r="S88" s="341"/>
      <c r="T88" s="341"/>
      <c r="U88" s="341"/>
      <c r="V88" s="341"/>
      <c r="W88" s="341"/>
      <c r="X88" s="480"/>
      <c r="AA88" s="338">
        <v>19</v>
      </c>
      <c r="AB88" s="341"/>
      <c r="AC88" s="341"/>
      <c r="AD88" s="341"/>
      <c r="AE88" s="341"/>
      <c r="AF88" s="341"/>
      <c r="AG88" s="341"/>
      <c r="AH88" s="341"/>
      <c r="AI88" s="480"/>
      <c r="AL88" s="338">
        <v>19</v>
      </c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3"/>
    </row>
    <row r="89" spans="2:49" ht="14.45" customHeight="1">
      <c r="B89" s="338">
        <v>20</v>
      </c>
      <c r="C89" s="338"/>
      <c r="D89" s="338">
        <v>5</v>
      </c>
      <c r="E89" s="338">
        <v>12</v>
      </c>
      <c r="F89" s="338"/>
      <c r="G89" s="338">
        <v>50</v>
      </c>
      <c r="H89" s="338"/>
      <c r="I89" s="338">
        <v>108.5</v>
      </c>
      <c r="J89" s="338"/>
      <c r="K89" s="338">
        <v>20</v>
      </c>
      <c r="L89" s="338"/>
      <c r="M89" s="338">
        <v>4</v>
      </c>
      <c r="N89" s="338"/>
      <c r="O89" s="478"/>
      <c r="P89" s="331"/>
      <c r="R89" s="338">
        <v>20</v>
      </c>
      <c r="S89" s="341"/>
      <c r="T89" s="341"/>
      <c r="U89" s="341"/>
      <c r="V89" s="341"/>
      <c r="W89" s="341"/>
      <c r="X89" s="480"/>
      <c r="AA89" s="338">
        <v>20</v>
      </c>
      <c r="AB89" s="341"/>
      <c r="AC89" s="341"/>
      <c r="AD89" s="341"/>
      <c r="AE89" s="341"/>
      <c r="AF89" s="341"/>
      <c r="AG89" s="341"/>
      <c r="AH89" s="341"/>
      <c r="AI89" s="480"/>
      <c r="AL89" s="338">
        <v>20</v>
      </c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3"/>
    </row>
    <row r="90" spans="2:49" ht="14.45" customHeight="1">
      <c r="B90" s="338">
        <v>21</v>
      </c>
      <c r="C90" s="338"/>
      <c r="D90" s="338"/>
      <c r="E90" s="338">
        <v>350</v>
      </c>
      <c r="F90" s="338"/>
      <c r="G90" s="338"/>
      <c r="H90" s="338"/>
      <c r="I90" s="338">
        <v>5</v>
      </c>
      <c r="J90" s="338"/>
      <c r="K90" s="338">
        <v>20</v>
      </c>
      <c r="L90" s="338"/>
      <c r="M90" s="338"/>
      <c r="N90" s="338"/>
      <c r="O90" s="478"/>
      <c r="P90" s="331"/>
      <c r="R90" s="338">
        <v>21</v>
      </c>
      <c r="S90" s="341"/>
      <c r="T90" s="341"/>
      <c r="U90" s="341"/>
      <c r="V90" s="341"/>
      <c r="W90" s="341"/>
      <c r="X90" s="480"/>
      <c r="AA90" s="338">
        <v>21</v>
      </c>
      <c r="AB90" s="341"/>
      <c r="AC90" s="341"/>
      <c r="AD90" s="341"/>
      <c r="AE90" s="341"/>
      <c r="AF90" s="341"/>
      <c r="AG90" s="341"/>
      <c r="AH90" s="341"/>
      <c r="AI90" s="480"/>
      <c r="AL90" s="338">
        <v>21</v>
      </c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3"/>
    </row>
    <row r="91" spans="2:49" ht="14.45" customHeight="1">
      <c r="B91" s="338">
        <v>22</v>
      </c>
      <c r="C91" s="338"/>
      <c r="D91" s="325">
        <v>7</v>
      </c>
      <c r="E91" s="338">
        <v>227</v>
      </c>
      <c r="F91" s="338"/>
      <c r="G91" s="338">
        <v>14</v>
      </c>
      <c r="H91" s="338"/>
      <c r="I91" s="338">
        <v>73</v>
      </c>
      <c r="J91" s="338"/>
      <c r="K91" s="338">
        <v>17</v>
      </c>
      <c r="L91" s="338"/>
      <c r="M91" s="338">
        <v>30</v>
      </c>
      <c r="N91" s="338"/>
      <c r="O91" s="478"/>
      <c r="P91" s="331"/>
      <c r="R91" s="338">
        <v>22</v>
      </c>
      <c r="S91" s="341"/>
      <c r="T91" s="341"/>
      <c r="U91" s="341"/>
      <c r="V91" s="341"/>
      <c r="W91" s="341"/>
      <c r="X91" s="480"/>
      <c r="AA91" s="338">
        <v>22</v>
      </c>
      <c r="AB91" s="341"/>
      <c r="AC91" s="341"/>
      <c r="AD91" s="341"/>
      <c r="AE91" s="341"/>
      <c r="AF91" s="341"/>
      <c r="AG91" s="341"/>
      <c r="AH91" s="341"/>
      <c r="AI91" s="480"/>
      <c r="AL91" s="338">
        <v>22</v>
      </c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3"/>
    </row>
    <row r="92" spans="2:49" ht="14.45" customHeight="1">
      <c r="B92" s="338">
        <v>23</v>
      </c>
      <c r="C92" s="338"/>
      <c r="D92" s="338"/>
      <c r="E92" s="339">
        <v>366</v>
      </c>
      <c r="F92" s="339"/>
      <c r="G92" s="339"/>
      <c r="H92" s="339"/>
      <c r="I92" s="339"/>
      <c r="J92" s="340"/>
      <c r="K92" s="340"/>
      <c r="L92" s="340"/>
      <c r="M92" s="340"/>
      <c r="N92" s="340"/>
      <c r="O92" s="478"/>
      <c r="P92" s="331"/>
      <c r="R92" s="338">
        <v>23</v>
      </c>
      <c r="S92" s="341"/>
      <c r="T92" s="341"/>
      <c r="U92" s="341"/>
      <c r="V92" s="341"/>
      <c r="W92" s="341"/>
      <c r="X92" s="480"/>
      <c r="AA92" s="338">
        <v>23</v>
      </c>
      <c r="AB92" s="341"/>
      <c r="AC92" s="341"/>
      <c r="AD92" s="341"/>
      <c r="AE92" s="341"/>
      <c r="AF92" s="341"/>
      <c r="AG92" s="341"/>
      <c r="AH92" s="341"/>
      <c r="AI92" s="480"/>
      <c r="AL92" s="338">
        <v>23</v>
      </c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3"/>
    </row>
    <row r="93" spans="2:49" ht="14.45" customHeight="1">
      <c r="B93" s="338">
        <v>24</v>
      </c>
      <c r="C93" s="338"/>
      <c r="D93" s="338">
        <v>1</v>
      </c>
      <c r="E93" s="339">
        <v>214</v>
      </c>
      <c r="F93" s="339"/>
      <c r="G93" s="339">
        <v>4</v>
      </c>
      <c r="H93" s="339"/>
      <c r="I93" s="339">
        <v>30</v>
      </c>
      <c r="J93" s="340"/>
      <c r="K93" s="340">
        <v>40</v>
      </c>
      <c r="L93" s="340"/>
      <c r="M93" s="340">
        <v>15</v>
      </c>
      <c r="N93" s="340"/>
      <c r="O93" s="478"/>
      <c r="P93" s="331"/>
      <c r="R93" s="338">
        <v>24</v>
      </c>
      <c r="S93" s="341"/>
      <c r="T93" s="341"/>
      <c r="U93" s="341"/>
      <c r="V93" s="341"/>
      <c r="W93" s="341"/>
      <c r="X93" s="480"/>
      <c r="AA93" s="338">
        <v>24</v>
      </c>
      <c r="AB93" s="341"/>
      <c r="AC93" s="341"/>
      <c r="AD93" s="341"/>
      <c r="AE93" s="341"/>
      <c r="AF93" s="341"/>
      <c r="AG93" s="341"/>
      <c r="AH93" s="341"/>
      <c r="AI93" s="480"/>
      <c r="AL93" s="338">
        <v>24</v>
      </c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3"/>
    </row>
    <row r="94" spans="2:49" ht="14.45" customHeight="1">
      <c r="B94" s="338">
        <v>25</v>
      </c>
      <c r="C94" s="338"/>
      <c r="D94" s="338"/>
      <c r="E94" s="339">
        <v>3</v>
      </c>
      <c r="F94" s="339"/>
      <c r="G94" s="339">
        <v>54</v>
      </c>
      <c r="H94" s="339"/>
      <c r="I94" s="339">
        <v>60</v>
      </c>
      <c r="J94" s="340"/>
      <c r="K94" s="340">
        <v>90</v>
      </c>
      <c r="L94" s="340"/>
      <c r="M94" s="340">
        <v>40</v>
      </c>
      <c r="N94" s="340"/>
      <c r="O94" s="478"/>
      <c r="P94" s="331"/>
      <c r="R94" s="338">
        <v>25</v>
      </c>
      <c r="S94" s="341"/>
      <c r="T94" s="341"/>
      <c r="U94" s="341"/>
      <c r="V94" s="341"/>
      <c r="W94" s="341"/>
      <c r="X94" s="480"/>
      <c r="AA94" s="338">
        <v>25</v>
      </c>
      <c r="AB94" s="341"/>
      <c r="AC94" s="341"/>
      <c r="AD94" s="341"/>
      <c r="AE94" s="341"/>
      <c r="AF94" s="341"/>
      <c r="AG94" s="341"/>
      <c r="AH94" s="341"/>
      <c r="AI94" s="480"/>
      <c r="AL94" s="338">
        <v>25</v>
      </c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3"/>
    </row>
    <row r="95" spans="2:49" ht="14.45" customHeight="1">
      <c r="B95" s="338">
        <v>26</v>
      </c>
      <c r="C95" s="338"/>
      <c r="D95" s="338"/>
      <c r="E95" s="339">
        <v>25</v>
      </c>
      <c r="F95" s="339"/>
      <c r="G95" s="339">
        <v>70</v>
      </c>
      <c r="H95" s="339"/>
      <c r="I95" s="339">
        <v>24</v>
      </c>
      <c r="J95" s="339"/>
      <c r="K95" s="339">
        <v>33</v>
      </c>
      <c r="L95" s="339"/>
      <c r="M95" s="339">
        <v>15</v>
      </c>
      <c r="N95" s="339"/>
      <c r="O95" s="478"/>
      <c r="P95" s="331"/>
      <c r="R95" s="338">
        <v>26</v>
      </c>
      <c r="S95" s="341"/>
      <c r="T95" s="341"/>
      <c r="U95" s="341"/>
      <c r="V95" s="341"/>
      <c r="W95" s="341"/>
      <c r="X95" s="480"/>
      <c r="AA95" s="338">
        <v>26</v>
      </c>
      <c r="AB95" s="341"/>
      <c r="AC95" s="341"/>
      <c r="AD95" s="341"/>
      <c r="AE95" s="341"/>
      <c r="AF95" s="341"/>
      <c r="AG95" s="341"/>
      <c r="AH95" s="341"/>
      <c r="AI95" s="480"/>
      <c r="AL95" s="338">
        <v>26</v>
      </c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3"/>
    </row>
    <row r="96" spans="2:49" ht="14.45" customHeight="1">
      <c r="B96" s="338">
        <v>27</v>
      </c>
      <c r="C96" s="362"/>
      <c r="D96" s="362"/>
      <c r="E96" s="362">
        <v>15</v>
      </c>
      <c r="F96" s="362">
        <v>1</v>
      </c>
      <c r="G96" s="362">
        <v>8</v>
      </c>
      <c r="H96" s="362"/>
      <c r="I96" s="363">
        <v>23</v>
      </c>
      <c r="J96" s="362"/>
      <c r="K96" s="362">
        <v>92</v>
      </c>
      <c r="L96" s="362"/>
      <c r="M96" s="362">
        <v>11</v>
      </c>
      <c r="N96" s="339"/>
      <c r="O96" s="478"/>
      <c r="P96" s="331"/>
      <c r="R96" s="338">
        <v>27</v>
      </c>
      <c r="S96" s="341"/>
      <c r="T96" s="341"/>
      <c r="U96" s="341"/>
      <c r="V96" s="341"/>
      <c r="W96" s="341"/>
      <c r="X96" s="480"/>
      <c r="AA96" s="338">
        <v>27</v>
      </c>
      <c r="AB96" s="341"/>
      <c r="AC96" s="341"/>
      <c r="AD96" s="341"/>
      <c r="AE96" s="341"/>
      <c r="AF96" s="341"/>
      <c r="AG96" s="341"/>
      <c r="AH96" s="341"/>
      <c r="AI96" s="480"/>
      <c r="AL96" s="338">
        <v>27</v>
      </c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3"/>
    </row>
    <row r="97" spans="1:49" ht="14.45" customHeight="1">
      <c r="B97" s="338">
        <v>28</v>
      </c>
      <c r="C97" s="346">
        <v>9</v>
      </c>
      <c r="D97" s="346"/>
      <c r="E97" s="347">
        <v>43.3</v>
      </c>
      <c r="F97" s="347"/>
      <c r="G97" s="347"/>
      <c r="H97" s="347"/>
      <c r="I97" s="347">
        <v>30</v>
      </c>
      <c r="J97" s="340"/>
      <c r="K97" s="348">
        <v>110</v>
      </c>
      <c r="L97" s="348">
        <v>2.5</v>
      </c>
      <c r="M97" s="340">
        <v>32.299999999999997</v>
      </c>
      <c r="N97" s="340"/>
      <c r="O97" s="478"/>
      <c r="P97" s="331"/>
      <c r="R97" s="338">
        <v>28</v>
      </c>
      <c r="S97" s="341"/>
      <c r="T97" s="341"/>
      <c r="U97" s="341"/>
      <c r="V97" s="341"/>
      <c r="W97" s="341"/>
      <c r="X97" s="480"/>
      <c r="AA97" s="338">
        <v>28</v>
      </c>
      <c r="AB97" s="341"/>
      <c r="AC97" s="341"/>
      <c r="AD97" s="341"/>
      <c r="AE97" s="341"/>
      <c r="AF97" s="341"/>
      <c r="AG97" s="341"/>
      <c r="AH97" s="341"/>
      <c r="AI97" s="480"/>
      <c r="AL97" s="338">
        <v>28</v>
      </c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3"/>
    </row>
    <row r="98" spans="1:49" ht="14.45" customHeight="1">
      <c r="B98" s="338">
        <v>29</v>
      </c>
      <c r="C98" s="338"/>
      <c r="D98" s="338"/>
      <c r="E98" s="339"/>
      <c r="F98" s="339"/>
      <c r="G98" s="339"/>
      <c r="H98" s="339"/>
      <c r="I98" s="339">
        <v>70</v>
      </c>
      <c r="J98" s="340"/>
      <c r="K98" s="340"/>
      <c r="L98" s="340"/>
      <c r="M98" s="340">
        <v>130</v>
      </c>
      <c r="N98" s="340"/>
      <c r="O98" s="478"/>
      <c r="P98" s="331"/>
      <c r="R98" s="338">
        <v>29</v>
      </c>
      <c r="S98" s="341"/>
      <c r="T98" s="341"/>
      <c r="U98" s="341"/>
      <c r="V98" s="341"/>
      <c r="W98" s="341"/>
      <c r="X98" s="480"/>
      <c r="AA98" s="338">
        <v>29</v>
      </c>
      <c r="AB98" s="341"/>
      <c r="AC98" s="341"/>
      <c r="AD98" s="341"/>
      <c r="AE98" s="341"/>
      <c r="AF98" s="341"/>
      <c r="AG98" s="341"/>
      <c r="AH98" s="341"/>
      <c r="AI98" s="480"/>
      <c r="AL98" s="338">
        <v>29</v>
      </c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3"/>
    </row>
    <row r="99" spans="1:49" ht="14.45" customHeight="1">
      <c r="B99" s="338">
        <v>30</v>
      </c>
      <c r="C99" s="349"/>
      <c r="D99" s="349"/>
      <c r="E99" s="350"/>
      <c r="F99" s="350"/>
      <c r="G99" s="350"/>
      <c r="H99" s="350"/>
      <c r="I99" s="350"/>
      <c r="J99" s="340"/>
      <c r="K99" s="351"/>
      <c r="L99" s="351"/>
      <c r="M99" s="340"/>
      <c r="N99" s="340"/>
      <c r="O99" s="478"/>
      <c r="P99" s="331"/>
      <c r="R99" s="338">
        <v>30</v>
      </c>
      <c r="S99" s="341"/>
      <c r="T99" s="341"/>
      <c r="U99" s="341"/>
      <c r="V99" s="341"/>
      <c r="W99" s="341"/>
      <c r="X99" s="480"/>
      <c r="AA99" s="338">
        <v>30</v>
      </c>
      <c r="AB99" s="341"/>
      <c r="AC99" s="341"/>
      <c r="AD99" s="341"/>
      <c r="AE99" s="341"/>
      <c r="AF99" s="341"/>
      <c r="AG99" s="341"/>
      <c r="AH99" s="341"/>
      <c r="AI99" s="480"/>
      <c r="AL99" s="338">
        <v>30</v>
      </c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3"/>
    </row>
    <row r="100" spans="1:49" ht="14.45" customHeight="1">
      <c r="B100" s="338">
        <v>31</v>
      </c>
      <c r="F100" s="350"/>
      <c r="G100" s="350"/>
      <c r="H100" s="350"/>
      <c r="I100" s="350"/>
      <c r="J100" s="340"/>
      <c r="K100" s="349"/>
      <c r="L100" s="349"/>
      <c r="M100" s="350"/>
      <c r="N100" s="340"/>
      <c r="O100" s="478"/>
      <c r="P100" s="331"/>
      <c r="R100" s="338">
        <v>31</v>
      </c>
      <c r="S100" s="352"/>
      <c r="T100" s="352"/>
      <c r="U100" s="352"/>
      <c r="V100" s="352"/>
      <c r="W100" s="352"/>
      <c r="X100" s="480"/>
      <c r="AA100" s="338">
        <v>31</v>
      </c>
      <c r="AB100" s="352"/>
      <c r="AC100" s="352"/>
      <c r="AD100" s="352"/>
      <c r="AE100" s="352"/>
      <c r="AF100" s="352"/>
      <c r="AG100" s="352"/>
      <c r="AH100" s="352"/>
      <c r="AI100" s="480"/>
      <c r="AL100" s="338">
        <v>31</v>
      </c>
      <c r="AM100" s="352"/>
      <c r="AN100" s="352"/>
      <c r="AO100" s="352"/>
      <c r="AP100" s="352"/>
      <c r="AQ100" s="352"/>
      <c r="AR100" s="352"/>
      <c r="AS100" s="352"/>
      <c r="AT100" s="352"/>
      <c r="AU100" s="352"/>
      <c r="AV100" s="352"/>
      <c r="AW100" s="343"/>
    </row>
    <row r="101" spans="1:49" s="7" customFormat="1" ht="32.450000000000003" customHeight="1">
      <c r="A101" s="332"/>
      <c r="B101" s="353" t="s">
        <v>16</v>
      </c>
      <c r="C101" s="354">
        <f>+SUM(C70:C100)</f>
        <v>149</v>
      </c>
      <c r="D101" s="354">
        <f t="shared" ref="D101:N101" si="3">+SUM(D70:D100)</f>
        <v>143</v>
      </c>
      <c r="E101" s="354">
        <f t="shared" si="3"/>
        <v>1561.3</v>
      </c>
      <c r="F101" s="354">
        <f t="shared" si="3"/>
        <v>1</v>
      </c>
      <c r="G101" s="354">
        <f t="shared" si="3"/>
        <v>848</v>
      </c>
      <c r="H101" s="354">
        <f t="shared" si="3"/>
        <v>0</v>
      </c>
      <c r="I101" s="354">
        <f t="shared" si="3"/>
        <v>1464.6999999999998</v>
      </c>
      <c r="J101" s="354">
        <f t="shared" si="3"/>
        <v>0</v>
      </c>
      <c r="K101" s="354">
        <f t="shared" si="3"/>
        <v>1655.6</v>
      </c>
      <c r="L101" s="354">
        <f t="shared" si="3"/>
        <v>2.5</v>
      </c>
      <c r="M101" s="354">
        <f t="shared" si="3"/>
        <v>369.94</v>
      </c>
      <c r="N101" s="354">
        <f t="shared" si="3"/>
        <v>0</v>
      </c>
      <c r="O101" s="478"/>
      <c r="P101" s="331"/>
      <c r="Q101" s="325"/>
      <c r="R101" s="353" t="s">
        <v>16</v>
      </c>
      <c r="S101" s="352">
        <f>SUM(S70:S100)</f>
        <v>0</v>
      </c>
      <c r="T101" s="352">
        <f>SUM(T70:T100)</f>
        <v>0</v>
      </c>
      <c r="U101" s="352">
        <f>SUM(U70:U100)</f>
        <v>0</v>
      </c>
      <c r="V101" s="352">
        <f>SUM(V70:V100)</f>
        <v>0</v>
      </c>
      <c r="W101" s="352">
        <f>SUM(W70:W100)</f>
        <v>0</v>
      </c>
      <c r="X101" s="482"/>
      <c r="Y101" s="493"/>
      <c r="Z101" s="325"/>
      <c r="AA101" s="353" t="s">
        <v>16</v>
      </c>
      <c r="AB101" s="352">
        <f>SUM(AB70:AB100)</f>
        <v>0</v>
      </c>
      <c r="AC101" s="352">
        <f>SUM(AC70:AC100)</f>
        <v>0</v>
      </c>
      <c r="AD101" s="352">
        <f>SUM(AD70:AD100)</f>
        <v>0</v>
      </c>
      <c r="AE101" s="352">
        <f>SUM(AE70:AE100)</f>
        <v>0</v>
      </c>
      <c r="AF101" s="352"/>
      <c r="AG101" s="352"/>
      <c r="AH101" s="352">
        <f>SUM(AH70:AH100)</f>
        <v>0</v>
      </c>
      <c r="AI101" s="482"/>
      <c r="AJ101" s="493"/>
      <c r="AK101" s="325"/>
      <c r="AL101" s="353" t="s">
        <v>16</v>
      </c>
      <c r="AM101" s="352">
        <f>SUM(AM70:AM100)</f>
        <v>500</v>
      </c>
      <c r="AN101" s="352">
        <f t="shared" ref="AN101:AS101" si="4">SUM(AN70:AN100)</f>
        <v>2800</v>
      </c>
      <c r="AO101" s="352">
        <f t="shared" si="4"/>
        <v>1600</v>
      </c>
      <c r="AP101" s="352">
        <f t="shared" si="4"/>
        <v>0</v>
      </c>
      <c r="AQ101" s="352">
        <f t="shared" si="4"/>
        <v>200</v>
      </c>
      <c r="AR101" s="352">
        <f t="shared" si="4"/>
        <v>0</v>
      </c>
      <c r="AS101" s="352">
        <f t="shared" si="4"/>
        <v>0</v>
      </c>
      <c r="AT101" s="352"/>
      <c r="AU101" s="352">
        <f>SUM(AU70:AU100)</f>
        <v>0</v>
      </c>
      <c r="AV101" s="352">
        <f>SUM(AV70:AV100)</f>
        <v>0</v>
      </c>
      <c r="AW101" s="356"/>
    </row>
    <row r="102" spans="1:49" ht="15" customHeight="1">
      <c r="X102" s="325" t="s">
        <v>5</v>
      </c>
      <c r="AL102" s="325">
        <v>0</v>
      </c>
    </row>
    <row r="104" spans="1:49" ht="14.45" customHeight="1">
      <c r="B104" s="338">
        <v>1</v>
      </c>
      <c r="C104" s="338">
        <v>47</v>
      </c>
      <c r="D104" s="338">
        <v>30</v>
      </c>
      <c r="E104" s="339"/>
      <c r="F104" s="339"/>
      <c r="G104" s="339"/>
      <c r="H104" s="339"/>
      <c r="I104" s="339">
        <v>60</v>
      </c>
      <c r="J104" s="340"/>
      <c r="K104" s="340">
        <v>120</v>
      </c>
      <c r="L104" s="340"/>
      <c r="M104" s="340"/>
      <c r="N104" s="340"/>
      <c r="O104" s="478">
        <f>+C135+D135+E135+F135+G135+H135+I135+J135+K135+L135+M135+N135</f>
        <v>7117.4499999999989</v>
      </c>
      <c r="P104" s="331"/>
      <c r="R104" s="338">
        <v>1</v>
      </c>
      <c r="S104" s="341"/>
      <c r="T104" s="341"/>
      <c r="U104" s="341"/>
      <c r="V104" s="341"/>
      <c r="W104" s="341"/>
      <c r="X104" s="479">
        <f>SUM(S135:X135)</f>
        <v>12150</v>
      </c>
      <c r="AA104" s="338">
        <v>1</v>
      </c>
      <c r="AB104" s="341"/>
      <c r="AC104" s="341"/>
      <c r="AD104" s="341"/>
      <c r="AE104" s="341"/>
      <c r="AF104" s="341"/>
      <c r="AG104" s="341"/>
      <c r="AH104" s="341"/>
      <c r="AI104" s="479">
        <f>SUM(AB135:AI135)</f>
        <v>0</v>
      </c>
      <c r="AL104" s="338">
        <v>1</v>
      </c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2">
        <f>SUM(AM135:AW135)</f>
        <v>5100</v>
      </c>
    </row>
    <row r="105" spans="1:49" ht="14.45" customHeight="1">
      <c r="B105" s="338">
        <v>2</v>
      </c>
      <c r="C105" s="338"/>
      <c r="D105" s="338">
        <v>39</v>
      </c>
      <c r="E105" s="339">
        <v>5</v>
      </c>
      <c r="F105" s="339">
        <v>8</v>
      </c>
      <c r="G105" s="339">
        <v>6</v>
      </c>
      <c r="H105" s="339"/>
      <c r="I105" s="339">
        <v>70</v>
      </c>
      <c r="J105" s="340"/>
      <c r="K105" s="340">
        <v>105</v>
      </c>
      <c r="L105" s="340"/>
      <c r="M105" s="340"/>
      <c r="N105" s="340"/>
      <c r="O105" s="478"/>
      <c r="P105" s="331"/>
      <c r="R105" s="338">
        <v>2</v>
      </c>
      <c r="S105" s="341"/>
      <c r="T105" s="341"/>
      <c r="U105" s="341"/>
      <c r="V105" s="341"/>
      <c r="W105" s="341"/>
      <c r="X105" s="480"/>
      <c r="AA105" s="338">
        <v>2</v>
      </c>
      <c r="AB105" s="341"/>
      <c r="AC105" s="341"/>
      <c r="AD105" s="341"/>
      <c r="AE105" s="341"/>
      <c r="AF105" s="341"/>
      <c r="AG105" s="341"/>
      <c r="AH105" s="341"/>
      <c r="AI105" s="480"/>
      <c r="AL105" s="338">
        <v>2</v>
      </c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3"/>
    </row>
    <row r="106" spans="1:49" ht="14.45" customHeight="1">
      <c r="B106" s="338">
        <v>3</v>
      </c>
      <c r="C106" s="338"/>
      <c r="D106" s="338"/>
      <c r="E106" s="339">
        <v>40</v>
      </c>
      <c r="F106" s="339"/>
      <c r="G106" s="339">
        <v>30</v>
      </c>
      <c r="H106" s="339"/>
      <c r="I106" s="339">
        <v>100</v>
      </c>
      <c r="J106" s="340"/>
      <c r="K106" s="340">
        <v>117</v>
      </c>
      <c r="L106" s="340"/>
      <c r="M106" s="340">
        <v>28</v>
      </c>
      <c r="N106" s="340"/>
      <c r="O106" s="478"/>
      <c r="P106" s="331"/>
      <c r="R106" s="338">
        <v>3</v>
      </c>
      <c r="S106" s="341"/>
      <c r="T106" s="341"/>
      <c r="U106" s="341"/>
      <c r="V106" s="341"/>
      <c r="W106" s="341"/>
      <c r="X106" s="480"/>
      <c r="AA106" s="338">
        <v>3</v>
      </c>
      <c r="AB106" s="341"/>
      <c r="AC106" s="341"/>
      <c r="AD106" s="341"/>
      <c r="AE106" s="341"/>
      <c r="AF106" s="341"/>
      <c r="AG106" s="341"/>
      <c r="AH106" s="341"/>
      <c r="AI106" s="480"/>
      <c r="AL106" s="338">
        <v>3</v>
      </c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3"/>
    </row>
    <row r="107" spans="1:49" ht="14.45" customHeight="1">
      <c r="B107" s="338">
        <v>4</v>
      </c>
      <c r="C107" s="338"/>
      <c r="D107" s="338">
        <v>3</v>
      </c>
      <c r="E107" s="339"/>
      <c r="F107" s="339"/>
      <c r="G107" s="339">
        <v>56</v>
      </c>
      <c r="H107" s="339">
        <v>5</v>
      </c>
      <c r="I107" s="339">
        <v>20</v>
      </c>
      <c r="J107" s="340"/>
      <c r="K107" s="340">
        <v>85</v>
      </c>
      <c r="L107" s="340"/>
      <c r="M107" s="340"/>
      <c r="N107" s="340"/>
      <c r="O107" s="478"/>
      <c r="P107" s="331"/>
      <c r="R107" s="338">
        <v>4</v>
      </c>
      <c r="S107" s="341"/>
      <c r="T107" s="341"/>
      <c r="U107" s="341"/>
      <c r="V107" s="341"/>
      <c r="W107" s="341"/>
      <c r="X107" s="480"/>
      <c r="AA107" s="338">
        <v>4</v>
      </c>
      <c r="AB107" s="341"/>
      <c r="AC107" s="341"/>
      <c r="AD107" s="341"/>
      <c r="AE107" s="341"/>
      <c r="AF107" s="341"/>
      <c r="AG107" s="341"/>
      <c r="AH107" s="341"/>
      <c r="AI107" s="480"/>
      <c r="AL107" s="338">
        <v>4</v>
      </c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3"/>
    </row>
    <row r="108" spans="1:49" ht="14.45" customHeight="1">
      <c r="B108" s="338">
        <v>5</v>
      </c>
      <c r="C108" s="338"/>
      <c r="D108" s="338">
        <v>12</v>
      </c>
      <c r="E108" s="339">
        <v>20</v>
      </c>
      <c r="F108" s="339"/>
      <c r="G108" s="339">
        <v>105</v>
      </c>
      <c r="H108" s="339"/>
      <c r="I108" s="339">
        <v>71</v>
      </c>
      <c r="J108" s="340"/>
      <c r="K108" s="340">
        <v>58</v>
      </c>
      <c r="L108" s="340"/>
      <c r="M108" s="340">
        <v>8</v>
      </c>
      <c r="N108" s="340"/>
      <c r="O108" s="478"/>
      <c r="P108" s="331"/>
      <c r="R108" s="338">
        <v>5</v>
      </c>
      <c r="S108" s="341"/>
      <c r="T108" s="341"/>
      <c r="U108" s="341"/>
      <c r="V108" s="341"/>
      <c r="W108" s="341"/>
      <c r="X108" s="480"/>
      <c r="AA108" s="338">
        <v>5</v>
      </c>
      <c r="AB108" s="341"/>
      <c r="AC108" s="341"/>
      <c r="AD108" s="341"/>
      <c r="AE108" s="341"/>
      <c r="AF108" s="341"/>
      <c r="AG108" s="341"/>
      <c r="AH108" s="341"/>
      <c r="AI108" s="480"/>
      <c r="AL108" s="338">
        <v>5</v>
      </c>
      <c r="AM108" s="341"/>
      <c r="AN108" s="341">
        <v>2800</v>
      </c>
      <c r="AO108" s="341">
        <v>1400</v>
      </c>
      <c r="AP108" s="341"/>
      <c r="AQ108" s="341"/>
      <c r="AR108" s="341"/>
      <c r="AS108" s="341"/>
      <c r="AT108" s="341"/>
      <c r="AU108" s="341"/>
      <c r="AV108" s="341"/>
      <c r="AW108" s="343"/>
    </row>
    <row r="109" spans="1:49" ht="14.45" customHeight="1">
      <c r="B109" s="338">
        <v>6</v>
      </c>
      <c r="C109" s="338"/>
      <c r="D109" s="338"/>
      <c r="E109" s="339"/>
      <c r="F109" s="339"/>
      <c r="G109" s="339">
        <v>47</v>
      </c>
      <c r="H109" s="339"/>
      <c r="I109" s="339">
        <v>1</v>
      </c>
      <c r="J109" s="340"/>
      <c r="K109" s="340">
        <f>22+4+2+11+30</f>
        <v>69</v>
      </c>
      <c r="L109" s="340"/>
      <c r="M109" s="340">
        <v>41</v>
      </c>
      <c r="N109" s="340"/>
      <c r="O109" s="478"/>
      <c r="P109" s="331"/>
      <c r="R109" s="338">
        <v>6</v>
      </c>
      <c r="S109" s="341"/>
      <c r="T109" s="341"/>
      <c r="U109" s="341">
        <v>3000</v>
      </c>
      <c r="V109" s="341">
        <v>5000</v>
      </c>
      <c r="W109" s="341">
        <v>0</v>
      </c>
      <c r="X109" s="480"/>
      <c r="AA109" s="338">
        <v>6</v>
      </c>
      <c r="AB109" s="341"/>
      <c r="AC109" s="341"/>
      <c r="AD109" s="341"/>
      <c r="AE109" s="341"/>
      <c r="AF109" s="341"/>
      <c r="AG109" s="341"/>
      <c r="AH109" s="341"/>
      <c r="AI109" s="480"/>
      <c r="AL109" s="338">
        <v>6</v>
      </c>
      <c r="AM109" s="341">
        <v>200</v>
      </c>
      <c r="AN109" s="341"/>
      <c r="AO109" s="341"/>
      <c r="AP109" s="341"/>
      <c r="AQ109" s="341">
        <v>200</v>
      </c>
      <c r="AR109" s="341"/>
      <c r="AS109" s="341"/>
      <c r="AT109" s="341"/>
      <c r="AU109" s="341"/>
      <c r="AV109" s="341"/>
      <c r="AW109" s="343"/>
    </row>
    <row r="110" spans="1:49" ht="14.45" customHeight="1">
      <c r="B110" s="338">
        <v>7</v>
      </c>
      <c r="C110" s="338"/>
      <c r="D110" s="338"/>
      <c r="E110" s="339"/>
      <c r="F110" s="339"/>
      <c r="G110" s="339">
        <v>50</v>
      </c>
      <c r="H110" s="339"/>
      <c r="I110" s="339">
        <v>92</v>
      </c>
      <c r="J110" s="340"/>
      <c r="K110" s="340">
        <v>70</v>
      </c>
      <c r="L110" s="340"/>
      <c r="M110" s="340">
        <v>11</v>
      </c>
      <c r="N110" s="340"/>
      <c r="O110" s="478"/>
      <c r="P110" s="331"/>
      <c r="R110" s="338">
        <v>7</v>
      </c>
      <c r="S110" s="341"/>
      <c r="T110" s="341"/>
      <c r="U110" s="341"/>
      <c r="V110" s="341"/>
      <c r="W110" s="341"/>
      <c r="X110" s="480"/>
      <c r="AA110" s="338">
        <v>7</v>
      </c>
      <c r="AB110" s="341"/>
      <c r="AC110" s="341"/>
      <c r="AD110" s="341"/>
      <c r="AE110" s="341"/>
      <c r="AF110" s="341"/>
      <c r="AG110" s="341"/>
      <c r="AH110" s="341"/>
      <c r="AI110" s="480"/>
      <c r="AL110" s="338">
        <v>7</v>
      </c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3"/>
    </row>
    <row r="111" spans="1:49" ht="14.45" customHeight="1">
      <c r="B111" s="338">
        <v>8</v>
      </c>
      <c r="C111" s="338"/>
      <c r="D111" s="338"/>
      <c r="E111" s="339">
        <v>24</v>
      </c>
      <c r="F111" s="339"/>
      <c r="G111" s="339">
        <v>12</v>
      </c>
      <c r="H111" s="339"/>
      <c r="I111" s="339">
        <v>218</v>
      </c>
      <c r="J111" s="340"/>
      <c r="K111" s="340">
        <v>12</v>
      </c>
      <c r="L111" s="340"/>
      <c r="M111" s="340"/>
      <c r="N111" s="340"/>
      <c r="O111" s="478"/>
      <c r="P111" s="331"/>
      <c r="R111" s="338">
        <v>8</v>
      </c>
      <c r="S111" s="341"/>
      <c r="T111" s="341"/>
      <c r="U111" s="341">
        <v>2000</v>
      </c>
      <c r="V111" s="341"/>
      <c r="W111" s="341"/>
      <c r="X111" s="480"/>
      <c r="AA111" s="338">
        <v>8</v>
      </c>
      <c r="AB111" s="341"/>
      <c r="AC111" s="341"/>
      <c r="AD111" s="341"/>
      <c r="AE111" s="341"/>
      <c r="AF111" s="341"/>
      <c r="AG111" s="341"/>
      <c r="AH111" s="341"/>
      <c r="AI111" s="480"/>
      <c r="AL111" s="338">
        <v>8</v>
      </c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3"/>
    </row>
    <row r="112" spans="1:49" ht="14.45" customHeight="1">
      <c r="B112" s="338">
        <v>9</v>
      </c>
      <c r="C112" s="338"/>
      <c r="D112" s="338"/>
      <c r="E112" s="339">
        <v>1</v>
      </c>
      <c r="F112" s="339"/>
      <c r="G112" s="339">
        <v>113</v>
      </c>
      <c r="H112" s="339"/>
      <c r="I112" s="339">
        <v>57</v>
      </c>
      <c r="J112" s="340"/>
      <c r="K112" s="340">
        <v>10</v>
      </c>
      <c r="L112" s="340"/>
      <c r="M112" s="340">
        <v>18</v>
      </c>
      <c r="N112" s="340"/>
      <c r="O112" s="478"/>
      <c r="P112" s="331"/>
      <c r="R112" s="338">
        <v>9</v>
      </c>
      <c r="S112" s="341"/>
      <c r="T112" s="341"/>
      <c r="U112" s="341"/>
      <c r="V112" s="341"/>
      <c r="W112" s="341"/>
      <c r="X112" s="480"/>
      <c r="AA112" s="338">
        <v>9</v>
      </c>
      <c r="AB112" s="341"/>
      <c r="AC112" s="341"/>
      <c r="AD112" s="341"/>
      <c r="AE112" s="341"/>
      <c r="AF112" s="341"/>
      <c r="AG112" s="341"/>
      <c r="AH112" s="341"/>
      <c r="AI112" s="480"/>
      <c r="AL112" s="338">
        <v>9</v>
      </c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3"/>
    </row>
    <row r="113" spans="2:49" ht="14.45" customHeight="1">
      <c r="B113" s="338">
        <v>10</v>
      </c>
      <c r="C113" s="338"/>
      <c r="D113" s="338"/>
      <c r="E113" s="339"/>
      <c r="F113" s="339"/>
      <c r="G113" s="339">
        <f>24+27+40</f>
        <v>91</v>
      </c>
      <c r="H113" s="339"/>
      <c r="I113" s="339">
        <f>10+6+38</f>
        <v>54</v>
      </c>
      <c r="J113" s="340"/>
      <c r="K113" s="340">
        <f>20+10+19</f>
        <v>49</v>
      </c>
      <c r="L113" s="340"/>
      <c r="M113" s="340">
        <v>30</v>
      </c>
      <c r="N113" s="340"/>
      <c r="O113" s="478"/>
      <c r="P113" s="331"/>
      <c r="R113" s="338">
        <v>10</v>
      </c>
      <c r="S113" s="341"/>
      <c r="T113" s="341"/>
      <c r="U113" s="341"/>
      <c r="V113" s="364"/>
      <c r="W113" s="341"/>
      <c r="X113" s="480"/>
      <c r="AA113" s="338">
        <v>10</v>
      </c>
      <c r="AB113" s="341"/>
      <c r="AC113" s="341"/>
      <c r="AD113" s="341"/>
      <c r="AE113" s="341"/>
      <c r="AF113" s="341"/>
      <c r="AG113" s="341"/>
      <c r="AH113" s="341"/>
      <c r="AI113" s="480"/>
      <c r="AL113" s="338">
        <v>10</v>
      </c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3"/>
    </row>
    <row r="114" spans="2:49" ht="14.45" customHeight="1">
      <c r="B114" s="338">
        <v>11</v>
      </c>
      <c r="C114" s="338"/>
      <c r="D114" s="338"/>
      <c r="E114" s="339">
        <v>5</v>
      </c>
      <c r="F114" s="339"/>
      <c r="G114" s="339">
        <v>88</v>
      </c>
      <c r="H114" s="339"/>
      <c r="I114" s="339">
        <f>12+35+20+11+10+2.5+20+20</f>
        <v>130.5</v>
      </c>
      <c r="J114" s="340"/>
      <c r="K114" s="340">
        <v>15</v>
      </c>
      <c r="L114" s="340"/>
      <c r="M114" s="340">
        <f>5+4+4+9</f>
        <v>22</v>
      </c>
      <c r="N114" s="340"/>
      <c r="O114" s="478"/>
      <c r="P114" s="331"/>
      <c r="R114" s="338">
        <v>11</v>
      </c>
      <c r="S114" s="341"/>
      <c r="T114" s="341"/>
      <c r="U114" s="341"/>
      <c r="V114" s="341"/>
      <c r="W114" s="341"/>
      <c r="X114" s="480"/>
      <c r="AA114" s="338">
        <v>11</v>
      </c>
      <c r="AB114" s="341"/>
      <c r="AC114" s="341"/>
      <c r="AD114" s="341"/>
      <c r="AE114" s="341"/>
      <c r="AF114" s="341"/>
      <c r="AG114" s="341"/>
      <c r="AH114" s="341"/>
      <c r="AI114" s="480"/>
      <c r="AL114" s="338">
        <v>11</v>
      </c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3"/>
    </row>
    <row r="115" spans="2:49" ht="14.45" customHeight="1">
      <c r="B115" s="338">
        <v>12</v>
      </c>
      <c r="C115" s="338">
        <v>40</v>
      </c>
      <c r="D115" s="338">
        <v>40</v>
      </c>
      <c r="E115" s="339">
        <v>50</v>
      </c>
      <c r="F115" s="339"/>
      <c r="G115" s="339">
        <v>10</v>
      </c>
      <c r="H115" s="339"/>
      <c r="I115" s="339">
        <v>50</v>
      </c>
      <c r="J115" s="340"/>
      <c r="K115" s="340">
        <v>100</v>
      </c>
      <c r="L115" s="340"/>
      <c r="M115" s="340">
        <v>50</v>
      </c>
      <c r="N115" s="340"/>
      <c r="O115" s="478"/>
      <c r="P115" s="331"/>
      <c r="R115" s="338">
        <v>12</v>
      </c>
      <c r="S115" s="341"/>
      <c r="T115" s="341"/>
      <c r="U115" s="341"/>
      <c r="V115" s="341"/>
      <c r="W115" s="341"/>
      <c r="X115" s="480"/>
      <c r="AA115" s="338">
        <v>12</v>
      </c>
      <c r="AB115" s="341"/>
      <c r="AC115" s="341"/>
      <c r="AD115" s="341"/>
      <c r="AE115" s="341"/>
      <c r="AF115" s="341"/>
      <c r="AG115" s="341"/>
      <c r="AH115" s="341"/>
      <c r="AI115" s="480"/>
      <c r="AL115" s="338">
        <v>12</v>
      </c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3"/>
    </row>
    <row r="116" spans="2:49" ht="14.45" customHeight="1">
      <c r="B116" s="338">
        <v>13</v>
      </c>
      <c r="C116" s="338"/>
      <c r="D116" s="338"/>
      <c r="E116" s="339">
        <v>40</v>
      </c>
      <c r="F116" s="339"/>
      <c r="G116" s="339">
        <v>122</v>
      </c>
      <c r="H116" s="339"/>
      <c r="I116" s="339">
        <v>19</v>
      </c>
      <c r="J116" s="340"/>
      <c r="K116" s="340">
        <v>72</v>
      </c>
      <c r="L116" s="340"/>
      <c r="M116" s="340"/>
      <c r="N116" s="340"/>
      <c r="O116" s="478"/>
      <c r="P116" s="331"/>
      <c r="R116" s="338">
        <v>13</v>
      </c>
      <c r="S116" s="341"/>
      <c r="T116" s="341"/>
      <c r="U116" s="341"/>
      <c r="V116" s="341"/>
      <c r="W116" s="341"/>
      <c r="X116" s="480"/>
      <c r="AA116" s="338">
        <v>13</v>
      </c>
      <c r="AB116" s="341"/>
      <c r="AC116" s="341"/>
      <c r="AD116" s="341"/>
      <c r="AE116" s="341"/>
      <c r="AF116" s="341"/>
      <c r="AG116" s="341"/>
      <c r="AH116" s="341"/>
      <c r="AI116" s="480"/>
      <c r="AL116" s="338">
        <v>13</v>
      </c>
      <c r="AM116" s="341">
        <v>300</v>
      </c>
      <c r="AN116" s="341"/>
      <c r="AO116" s="341">
        <v>200</v>
      </c>
      <c r="AP116" s="341"/>
      <c r="AQ116" s="341"/>
      <c r="AR116" s="341"/>
      <c r="AS116" s="341"/>
      <c r="AT116" s="341"/>
      <c r="AU116" s="341"/>
      <c r="AV116" s="341"/>
      <c r="AW116" s="343"/>
    </row>
    <row r="117" spans="2:49" ht="14.45" customHeight="1">
      <c r="B117" s="338">
        <v>14</v>
      </c>
      <c r="C117" s="338"/>
      <c r="D117" s="338"/>
      <c r="E117" s="339"/>
      <c r="F117" s="339"/>
      <c r="G117" s="339"/>
      <c r="H117" s="339"/>
      <c r="I117" s="339"/>
      <c r="J117" s="340"/>
      <c r="K117" s="340" t="s">
        <v>187</v>
      </c>
      <c r="L117" s="340"/>
      <c r="M117" s="340"/>
      <c r="N117" s="340"/>
      <c r="O117" s="478"/>
      <c r="P117" s="331"/>
      <c r="R117" s="338">
        <v>14</v>
      </c>
      <c r="S117" s="341"/>
      <c r="T117" s="341"/>
      <c r="U117" s="341"/>
      <c r="V117" s="341"/>
      <c r="W117" s="341"/>
      <c r="X117" s="480"/>
      <c r="AA117" s="338">
        <v>14</v>
      </c>
      <c r="AB117" s="341"/>
      <c r="AC117" s="341"/>
      <c r="AD117" s="341"/>
      <c r="AE117" s="341"/>
      <c r="AF117" s="341"/>
      <c r="AG117" s="341"/>
      <c r="AH117" s="341"/>
      <c r="AI117" s="480"/>
      <c r="AL117" s="338">
        <v>14</v>
      </c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3"/>
    </row>
    <row r="118" spans="2:49" ht="14.45" customHeight="1">
      <c r="B118" s="338">
        <v>15</v>
      </c>
      <c r="C118" s="338"/>
      <c r="D118" s="338">
        <v>46</v>
      </c>
      <c r="E118" s="339">
        <v>20</v>
      </c>
      <c r="F118" s="339"/>
      <c r="G118" s="339">
        <f>10+5+5+120+30</f>
        <v>170</v>
      </c>
      <c r="H118" s="339">
        <v>2.5</v>
      </c>
      <c r="I118" s="339">
        <f>10+5+16+6</f>
        <v>37</v>
      </c>
      <c r="J118" s="340"/>
      <c r="K118" s="340">
        <f>5+5+6+3+3+3.5</f>
        <v>25.5</v>
      </c>
      <c r="L118" s="340"/>
      <c r="M118" s="340">
        <v>14</v>
      </c>
      <c r="N118" s="340"/>
      <c r="O118" s="478"/>
      <c r="P118" s="331"/>
      <c r="R118" s="338">
        <v>15</v>
      </c>
      <c r="S118" s="341">
        <v>300</v>
      </c>
      <c r="T118" s="341">
        <v>100</v>
      </c>
      <c r="U118" s="341"/>
      <c r="V118" s="341"/>
      <c r="W118" s="341"/>
      <c r="X118" s="480"/>
      <c r="AA118" s="338">
        <v>15</v>
      </c>
      <c r="AB118" s="341"/>
      <c r="AC118" s="341"/>
      <c r="AD118" s="341"/>
      <c r="AE118" s="341"/>
      <c r="AF118" s="341"/>
      <c r="AG118" s="341"/>
      <c r="AH118" s="341"/>
      <c r="AI118" s="480"/>
      <c r="AL118" s="338">
        <v>15</v>
      </c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3"/>
    </row>
    <row r="119" spans="2:49" ht="14.45" customHeight="1">
      <c r="B119" s="338">
        <v>16</v>
      </c>
      <c r="C119" s="338">
        <v>32.5</v>
      </c>
      <c r="D119" s="338"/>
      <c r="E119" s="339">
        <v>101</v>
      </c>
      <c r="F119" s="339"/>
      <c r="G119" s="339">
        <v>1</v>
      </c>
      <c r="H119" s="339"/>
      <c r="I119" s="339">
        <v>28</v>
      </c>
      <c r="J119" s="340"/>
      <c r="K119" s="340">
        <f>47+20+5+6+15</f>
        <v>93</v>
      </c>
      <c r="L119" s="340"/>
      <c r="M119" s="340">
        <v>35</v>
      </c>
      <c r="N119" s="340"/>
      <c r="O119" s="478"/>
      <c r="P119" s="331"/>
      <c r="R119" s="338">
        <v>16</v>
      </c>
      <c r="S119" s="341"/>
      <c r="T119" s="341"/>
      <c r="U119" s="341"/>
      <c r="V119" s="341"/>
      <c r="W119" s="341"/>
      <c r="X119" s="480"/>
      <c r="AA119" s="338">
        <v>16</v>
      </c>
      <c r="AB119" s="341"/>
      <c r="AC119" s="341"/>
      <c r="AD119" s="341"/>
      <c r="AE119" s="341"/>
      <c r="AF119" s="341"/>
      <c r="AG119" s="341"/>
      <c r="AH119" s="341"/>
      <c r="AI119" s="480"/>
      <c r="AL119" s="338">
        <v>16</v>
      </c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3"/>
    </row>
    <row r="120" spans="2:49" ht="14.45" customHeight="1">
      <c r="B120" s="338">
        <v>17</v>
      </c>
      <c r="C120" s="338"/>
      <c r="D120" s="338"/>
      <c r="E120" s="339">
        <v>4</v>
      </c>
      <c r="F120" s="339"/>
      <c r="G120" s="339">
        <v>14</v>
      </c>
      <c r="H120" s="339"/>
      <c r="I120" s="339">
        <f>9+6+45</f>
        <v>60</v>
      </c>
      <c r="J120" s="340"/>
      <c r="K120" s="340">
        <f>1+3+15+20+6</f>
        <v>45</v>
      </c>
      <c r="L120" s="340"/>
      <c r="M120" s="340">
        <f>10+5+25+16+2</f>
        <v>58</v>
      </c>
      <c r="N120" s="340"/>
      <c r="O120" s="478"/>
      <c r="P120" s="331"/>
      <c r="R120" s="338">
        <v>17</v>
      </c>
      <c r="S120" s="341"/>
      <c r="T120" s="341"/>
      <c r="U120" s="341"/>
      <c r="V120" s="341"/>
      <c r="W120" s="341"/>
      <c r="X120" s="480"/>
      <c r="AA120" s="338">
        <v>17</v>
      </c>
      <c r="AB120" s="341"/>
      <c r="AC120" s="341"/>
      <c r="AD120" s="341"/>
      <c r="AE120" s="341"/>
      <c r="AF120" s="341"/>
      <c r="AG120" s="341"/>
      <c r="AH120" s="341"/>
      <c r="AI120" s="480"/>
      <c r="AL120" s="338">
        <v>17</v>
      </c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3"/>
    </row>
    <row r="121" spans="2:49" ht="14.45" customHeight="1">
      <c r="B121" s="338">
        <v>18</v>
      </c>
      <c r="C121" s="338"/>
      <c r="D121" s="338">
        <v>4</v>
      </c>
      <c r="E121" s="339">
        <v>11</v>
      </c>
      <c r="F121" s="339"/>
      <c r="G121" s="339">
        <v>16</v>
      </c>
      <c r="H121" s="339"/>
      <c r="I121" s="339">
        <f>9+8+10+15+22+10+7</f>
        <v>81</v>
      </c>
      <c r="J121" s="340"/>
      <c r="K121" s="340">
        <v>147</v>
      </c>
      <c r="L121" s="340"/>
      <c r="M121" s="340">
        <v>16</v>
      </c>
      <c r="N121" s="340">
        <v>5.15</v>
      </c>
      <c r="O121" s="478"/>
      <c r="P121" s="331"/>
      <c r="R121" s="338">
        <v>18</v>
      </c>
      <c r="S121" s="341"/>
      <c r="T121" s="341">
        <v>500</v>
      </c>
      <c r="U121" s="341"/>
      <c r="V121" s="341"/>
      <c r="W121" s="341"/>
      <c r="X121" s="480"/>
      <c r="AA121" s="338">
        <v>18</v>
      </c>
      <c r="AB121" s="341"/>
      <c r="AC121" s="341"/>
      <c r="AD121" s="341"/>
      <c r="AE121" s="341"/>
      <c r="AF121" s="341"/>
      <c r="AG121" s="341"/>
      <c r="AH121" s="341"/>
      <c r="AI121" s="480"/>
      <c r="AL121" s="338">
        <v>18</v>
      </c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3"/>
    </row>
    <row r="122" spans="2:49" ht="14.45" customHeight="1">
      <c r="B122" s="338">
        <v>19</v>
      </c>
      <c r="C122" s="338"/>
      <c r="D122" s="338"/>
      <c r="E122" s="338"/>
      <c r="F122" s="338">
        <v>15</v>
      </c>
      <c r="G122" s="338">
        <v>55</v>
      </c>
      <c r="H122" s="338"/>
      <c r="I122" s="338">
        <f>1+2.2+1+6+20</f>
        <v>30.2</v>
      </c>
      <c r="J122" s="338"/>
      <c r="K122" s="338">
        <f>60+4+36</f>
        <v>100</v>
      </c>
      <c r="L122" s="338"/>
      <c r="M122" s="338">
        <f>20+20+11+15+10</f>
        <v>76</v>
      </c>
      <c r="N122" s="338"/>
      <c r="O122" s="478"/>
      <c r="P122" s="331"/>
      <c r="R122" s="338">
        <v>19</v>
      </c>
      <c r="S122" s="341"/>
      <c r="T122" s="341"/>
      <c r="U122" s="341"/>
      <c r="V122" s="341"/>
      <c r="W122" s="341"/>
      <c r="X122" s="480"/>
      <c r="AA122" s="338">
        <v>19</v>
      </c>
      <c r="AB122" s="341"/>
      <c r="AC122" s="341"/>
      <c r="AD122" s="341"/>
      <c r="AE122" s="341"/>
      <c r="AF122" s="341"/>
      <c r="AG122" s="341"/>
      <c r="AH122" s="341"/>
      <c r="AI122" s="480"/>
      <c r="AL122" s="338">
        <v>19</v>
      </c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3"/>
    </row>
    <row r="123" spans="2:49" ht="14.45" customHeight="1">
      <c r="B123" s="338">
        <v>20</v>
      </c>
      <c r="C123" s="338"/>
      <c r="D123" s="338"/>
      <c r="E123" s="338">
        <v>51</v>
      </c>
      <c r="F123" s="338">
        <v>1</v>
      </c>
      <c r="G123" s="338"/>
      <c r="H123" s="338"/>
      <c r="I123" s="338">
        <f>1+6+10+30</f>
        <v>47</v>
      </c>
      <c r="J123" s="338"/>
      <c r="K123" s="338">
        <f>94+15+2.5+15</f>
        <v>126.5</v>
      </c>
      <c r="L123" s="338"/>
      <c r="M123" s="338">
        <v>15</v>
      </c>
      <c r="N123" s="338"/>
      <c r="O123" s="478"/>
      <c r="P123" s="331"/>
      <c r="R123" s="338">
        <v>20</v>
      </c>
      <c r="S123" s="341"/>
      <c r="T123" s="341"/>
      <c r="U123" s="341"/>
      <c r="V123" s="341"/>
      <c r="W123" s="341"/>
      <c r="X123" s="480"/>
      <c r="AA123" s="338">
        <v>20</v>
      </c>
      <c r="AB123" s="341"/>
      <c r="AC123" s="341"/>
      <c r="AD123" s="341"/>
      <c r="AE123" s="341"/>
      <c r="AF123" s="341"/>
      <c r="AG123" s="341"/>
      <c r="AH123" s="341"/>
      <c r="AI123" s="480"/>
      <c r="AL123" s="338">
        <v>20</v>
      </c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3"/>
    </row>
    <row r="124" spans="2:49" ht="14.45" customHeight="1">
      <c r="B124" s="338">
        <v>21</v>
      </c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478"/>
      <c r="P124" s="331"/>
      <c r="R124" s="338">
        <v>21</v>
      </c>
      <c r="S124" s="341"/>
      <c r="T124" s="341"/>
      <c r="U124" s="341"/>
      <c r="V124" s="341"/>
      <c r="W124" s="341"/>
      <c r="X124" s="480"/>
      <c r="AA124" s="338">
        <v>21</v>
      </c>
      <c r="AB124" s="341"/>
      <c r="AC124" s="341"/>
      <c r="AD124" s="341"/>
      <c r="AE124" s="341"/>
      <c r="AF124" s="341"/>
      <c r="AG124" s="341"/>
      <c r="AH124" s="341"/>
      <c r="AI124" s="480"/>
      <c r="AL124" s="338">
        <v>21</v>
      </c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3"/>
    </row>
    <row r="125" spans="2:49" ht="14.45" customHeight="1">
      <c r="B125" s="338">
        <v>22</v>
      </c>
      <c r="C125" s="338">
        <v>12</v>
      </c>
      <c r="E125" s="338">
        <v>50</v>
      </c>
      <c r="F125" s="338"/>
      <c r="G125" s="338">
        <v>15</v>
      </c>
      <c r="H125" s="338">
        <v>2.5</v>
      </c>
      <c r="I125" s="338">
        <v>45</v>
      </c>
      <c r="J125" s="338"/>
      <c r="K125" s="338">
        <f>10+1.5+21+20+30+40+20+10+2.4+1.6+4.8</f>
        <v>161.30000000000001</v>
      </c>
      <c r="L125" s="338"/>
      <c r="M125" s="338">
        <v>28</v>
      </c>
      <c r="N125" s="338"/>
      <c r="O125" s="478"/>
      <c r="P125" s="331"/>
      <c r="R125" s="338">
        <v>22</v>
      </c>
      <c r="S125" s="341"/>
      <c r="T125" s="341"/>
      <c r="U125" s="341"/>
      <c r="V125" s="341"/>
      <c r="W125" s="341"/>
      <c r="X125" s="480"/>
      <c r="AA125" s="338">
        <v>22</v>
      </c>
      <c r="AB125" s="341"/>
      <c r="AC125" s="341"/>
      <c r="AD125" s="341"/>
      <c r="AE125" s="341"/>
      <c r="AF125" s="341"/>
      <c r="AG125" s="341"/>
      <c r="AH125" s="341"/>
      <c r="AI125" s="480"/>
      <c r="AL125" s="338">
        <v>22</v>
      </c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3"/>
    </row>
    <row r="126" spans="2:49" ht="14.45" customHeight="1">
      <c r="B126" s="338">
        <v>23</v>
      </c>
      <c r="C126" s="338">
        <v>100</v>
      </c>
      <c r="D126" s="338">
        <v>5</v>
      </c>
      <c r="E126" s="339"/>
      <c r="F126" s="339"/>
      <c r="G126" s="339">
        <v>7.5</v>
      </c>
      <c r="H126" s="339"/>
      <c r="I126" s="339">
        <v>17</v>
      </c>
      <c r="J126" s="340"/>
      <c r="K126" s="340">
        <f>15+1+10+1.3+6+8</f>
        <v>41.3</v>
      </c>
      <c r="L126" s="340"/>
      <c r="M126" s="340">
        <f>24.5+2+9</f>
        <v>35.5</v>
      </c>
      <c r="N126" s="340"/>
      <c r="O126" s="478"/>
      <c r="P126" s="331"/>
      <c r="R126" s="338">
        <v>23</v>
      </c>
      <c r="S126" s="341"/>
      <c r="T126" s="341"/>
      <c r="U126" s="341"/>
      <c r="V126" s="341"/>
      <c r="W126" s="341"/>
      <c r="X126" s="480"/>
      <c r="AA126" s="338">
        <v>23</v>
      </c>
      <c r="AB126" s="341"/>
      <c r="AC126" s="341"/>
      <c r="AD126" s="341"/>
      <c r="AE126" s="341"/>
      <c r="AF126" s="341"/>
      <c r="AG126" s="341"/>
      <c r="AH126" s="341"/>
      <c r="AI126" s="480"/>
      <c r="AL126" s="338">
        <v>23</v>
      </c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3"/>
    </row>
    <row r="127" spans="2:49" ht="14.45" customHeight="1">
      <c r="B127" s="338">
        <v>24</v>
      </c>
      <c r="C127" s="338">
        <v>10</v>
      </c>
      <c r="D127" s="338">
        <v>100</v>
      </c>
      <c r="E127" s="339"/>
      <c r="G127" s="339">
        <v>9</v>
      </c>
      <c r="H127" s="339"/>
      <c r="I127" s="339">
        <f>11+2.3+75+3+100</f>
        <v>191.3</v>
      </c>
      <c r="J127" s="340"/>
      <c r="K127" s="340">
        <f>8+20+12+10+3</f>
        <v>53</v>
      </c>
      <c r="L127" s="340"/>
      <c r="M127" s="340">
        <f>6+5+2.8+11</f>
        <v>24.8</v>
      </c>
      <c r="N127" s="340"/>
      <c r="O127" s="478"/>
      <c r="P127" s="331"/>
      <c r="R127" s="338">
        <v>24</v>
      </c>
      <c r="S127" s="341"/>
      <c r="T127" s="341">
        <v>1000</v>
      </c>
      <c r="U127" s="341">
        <v>250</v>
      </c>
      <c r="V127" s="341"/>
      <c r="W127" s="341"/>
      <c r="X127" s="480"/>
      <c r="AA127" s="338">
        <v>24</v>
      </c>
      <c r="AB127" s="341"/>
      <c r="AC127" s="341"/>
      <c r="AD127" s="341"/>
      <c r="AE127" s="341"/>
      <c r="AF127" s="341"/>
      <c r="AG127" s="341"/>
      <c r="AH127" s="341"/>
      <c r="AI127" s="480"/>
      <c r="AL127" s="338">
        <v>24</v>
      </c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3"/>
    </row>
    <row r="128" spans="2:49" ht="14.45" customHeight="1">
      <c r="B128" s="338">
        <v>25</v>
      </c>
      <c r="C128" s="338"/>
      <c r="D128" s="338"/>
      <c r="E128" s="339"/>
      <c r="F128" s="339"/>
      <c r="G128" s="339">
        <f>30+50+6+9+20+28+10</f>
        <v>153</v>
      </c>
      <c r="H128" s="339"/>
      <c r="I128" s="339">
        <v>5</v>
      </c>
      <c r="J128" s="340"/>
      <c r="K128" s="340">
        <v>19</v>
      </c>
      <c r="L128" s="340"/>
      <c r="M128" s="340">
        <v>13</v>
      </c>
      <c r="N128" s="340"/>
      <c r="O128" s="478"/>
      <c r="P128" s="331"/>
      <c r="R128" s="338">
        <v>25</v>
      </c>
      <c r="S128" s="341"/>
      <c r="T128" s="341"/>
      <c r="U128" s="341"/>
      <c r="V128" s="341"/>
      <c r="W128" s="341"/>
      <c r="X128" s="480"/>
      <c r="AA128" s="338">
        <v>25</v>
      </c>
      <c r="AB128" s="341"/>
      <c r="AC128" s="341"/>
      <c r="AD128" s="341"/>
      <c r="AE128" s="341"/>
      <c r="AF128" s="341"/>
      <c r="AG128" s="341"/>
      <c r="AH128" s="341"/>
      <c r="AI128" s="480"/>
      <c r="AL128" s="338">
        <v>25</v>
      </c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3"/>
    </row>
    <row r="129" spans="1:49" ht="14.45" customHeight="1">
      <c r="B129" s="338">
        <v>26</v>
      </c>
      <c r="C129" s="338"/>
      <c r="D129" s="338"/>
      <c r="E129" s="339">
        <v>46.3</v>
      </c>
      <c r="F129" s="339"/>
      <c r="G129" s="339">
        <f>12+40+10+10+30+30+5+30+43</f>
        <v>210</v>
      </c>
      <c r="H129" s="339"/>
      <c r="I129" s="339">
        <f>10+1.5</f>
        <v>11.5</v>
      </c>
      <c r="J129" s="339"/>
      <c r="L129" s="339"/>
      <c r="M129" s="339">
        <f>4.1+3+15+10</f>
        <v>32.1</v>
      </c>
      <c r="N129" s="339"/>
      <c r="O129" s="478"/>
      <c r="P129" s="331"/>
      <c r="R129" s="338">
        <v>26</v>
      </c>
      <c r="S129" s="341"/>
      <c r="T129" s="341"/>
      <c r="U129" s="341"/>
      <c r="V129" s="341"/>
      <c r="W129" s="341"/>
      <c r="X129" s="480"/>
      <c r="AA129" s="338">
        <v>26</v>
      </c>
      <c r="AB129" s="341"/>
      <c r="AC129" s="341"/>
      <c r="AD129" s="341"/>
      <c r="AE129" s="341"/>
      <c r="AF129" s="341"/>
      <c r="AG129" s="341"/>
      <c r="AH129" s="341"/>
      <c r="AI129" s="480"/>
      <c r="AL129" s="338">
        <v>26</v>
      </c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3"/>
    </row>
    <row r="130" spans="1:49" ht="14.45" customHeight="1">
      <c r="B130" s="338">
        <v>27</v>
      </c>
      <c r="C130" s="362"/>
      <c r="D130" s="362"/>
      <c r="E130" s="362"/>
      <c r="F130" s="362"/>
      <c r="G130" s="362">
        <f>7+30+15+40</f>
        <v>92</v>
      </c>
      <c r="H130" s="362"/>
      <c r="I130" s="363">
        <f>30+30+20+30+15</f>
        <v>125</v>
      </c>
      <c r="J130" s="362"/>
      <c r="K130" s="362">
        <f>3.5+14</f>
        <v>17.5</v>
      </c>
      <c r="L130" s="362"/>
      <c r="M130" s="362">
        <f>20+20+5+10</f>
        <v>55</v>
      </c>
      <c r="N130" s="339"/>
      <c r="O130" s="478"/>
      <c r="P130" s="331"/>
      <c r="R130" s="338">
        <v>27</v>
      </c>
      <c r="S130" s="341"/>
      <c r="T130" s="341"/>
      <c r="U130" s="341"/>
      <c r="V130" s="341"/>
      <c r="W130" s="341"/>
      <c r="X130" s="480"/>
      <c r="AA130" s="338">
        <v>27</v>
      </c>
      <c r="AB130" s="341"/>
      <c r="AC130" s="341"/>
      <c r="AD130" s="341"/>
      <c r="AE130" s="341"/>
      <c r="AF130" s="341"/>
      <c r="AG130" s="341"/>
      <c r="AH130" s="341"/>
      <c r="AI130" s="480"/>
      <c r="AL130" s="338">
        <v>27</v>
      </c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3"/>
    </row>
    <row r="131" spans="1:49" ht="14.45" customHeight="1">
      <c r="B131" s="338">
        <v>28</v>
      </c>
      <c r="C131" s="346"/>
      <c r="D131" s="346"/>
      <c r="E131" s="347"/>
      <c r="F131" s="347"/>
      <c r="G131" s="347"/>
      <c r="H131" s="347"/>
      <c r="I131" s="347"/>
      <c r="J131" s="340"/>
      <c r="K131" s="348"/>
      <c r="L131" s="348"/>
      <c r="M131" s="340"/>
      <c r="N131" s="340"/>
      <c r="O131" s="478"/>
      <c r="P131" s="331"/>
      <c r="R131" s="338">
        <v>28</v>
      </c>
      <c r="S131" s="341"/>
      <c r="T131" s="341"/>
      <c r="U131" s="341"/>
      <c r="V131" s="341"/>
      <c r="W131" s="341"/>
      <c r="X131" s="480"/>
      <c r="AA131" s="338">
        <v>28</v>
      </c>
      <c r="AB131" s="341"/>
      <c r="AC131" s="341"/>
      <c r="AD131" s="341"/>
      <c r="AE131" s="341"/>
      <c r="AF131" s="341"/>
      <c r="AG131" s="341"/>
      <c r="AH131" s="341"/>
      <c r="AI131" s="480"/>
      <c r="AL131" s="338">
        <v>28</v>
      </c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3"/>
    </row>
    <row r="132" spans="1:49" ht="14.45" customHeight="1">
      <c r="B132" s="338">
        <v>29</v>
      </c>
      <c r="C132" s="338"/>
      <c r="D132" s="338"/>
      <c r="E132" s="339"/>
      <c r="F132" s="339"/>
      <c r="G132" s="350">
        <f>5+18+10+50+10+11</f>
        <v>104</v>
      </c>
      <c r="H132" s="350"/>
      <c r="I132" s="350">
        <f>10+50+8</f>
        <v>68</v>
      </c>
      <c r="J132" s="340"/>
      <c r="K132" s="351">
        <v>30</v>
      </c>
      <c r="L132" s="351"/>
      <c r="M132" s="340">
        <f>16+10+4+50+10</f>
        <v>90</v>
      </c>
      <c r="N132" s="340"/>
      <c r="O132" s="478"/>
      <c r="P132" s="331"/>
      <c r="R132" s="338">
        <v>29</v>
      </c>
      <c r="S132" s="341"/>
      <c r="T132" s="341"/>
      <c r="U132" s="341"/>
      <c r="V132" s="341"/>
      <c r="W132" s="341"/>
      <c r="X132" s="480"/>
      <c r="AA132" s="338">
        <v>29</v>
      </c>
      <c r="AB132" s="341"/>
      <c r="AC132" s="341"/>
      <c r="AD132" s="341"/>
      <c r="AE132" s="341"/>
      <c r="AF132" s="341"/>
      <c r="AG132" s="341"/>
      <c r="AH132" s="341"/>
      <c r="AI132" s="480"/>
      <c r="AL132" s="338">
        <v>29</v>
      </c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3"/>
    </row>
    <row r="133" spans="1:49" ht="14.45" customHeight="1">
      <c r="B133" s="338">
        <v>30</v>
      </c>
      <c r="C133" s="349">
        <v>1</v>
      </c>
      <c r="D133" s="349"/>
      <c r="E133" s="350">
        <v>5</v>
      </c>
      <c r="F133" s="350"/>
      <c r="G133" s="338">
        <f>6+12+2+5+21</f>
        <v>46</v>
      </c>
      <c r="H133" s="338"/>
      <c r="I133" s="339">
        <v>53</v>
      </c>
      <c r="J133" s="339"/>
      <c r="K133" s="338">
        <f>4+10</f>
        <v>14</v>
      </c>
      <c r="L133" s="338"/>
      <c r="M133" s="350">
        <f>36+20+14</f>
        <v>70</v>
      </c>
      <c r="N133" s="339"/>
      <c r="O133" s="478"/>
      <c r="P133" s="331"/>
      <c r="R133" s="338">
        <v>30</v>
      </c>
      <c r="S133" s="341"/>
      <c r="T133" s="341"/>
      <c r="U133" s="341"/>
      <c r="V133" s="341"/>
      <c r="W133" s="341"/>
      <c r="X133" s="480"/>
      <c r="AA133" s="338">
        <v>30</v>
      </c>
      <c r="AB133" s="341"/>
      <c r="AC133" s="341"/>
      <c r="AD133" s="341"/>
      <c r="AE133" s="341"/>
      <c r="AF133" s="341"/>
      <c r="AG133" s="341"/>
      <c r="AH133" s="341"/>
      <c r="AI133" s="480"/>
      <c r="AL133" s="338">
        <v>30</v>
      </c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3"/>
    </row>
    <row r="134" spans="1:49" ht="14.45" customHeight="1">
      <c r="B134" s="338">
        <v>31</v>
      </c>
      <c r="D134" s="325">
        <v>2</v>
      </c>
      <c r="E134" s="325">
        <v>24</v>
      </c>
      <c r="F134" s="350"/>
      <c r="G134" s="350">
        <v>6</v>
      </c>
      <c r="H134" s="350"/>
      <c r="I134" s="350">
        <f>2+10+11+5</f>
        <v>28</v>
      </c>
      <c r="J134" s="340"/>
      <c r="K134" s="349">
        <f>6+9+40+10+1+10+8</f>
        <v>84</v>
      </c>
      <c r="L134" s="349"/>
      <c r="M134" s="359">
        <v>50</v>
      </c>
      <c r="N134" s="340"/>
      <c r="O134" s="478"/>
      <c r="P134" s="331"/>
      <c r="R134" s="338">
        <v>31</v>
      </c>
      <c r="S134" s="352"/>
      <c r="T134" s="352"/>
      <c r="U134" s="352"/>
      <c r="V134" s="352"/>
      <c r="W134" s="352"/>
      <c r="X134" s="480"/>
      <c r="AA134" s="338">
        <v>31</v>
      </c>
      <c r="AB134" s="352"/>
      <c r="AC134" s="352"/>
      <c r="AD134" s="352"/>
      <c r="AE134" s="352"/>
      <c r="AF134" s="352"/>
      <c r="AG134" s="352"/>
      <c r="AH134" s="352"/>
      <c r="AI134" s="480"/>
      <c r="AL134" s="338">
        <v>31</v>
      </c>
      <c r="AM134" s="352"/>
      <c r="AN134" s="352"/>
      <c r="AO134" s="352"/>
      <c r="AP134" s="352"/>
      <c r="AQ134" s="352"/>
      <c r="AR134" s="352"/>
      <c r="AS134" s="352"/>
      <c r="AT134" s="352"/>
      <c r="AU134" s="352"/>
      <c r="AV134" s="352"/>
      <c r="AW134" s="343"/>
    </row>
    <row r="135" spans="1:49" s="7" customFormat="1" ht="32.450000000000003" customHeight="1">
      <c r="A135" s="332"/>
      <c r="B135" s="353" t="s">
        <v>16</v>
      </c>
      <c r="C135" s="354">
        <f>+SUM(C104:C134)</f>
        <v>242.5</v>
      </c>
      <c r="D135" s="354">
        <f t="shared" ref="D135:N135" si="5">+SUM(D104:D134)</f>
        <v>281</v>
      </c>
      <c r="E135" s="354">
        <f t="shared" si="5"/>
        <v>497.3</v>
      </c>
      <c r="F135" s="354">
        <f t="shared" si="5"/>
        <v>24</v>
      </c>
      <c r="G135" s="354">
        <f t="shared" si="5"/>
        <v>1628.5</v>
      </c>
      <c r="H135" s="354">
        <f t="shared" si="5"/>
        <v>10</v>
      </c>
      <c r="I135" s="354">
        <f t="shared" si="5"/>
        <v>1769.5</v>
      </c>
      <c r="J135" s="354">
        <f t="shared" si="5"/>
        <v>0</v>
      </c>
      <c r="K135" s="354">
        <f t="shared" si="5"/>
        <v>1839.1</v>
      </c>
      <c r="L135" s="354">
        <f t="shared" si="5"/>
        <v>0</v>
      </c>
      <c r="M135" s="354">
        <f>+SUM(M104:M134)</f>
        <v>820.4</v>
      </c>
      <c r="N135" s="354">
        <f t="shared" si="5"/>
        <v>5.15</v>
      </c>
      <c r="O135" s="478"/>
      <c r="P135" s="331"/>
      <c r="Q135" s="325"/>
      <c r="R135" s="353" t="s">
        <v>16</v>
      </c>
      <c r="S135" s="352">
        <f>SUM(S104:S134)</f>
        <v>300</v>
      </c>
      <c r="T135" s="352">
        <f>SUM(T104:T134)</f>
        <v>1600</v>
      </c>
      <c r="U135" s="352">
        <f>SUM(U104:U134)</f>
        <v>5250</v>
      </c>
      <c r="V135" s="352">
        <f>SUM(V104:V134)</f>
        <v>5000</v>
      </c>
      <c r="W135" s="352">
        <f>SUM(W104:W134)</f>
        <v>0</v>
      </c>
      <c r="X135" s="482"/>
      <c r="Y135" s="493"/>
      <c r="Z135" s="325"/>
      <c r="AA135" s="353" t="s">
        <v>16</v>
      </c>
      <c r="AB135" s="352">
        <f>SUM(AB104:AB134)</f>
        <v>0</v>
      </c>
      <c r="AC135" s="352">
        <f>SUM(AC104:AC134)</f>
        <v>0</v>
      </c>
      <c r="AD135" s="352">
        <f>SUM(AD104:AD134)</f>
        <v>0</v>
      </c>
      <c r="AE135" s="352">
        <f>SUM(AE104:AE134)</f>
        <v>0</v>
      </c>
      <c r="AF135" s="352"/>
      <c r="AG135" s="352"/>
      <c r="AH135" s="352">
        <f>SUM(AH104:AH134)</f>
        <v>0</v>
      </c>
      <c r="AI135" s="482"/>
      <c r="AJ135" s="493"/>
      <c r="AK135" s="325"/>
      <c r="AL135" s="353" t="s">
        <v>16</v>
      </c>
      <c r="AM135" s="352">
        <f>SUM(AM104:AM134)</f>
        <v>500</v>
      </c>
      <c r="AN135" s="352">
        <f t="shared" ref="AN135:AS135" si="6">SUM(AN104:AN134)</f>
        <v>2800</v>
      </c>
      <c r="AO135" s="352">
        <f t="shared" si="6"/>
        <v>1600</v>
      </c>
      <c r="AP135" s="352">
        <f t="shared" si="6"/>
        <v>0</v>
      </c>
      <c r="AQ135" s="352">
        <f t="shared" si="6"/>
        <v>200</v>
      </c>
      <c r="AR135" s="352">
        <f t="shared" si="6"/>
        <v>0</v>
      </c>
      <c r="AS135" s="352">
        <f t="shared" si="6"/>
        <v>0</v>
      </c>
      <c r="AT135" s="352"/>
      <c r="AU135" s="352">
        <f>SUM(AU104:AU134)</f>
        <v>0</v>
      </c>
      <c r="AV135" s="352">
        <f>SUM(AV104:AV134)</f>
        <v>0</v>
      </c>
      <c r="AW135" s="356"/>
    </row>
    <row r="136" spans="1:49" ht="15" customHeight="1">
      <c r="O136" s="365"/>
    </row>
    <row r="137" spans="1:49" ht="14.45" customHeight="1">
      <c r="B137" s="338">
        <v>1</v>
      </c>
      <c r="C137" s="338"/>
      <c r="D137" s="338"/>
      <c r="E137" s="339"/>
      <c r="F137" s="339"/>
      <c r="G137" s="339"/>
      <c r="H137" s="339"/>
      <c r="I137" s="339"/>
      <c r="J137" s="340"/>
      <c r="K137" s="341">
        <f>4+72+100</f>
        <v>176</v>
      </c>
      <c r="L137" s="340"/>
      <c r="M137" s="340">
        <v>34</v>
      </c>
      <c r="N137" s="340"/>
      <c r="O137" s="478">
        <f>+C168+D168+E168+F168+G168+H168+I168+J168+K168+L168+M168+N168</f>
        <v>5686.3499999999995</v>
      </c>
      <c r="P137" s="331"/>
      <c r="R137" s="338">
        <v>1</v>
      </c>
      <c r="S137" s="341"/>
      <c r="T137" s="341"/>
      <c r="U137" s="341"/>
      <c r="V137" s="341"/>
      <c r="W137" s="341"/>
      <c r="X137" s="479">
        <f>SUM(S168:X168)</f>
        <v>0</v>
      </c>
      <c r="AA137" s="338">
        <v>1</v>
      </c>
      <c r="AB137" s="341"/>
      <c r="AC137" s="341"/>
      <c r="AD137" s="341"/>
      <c r="AE137" s="341"/>
      <c r="AF137" s="341"/>
      <c r="AG137" s="341"/>
      <c r="AH137" s="341"/>
      <c r="AI137" s="479">
        <f>SUM(AB168:AI168)</f>
        <v>2400</v>
      </c>
      <c r="AL137" s="338">
        <v>1</v>
      </c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2">
        <f>SUM(AM168:AW168)</f>
        <v>7000</v>
      </c>
    </row>
    <row r="138" spans="1:49" ht="14.45" customHeight="1">
      <c r="B138" s="338">
        <v>2</v>
      </c>
      <c r="C138" s="338"/>
      <c r="D138" s="338"/>
      <c r="E138" s="339"/>
      <c r="F138" s="339"/>
      <c r="G138" s="339">
        <v>27</v>
      </c>
      <c r="H138" s="339"/>
      <c r="I138" s="339">
        <f>14+8+20+1</f>
        <v>43</v>
      </c>
      <c r="J138" s="340"/>
      <c r="K138" s="340">
        <f>28+20+10+15+10+4+20</f>
        <v>107</v>
      </c>
      <c r="L138" s="340"/>
      <c r="M138" s="340">
        <v>26</v>
      </c>
      <c r="N138" s="340"/>
      <c r="O138" s="478"/>
      <c r="P138" s="331"/>
      <c r="R138" s="338">
        <v>2</v>
      </c>
      <c r="S138" s="341"/>
      <c r="T138" s="341"/>
      <c r="U138" s="341"/>
      <c r="V138" s="341"/>
      <c r="W138" s="341"/>
      <c r="X138" s="480"/>
      <c r="AA138" s="338">
        <v>2</v>
      </c>
      <c r="AB138" s="341"/>
      <c r="AC138" s="341"/>
      <c r="AD138" s="341"/>
      <c r="AE138" s="341"/>
      <c r="AF138" s="341"/>
      <c r="AG138" s="341"/>
      <c r="AH138" s="341"/>
      <c r="AI138" s="480"/>
      <c r="AL138" s="338">
        <v>2</v>
      </c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3"/>
    </row>
    <row r="139" spans="1:49" ht="14.45" customHeight="1">
      <c r="B139" s="338">
        <v>3</v>
      </c>
      <c r="C139" s="338"/>
      <c r="D139" s="338">
        <v>32</v>
      </c>
      <c r="E139" s="339">
        <v>50</v>
      </c>
      <c r="F139" s="339"/>
      <c r="G139" s="339"/>
      <c r="H139" s="339"/>
      <c r="I139" s="339">
        <v>10</v>
      </c>
      <c r="J139" s="340"/>
      <c r="K139" s="340">
        <f>10+10+10+30+40+8+25</f>
        <v>133</v>
      </c>
      <c r="L139" s="340"/>
      <c r="M139" s="340"/>
      <c r="N139" s="340"/>
      <c r="O139" s="478"/>
      <c r="P139" s="331"/>
      <c r="R139" s="338">
        <v>3</v>
      </c>
      <c r="S139" s="341"/>
      <c r="T139" s="341"/>
      <c r="U139" s="341"/>
      <c r="V139" s="341"/>
      <c r="W139" s="341"/>
      <c r="X139" s="480"/>
      <c r="AA139" s="338">
        <v>3</v>
      </c>
      <c r="AB139" s="341"/>
      <c r="AC139" s="341"/>
      <c r="AD139" s="341"/>
      <c r="AE139" s="341"/>
      <c r="AF139" s="341"/>
      <c r="AG139" s="341"/>
      <c r="AH139" s="341"/>
      <c r="AI139" s="480"/>
      <c r="AL139" s="338">
        <v>3</v>
      </c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3"/>
    </row>
    <row r="140" spans="1:49" ht="14.45" customHeight="1">
      <c r="B140" s="338">
        <v>4</v>
      </c>
      <c r="C140" s="338"/>
      <c r="D140" s="338"/>
      <c r="E140" s="339"/>
      <c r="F140" s="339"/>
      <c r="G140" s="339"/>
      <c r="H140" s="339"/>
      <c r="I140" s="339"/>
      <c r="J140" s="340"/>
      <c r="K140" s="340"/>
      <c r="L140" s="340"/>
      <c r="M140" s="340"/>
      <c r="N140" s="340"/>
      <c r="O140" s="478"/>
      <c r="P140" s="331"/>
      <c r="R140" s="338">
        <v>4</v>
      </c>
      <c r="S140" s="341"/>
      <c r="T140" s="341"/>
      <c r="U140" s="341"/>
      <c r="V140" s="341"/>
      <c r="W140" s="341"/>
      <c r="X140" s="480"/>
      <c r="AA140" s="338">
        <v>4</v>
      </c>
      <c r="AB140" s="341"/>
      <c r="AC140" s="341"/>
      <c r="AD140" s="341"/>
      <c r="AE140" s="341"/>
      <c r="AF140" s="341"/>
      <c r="AG140" s="341"/>
      <c r="AH140" s="341"/>
      <c r="AI140" s="480"/>
      <c r="AL140" s="338">
        <v>4</v>
      </c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3"/>
    </row>
    <row r="141" spans="1:49" ht="14.45" customHeight="1">
      <c r="B141" s="338">
        <v>5</v>
      </c>
      <c r="C141" s="338">
        <v>5</v>
      </c>
      <c r="D141" s="338">
        <v>50</v>
      </c>
      <c r="E141" s="339">
        <v>10</v>
      </c>
      <c r="F141" s="339"/>
      <c r="G141" s="339">
        <v>8</v>
      </c>
      <c r="H141" s="339"/>
      <c r="I141" s="339">
        <f>30+20+10+20+20+H141</f>
        <v>100</v>
      </c>
      <c r="J141" s="340"/>
      <c r="K141" s="340">
        <f>20+1+5+8+10+6+6</f>
        <v>56</v>
      </c>
      <c r="L141" s="340"/>
      <c r="M141" s="340"/>
      <c r="N141" s="340"/>
      <c r="O141" s="478"/>
      <c r="P141" s="331"/>
      <c r="R141" s="338">
        <v>5</v>
      </c>
      <c r="S141" s="341"/>
      <c r="T141" s="341"/>
      <c r="U141" s="341"/>
      <c r="V141" s="341"/>
      <c r="W141" s="341"/>
      <c r="X141" s="480"/>
      <c r="AA141" s="338">
        <v>5</v>
      </c>
      <c r="AB141" s="341"/>
      <c r="AC141" s="341"/>
      <c r="AD141" s="341"/>
      <c r="AE141" s="341"/>
      <c r="AF141" s="341"/>
      <c r="AG141" s="341"/>
      <c r="AH141" s="341"/>
      <c r="AI141" s="480"/>
      <c r="AL141" s="338">
        <v>5</v>
      </c>
      <c r="AM141" s="341"/>
      <c r="AN141" s="341">
        <v>2800</v>
      </c>
      <c r="AO141" s="341">
        <v>1400</v>
      </c>
      <c r="AP141" s="341"/>
      <c r="AQ141" s="341"/>
      <c r="AR141" s="341"/>
      <c r="AS141" s="341"/>
      <c r="AT141" s="341"/>
      <c r="AU141" s="341"/>
      <c r="AV141" s="341"/>
      <c r="AW141" s="343"/>
    </row>
    <row r="142" spans="1:49" ht="14.45" customHeight="1">
      <c r="B142" s="338">
        <v>6</v>
      </c>
      <c r="C142" s="338"/>
      <c r="D142" s="338">
        <v>24</v>
      </c>
      <c r="E142" s="339">
        <f>20+3.1+3+24+1+12</f>
        <v>63.1</v>
      </c>
      <c r="F142" s="339"/>
      <c r="G142" s="339">
        <v>6</v>
      </c>
      <c r="H142" s="339"/>
      <c r="I142" s="339">
        <f>20+20+5</f>
        <v>45</v>
      </c>
      <c r="J142" s="340"/>
      <c r="K142" s="340">
        <f>10+3.5+20+5+10+7+4.2+10</f>
        <v>69.7</v>
      </c>
      <c r="L142" s="340">
        <v>10.5</v>
      </c>
      <c r="M142" s="340">
        <v>26</v>
      </c>
      <c r="N142" s="340"/>
      <c r="O142" s="478"/>
      <c r="P142" s="331"/>
      <c r="R142" s="338">
        <v>6</v>
      </c>
      <c r="S142" s="341"/>
      <c r="T142" s="341"/>
      <c r="U142" s="341"/>
      <c r="V142" s="341"/>
      <c r="W142" s="341"/>
      <c r="X142" s="480"/>
      <c r="AA142" s="338">
        <v>6</v>
      </c>
      <c r="AB142" s="341"/>
      <c r="AC142" s="341"/>
      <c r="AD142" s="341"/>
      <c r="AE142" s="341"/>
      <c r="AF142" s="341"/>
      <c r="AG142" s="341"/>
      <c r="AH142" s="341"/>
      <c r="AI142" s="480"/>
      <c r="AL142" s="338">
        <v>6</v>
      </c>
      <c r="AM142" s="341">
        <v>200</v>
      </c>
      <c r="AN142" s="341"/>
      <c r="AO142" s="341"/>
      <c r="AP142" s="341"/>
      <c r="AQ142" s="341">
        <v>200</v>
      </c>
      <c r="AR142" s="341"/>
      <c r="AS142" s="341"/>
      <c r="AT142" s="341"/>
      <c r="AU142" s="341"/>
      <c r="AV142" s="341"/>
      <c r="AW142" s="343"/>
    </row>
    <row r="143" spans="1:49" ht="14.45" customHeight="1">
      <c r="B143" s="338">
        <v>7</v>
      </c>
      <c r="C143" s="338"/>
      <c r="D143" s="338"/>
      <c r="E143" s="339">
        <v>16</v>
      </c>
      <c r="F143" s="339"/>
      <c r="G143" s="339">
        <f>24+8.6+2+2</f>
        <v>36.6</v>
      </c>
      <c r="H143" s="339"/>
      <c r="I143" s="339">
        <f>20+2+4</f>
        <v>26</v>
      </c>
      <c r="J143" s="340"/>
      <c r="K143" s="340">
        <f>40+10+50</f>
        <v>100</v>
      </c>
      <c r="L143" s="340"/>
      <c r="M143" s="340">
        <f>4.5+4.5+3.5+3.5</f>
        <v>16</v>
      </c>
      <c r="N143" s="340"/>
      <c r="O143" s="478"/>
      <c r="P143" s="331"/>
      <c r="R143" s="338">
        <v>7</v>
      </c>
      <c r="S143" s="341"/>
      <c r="T143" s="341"/>
      <c r="U143" s="341"/>
      <c r="V143" s="341"/>
      <c r="W143" s="341"/>
      <c r="X143" s="480"/>
      <c r="AA143" s="338">
        <v>7</v>
      </c>
      <c r="AB143" s="341"/>
      <c r="AC143" s="341"/>
      <c r="AD143" s="341"/>
      <c r="AE143" s="341"/>
      <c r="AF143" s="341"/>
      <c r="AG143" s="341"/>
      <c r="AH143" s="341"/>
      <c r="AI143" s="480"/>
      <c r="AL143" s="338">
        <v>7</v>
      </c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3"/>
    </row>
    <row r="144" spans="1:49" ht="14.45" customHeight="1">
      <c r="B144" s="338">
        <v>8</v>
      </c>
      <c r="C144" s="338"/>
      <c r="D144" s="338"/>
      <c r="E144" s="339">
        <f>29+5+1+30</f>
        <v>65</v>
      </c>
      <c r="F144" s="339"/>
      <c r="G144" s="339">
        <v>135.5</v>
      </c>
      <c r="H144" s="339"/>
      <c r="I144" s="339">
        <f>12+10</f>
        <v>22</v>
      </c>
      <c r="J144" s="340"/>
      <c r="K144" s="340">
        <f>10+2+50+15+10+6+10+20+21+20</f>
        <v>164</v>
      </c>
      <c r="L144" s="340"/>
      <c r="M144" s="340">
        <v>14</v>
      </c>
      <c r="N144" s="340"/>
      <c r="O144" s="478"/>
      <c r="P144" s="331"/>
      <c r="R144" s="338">
        <v>8</v>
      </c>
      <c r="S144" s="341"/>
      <c r="T144" s="341"/>
      <c r="U144" s="341"/>
      <c r="V144" s="341"/>
      <c r="W144" s="341"/>
      <c r="X144" s="480"/>
      <c r="AA144" s="338">
        <v>8</v>
      </c>
      <c r="AB144" s="341"/>
      <c r="AC144" s="341"/>
      <c r="AD144" s="341"/>
      <c r="AE144" s="341"/>
      <c r="AF144" s="341"/>
      <c r="AG144" s="341"/>
      <c r="AH144" s="341"/>
      <c r="AI144" s="480"/>
      <c r="AL144" s="338">
        <v>8</v>
      </c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3"/>
    </row>
    <row r="145" spans="2:49" ht="14.45" customHeight="1">
      <c r="B145" s="338">
        <v>9</v>
      </c>
      <c r="C145" s="338"/>
      <c r="D145" s="338"/>
      <c r="E145" s="339"/>
      <c r="F145" s="339"/>
      <c r="G145" s="339">
        <f>24+72+6+10</f>
        <v>112</v>
      </c>
      <c r="H145" s="339"/>
      <c r="I145" s="339">
        <f>40+50+6+20</f>
        <v>116</v>
      </c>
      <c r="J145" s="340"/>
      <c r="K145" s="340">
        <f>47+15</f>
        <v>62</v>
      </c>
      <c r="L145" s="340"/>
      <c r="M145" s="340">
        <v>22</v>
      </c>
      <c r="N145" s="340"/>
      <c r="O145" s="478"/>
      <c r="P145" s="331"/>
      <c r="R145" s="338">
        <v>9</v>
      </c>
      <c r="S145" s="341"/>
      <c r="T145" s="341"/>
      <c r="U145" s="341"/>
      <c r="V145" s="341"/>
      <c r="W145" s="341"/>
      <c r="X145" s="480"/>
      <c r="AA145" s="338">
        <v>9</v>
      </c>
      <c r="AB145" s="341"/>
      <c r="AC145" s="341"/>
      <c r="AD145" s="341"/>
      <c r="AE145" s="341"/>
      <c r="AF145" s="341"/>
      <c r="AG145" s="341"/>
      <c r="AH145" s="341"/>
      <c r="AI145" s="480"/>
      <c r="AL145" s="338">
        <v>9</v>
      </c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3"/>
    </row>
    <row r="146" spans="2:49" ht="14.45" customHeight="1">
      <c r="B146" s="338">
        <v>10</v>
      </c>
      <c r="C146" s="338"/>
      <c r="D146" s="338"/>
      <c r="E146" s="339"/>
      <c r="F146" s="339">
        <v>10</v>
      </c>
      <c r="G146" s="339">
        <v>26</v>
      </c>
      <c r="H146" s="339"/>
      <c r="I146" s="339"/>
      <c r="J146" s="340"/>
      <c r="K146" s="340">
        <v>58</v>
      </c>
      <c r="L146" s="340"/>
      <c r="M146" s="340">
        <v>80</v>
      </c>
      <c r="N146" s="340">
        <v>7</v>
      </c>
      <c r="O146" s="478"/>
      <c r="P146" s="331"/>
      <c r="R146" s="338">
        <v>10</v>
      </c>
      <c r="S146" s="341"/>
      <c r="T146" s="341"/>
      <c r="U146" s="341"/>
      <c r="V146" s="364"/>
      <c r="W146" s="341"/>
      <c r="X146" s="480"/>
      <c r="AA146" s="338">
        <v>10</v>
      </c>
      <c r="AB146" s="341"/>
      <c r="AC146" s="341"/>
      <c r="AD146" s="341"/>
      <c r="AE146" s="341"/>
      <c r="AF146" s="341"/>
      <c r="AG146" s="341"/>
      <c r="AH146" s="341"/>
      <c r="AI146" s="480"/>
      <c r="AL146" s="338">
        <v>10</v>
      </c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3"/>
    </row>
    <row r="147" spans="2:49" ht="14.45" customHeight="1">
      <c r="B147" s="338">
        <v>11</v>
      </c>
      <c r="C147" s="338"/>
      <c r="D147" s="338"/>
      <c r="E147" s="339"/>
      <c r="F147" s="339"/>
      <c r="G147" s="339"/>
      <c r="H147" s="339"/>
      <c r="I147" s="339"/>
      <c r="J147" s="340"/>
      <c r="K147" s="340"/>
      <c r="L147" s="340"/>
      <c r="M147" s="340"/>
      <c r="N147" s="340"/>
      <c r="O147" s="478"/>
      <c r="P147" s="331"/>
      <c r="R147" s="338">
        <v>11</v>
      </c>
      <c r="S147" s="341"/>
      <c r="T147" s="341"/>
      <c r="U147" s="341"/>
      <c r="V147" s="341"/>
      <c r="W147" s="341"/>
      <c r="X147" s="480"/>
      <c r="AA147" s="338">
        <v>11</v>
      </c>
      <c r="AB147" s="341"/>
      <c r="AC147" s="341"/>
      <c r="AD147" s="341"/>
      <c r="AE147" s="341"/>
      <c r="AF147" s="341"/>
      <c r="AG147" s="341"/>
      <c r="AH147" s="341"/>
      <c r="AI147" s="480"/>
      <c r="AL147" s="338">
        <v>11</v>
      </c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3"/>
    </row>
    <row r="148" spans="2:49" ht="15" customHeight="1">
      <c r="B148" s="338">
        <v>12</v>
      </c>
      <c r="C148" s="338"/>
      <c r="D148" s="338"/>
      <c r="E148" s="339"/>
      <c r="F148" s="339"/>
      <c r="G148" s="339">
        <v>30</v>
      </c>
      <c r="H148" s="339"/>
      <c r="I148" s="339">
        <v>102</v>
      </c>
      <c r="J148" s="340"/>
      <c r="K148" s="340">
        <v>53</v>
      </c>
      <c r="L148" s="340"/>
      <c r="M148" s="340">
        <v>111</v>
      </c>
      <c r="N148" s="340"/>
      <c r="O148" s="478"/>
      <c r="P148" s="331"/>
      <c r="R148" s="338">
        <v>12</v>
      </c>
      <c r="S148" s="341"/>
      <c r="T148" s="341"/>
      <c r="U148" s="341"/>
      <c r="V148" s="341"/>
      <c r="W148" s="341"/>
      <c r="X148" s="480"/>
      <c r="AA148" s="338">
        <v>12</v>
      </c>
      <c r="AB148" s="341"/>
      <c r="AC148" s="341"/>
      <c r="AD148" s="341"/>
      <c r="AE148" s="341"/>
      <c r="AF148" s="341"/>
      <c r="AG148" s="341"/>
      <c r="AH148" s="341"/>
      <c r="AI148" s="480"/>
      <c r="AL148" s="338">
        <v>12</v>
      </c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3"/>
    </row>
    <row r="149" spans="2:49" ht="14.45" customHeight="1">
      <c r="B149" s="338">
        <v>13</v>
      </c>
      <c r="C149" s="338">
        <v>150</v>
      </c>
      <c r="D149" s="338">
        <v>51</v>
      </c>
      <c r="E149" s="339">
        <v>100</v>
      </c>
      <c r="F149" s="339"/>
      <c r="G149" s="339">
        <v>31</v>
      </c>
      <c r="H149" s="339"/>
      <c r="I149" s="339">
        <v>83.3</v>
      </c>
      <c r="J149" s="340"/>
      <c r="K149" s="340">
        <f>14+16</f>
        <v>30</v>
      </c>
      <c r="L149" s="340"/>
      <c r="M149" s="340">
        <v>13</v>
      </c>
      <c r="N149" s="340"/>
      <c r="O149" s="478"/>
      <c r="P149" s="331"/>
      <c r="R149" s="338">
        <v>13</v>
      </c>
      <c r="S149" s="341"/>
      <c r="T149" s="341"/>
      <c r="U149" s="341"/>
      <c r="V149" s="341"/>
      <c r="W149" s="341"/>
      <c r="X149" s="480"/>
      <c r="AA149" s="338">
        <v>13</v>
      </c>
      <c r="AB149" s="341"/>
      <c r="AC149" s="341"/>
      <c r="AD149" s="341"/>
      <c r="AE149" s="341"/>
      <c r="AF149" s="341"/>
      <c r="AG149" s="341"/>
      <c r="AH149" s="341"/>
      <c r="AI149" s="480"/>
      <c r="AL149" s="338">
        <v>13</v>
      </c>
      <c r="AM149" s="341">
        <v>300</v>
      </c>
      <c r="AN149" s="341"/>
      <c r="AO149" s="341">
        <v>200</v>
      </c>
      <c r="AP149" s="341"/>
      <c r="AQ149" s="341"/>
      <c r="AR149" s="341"/>
      <c r="AS149" s="341"/>
      <c r="AT149" s="341"/>
      <c r="AU149" s="341"/>
      <c r="AV149" s="341"/>
      <c r="AW149" s="343"/>
    </row>
    <row r="150" spans="2:49" ht="14.45" customHeight="1">
      <c r="B150" s="338">
        <v>14</v>
      </c>
      <c r="C150" s="338"/>
      <c r="D150" s="338"/>
      <c r="E150" s="339"/>
      <c r="F150" s="339"/>
      <c r="G150" s="339">
        <v>75</v>
      </c>
      <c r="H150" s="339"/>
      <c r="I150" s="339">
        <v>50</v>
      </c>
      <c r="J150" s="340"/>
      <c r="K150" s="340">
        <v>50</v>
      </c>
      <c r="L150" s="340"/>
      <c r="M150" s="340">
        <v>25</v>
      </c>
      <c r="N150" s="340"/>
      <c r="O150" s="478"/>
      <c r="P150" s="331"/>
      <c r="R150" s="338">
        <v>14</v>
      </c>
      <c r="S150" s="341"/>
      <c r="T150" s="341"/>
      <c r="U150" s="341"/>
      <c r="V150" s="341"/>
      <c r="W150" s="341"/>
      <c r="X150" s="480"/>
      <c r="AA150" s="338">
        <v>14</v>
      </c>
      <c r="AB150" s="341"/>
      <c r="AC150" s="341"/>
      <c r="AD150" s="341"/>
      <c r="AE150" s="341"/>
      <c r="AF150" s="341"/>
      <c r="AG150" s="341"/>
      <c r="AH150" s="341"/>
      <c r="AI150" s="480"/>
      <c r="AL150" s="338">
        <v>14</v>
      </c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3"/>
    </row>
    <row r="151" spans="2:49" ht="14.45" customHeight="1">
      <c r="B151" s="338">
        <v>15</v>
      </c>
      <c r="C151" s="338"/>
      <c r="D151" s="338"/>
      <c r="E151" s="339">
        <v>47</v>
      </c>
      <c r="F151" s="339"/>
      <c r="G151" s="339">
        <v>60</v>
      </c>
      <c r="H151" s="339"/>
      <c r="I151" s="339">
        <f>50+22+10</f>
        <v>82</v>
      </c>
      <c r="J151" s="340"/>
      <c r="K151" s="340">
        <f>20+3+2.5+16</f>
        <v>41.5</v>
      </c>
      <c r="L151" s="340"/>
      <c r="M151" s="340"/>
      <c r="N151" s="340"/>
      <c r="O151" s="478"/>
      <c r="P151" s="331"/>
      <c r="R151" s="338">
        <v>15</v>
      </c>
      <c r="S151" s="341"/>
      <c r="T151" s="341"/>
      <c r="U151" s="341"/>
      <c r="V151" s="341"/>
      <c r="W151" s="341"/>
      <c r="X151" s="480"/>
      <c r="AA151" s="338">
        <v>15</v>
      </c>
      <c r="AB151" s="341"/>
      <c r="AC151" s="341"/>
      <c r="AD151" s="341"/>
      <c r="AE151" s="341"/>
      <c r="AF151" s="341"/>
      <c r="AG151" s="341"/>
      <c r="AH151" s="341"/>
      <c r="AI151" s="480"/>
      <c r="AL151" s="338">
        <v>15</v>
      </c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3"/>
    </row>
    <row r="152" spans="2:49" ht="14.45" customHeight="1">
      <c r="B152" s="338">
        <v>16</v>
      </c>
      <c r="C152" s="338"/>
      <c r="D152" s="338">
        <v>62.5</v>
      </c>
      <c r="E152" s="339">
        <v>30</v>
      </c>
      <c r="F152" s="339"/>
      <c r="G152" s="339">
        <v>2</v>
      </c>
      <c r="H152" s="339"/>
      <c r="I152" s="339">
        <f>26.4+20</f>
        <v>46.4</v>
      </c>
      <c r="J152" s="340"/>
      <c r="K152" s="340">
        <v>60</v>
      </c>
      <c r="L152" s="340"/>
      <c r="M152" s="340">
        <v>38</v>
      </c>
      <c r="N152" s="340"/>
      <c r="O152" s="478"/>
      <c r="P152" s="331"/>
      <c r="R152" s="338">
        <v>16</v>
      </c>
      <c r="S152" s="341"/>
      <c r="T152" s="341"/>
      <c r="U152" s="341"/>
      <c r="V152" s="341"/>
      <c r="W152" s="341"/>
      <c r="X152" s="480"/>
      <c r="AA152" s="338">
        <v>16</v>
      </c>
      <c r="AB152" s="341"/>
      <c r="AC152" s="341"/>
      <c r="AD152" s="341"/>
      <c r="AE152" s="341"/>
      <c r="AF152" s="341"/>
      <c r="AG152" s="341"/>
      <c r="AH152" s="341"/>
      <c r="AI152" s="480"/>
      <c r="AL152" s="338">
        <v>16</v>
      </c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3"/>
    </row>
    <row r="153" spans="2:49" ht="14.45" customHeight="1">
      <c r="B153" s="338">
        <v>17</v>
      </c>
      <c r="C153" s="338"/>
      <c r="D153" s="338"/>
      <c r="E153" s="339">
        <v>12</v>
      </c>
      <c r="F153" s="339"/>
      <c r="G153" s="339">
        <v>30</v>
      </c>
      <c r="H153" s="339"/>
      <c r="I153" s="339">
        <f>87+2+10+10</f>
        <v>109</v>
      </c>
      <c r="J153" s="340"/>
      <c r="K153" s="339">
        <v>51</v>
      </c>
      <c r="L153" s="362"/>
      <c r="M153" s="340">
        <v>28</v>
      </c>
      <c r="N153" s="340"/>
      <c r="O153" s="478"/>
      <c r="P153" s="331"/>
      <c r="R153" s="338">
        <v>17</v>
      </c>
      <c r="S153" s="341"/>
      <c r="T153" s="341"/>
      <c r="U153" s="341"/>
      <c r="V153" s="341"/>
      <c r="W153" s="341"/>
      <c r="X153" s="480"/>
      <c r="AA153" s="338">
        <v>17</v>
      </c>
      <c r="AB153" s="341"/>
      <c r="AC153" s="341"/>
      <c r="AD153" s="341">
        <v>1000</v>
      </c>
      <c r="AE153" s="341">
        <v>1000</v>
      </c>
      <c r="AF153" s="341"/>
      <c r="AG153" s="341"/>
      <c r="AH153" s="341"/>
      <c r="AI153" s="480"/>
      <c r="AL153" s="338">
        <v>17</v>
      </c>
      <c r="AM153" s="341"/>
      <c r="AN153" s="341">
        <v>1000</v>
      </c>
      <c r="AO153" s="341"/>
      <c r="AP153" s="341">
        <v>500</v>
      </c>
      <c r="AQ153" s="341"/>
      <c r="AR153" s="341"/>
      <c r="AS153" s="341"/>
      <c r="AT153" s="341"/>
      <c r="AU153" s="341"/>
      <c r="AV153" s="341"/>
      <c r="AW153" s="343"/>
    </row>
    <row r="154" spans="2:49" ht="14.45" customHeight="1">
      <c r="B154" s="338">
        <v>18</v>
      </c>
      <c r="C154" s="338"/>
      <c r="D154" s="338"/>
      <c r="E154" s="339"/>
      <c r="F154" s="339"/>
      <c r="G154" s="339"/>
      <c r="H154" s="339"/>
      <c r="I154" s="339"/>
      <c r="J154" s="340"/>
      <c r="K154" s="340"/>
      <c r="L154" s="340" t="s">
        <v>36</v>
      </c>
      <c r="M154" s="340"/>
      <c r="N154" s="340"/>
      <c r="O154" s="478"/>
      <c r="P154" s="331"/>
      <c r="R154" s="338">
        <v>18</v>
      </c>
      <c r="S154" s="341"/>
      <c r="T154" s="341"/>
      <c r="U154" s="341"/>
      <c r="V154" s="341"/>
      <c r="W154" s="341"/>
      <c r="X154" s="480"/>
      <c r="AA154" s="338">
        <v>18</v>
      </c>
      <c r="AB154" s="341"/>
      <c r="AC154" s="341"/>
      <c r="AD154" s="341"/>
      <c r="AE154" s="341"/>
      <c r="AF154" s="341"/>
      <c r="AG154" s="341"/>
      <c r="AH154" s="341"/>
      <c r="AI154" s="480"/>
      <c r="AL154" s="338">
        <v>18</v>
      </c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3"/>
    </row>
    <row r="155" spans="2:49" ht="14.45" customHeight="1">
      <c r="B155" s="338">
        <v>19</v>
      </c>
      <c r="C155" s="338"/>
      <c r="D155" s="338">
        <v>10</v>
      </c>
      <c r="E155" s="338">
        <v>15</v>
      </c>
      <c r="F155" s="338"/>
      <c r="G155" s="338">
        <v>8</v>
      </c>
      <c r="H155" s="338"/>
      <c r="I155" s="338">
        <v>17</v>
      </c>
      <c r="J155" s="338"/>
      <c r="K155" s="338">
        <f>13+35+50+20</f>
        <v>118</v>
      </c>
      <c r="L155" s="338"/>
      <c r="M155" s="338">
        <f>6+15+3</f>
        <v>24</v>
      </c>
      <c r="N155" s="338">
        <v>7</v>
      </c>
      <c r="O155" s="478"/>
      <c r="P155" s="331"/>
      <c r="R155" s="338">
        <v>19</v>
      </c>
      <c r="S155" s="341"/>
      <c r="T155" s="341"/>
      <c r="U155" s="341"/>
      <c r="V155" s="341"/>
      <c r="W155" s="341"/>
      <c r="X155" s="480"/>
      <c r="AA155" s="338">
        <v>19</v>
      </c>
      <c r="AB155" s="341"/>
      <c r="AC155" s="341"/>
      <c r="AD155" s="341"/>
      <c r="AE155" s="341"/>
      <c r="AF155" s="341"/>
      <c r="AG155" s="341"/>
      <c r="AH155" s="341"/>
      <c r="AI155" s="480"/>
      <c r="AL155" s="338">
        <v>19</v>
      </c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3"/>
    </row>
    <row r="156" spans="2:49" ht="14.45" customHeight="1">
      <c r="B156" s="338">
        <v>20</v>
      </c>
      <c r="C156" s="338">
        <v>15</v>
      </c>
      <c r="D156" s="338">
        <v>7</v>
      </c>
      <c r="E156" s="338">
        <v>9</v>
      </c>
      <c r="F156" s="338"/>
      <c r="G156" s="338">
        <v>20</v>
      </c>
      <c r="H156" s="338"/>
      <c r="I156" s="338">
        <v>10</v>
      </c>
      <c r="J156" s="338"/>
      <c r="K156" s="338">
        <v>170</v>
      </c>
      <c r="L156" s="338"/>
      <c r="M156" s="338">
        <f>3.64+3.64</f>
        <v>7.28</v>
      </c>
      <c r="N156" s="338"/>
      <c r="O156" s="478"/>
      <c r="P156" s="331"/>
      <c r="R156" s="338">
        <v>20</v>
      </c>
      <c r="S156" s="341"/>
      <c r="T156" s="341"/>
      <c r="U156" s="341"/>
      <c r="V156" s="341"/>
      <c r="W156" s="341"/>
      <c r="X156" s="480"/>
      <c r="AA156" s="338">
        <v>20</v>
      </c>
      <c r="AB156" s="341"/>
      <c r="AC156" s="341"/>
      <c r="AD156" s="341"/>
      <c r="AE156" s="341"/>
      <c r="AF156" s="341"/>
      <c r="AG156" s="341"/>
      <c r="AH156" s="341"/>
      <c r="AI156" s="480"/>
      <c r="AL156" s="338">
        <v>20</v>
      </c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3"/>
    </row>
    <row r="157" spans="2:49" ht="14.45" customHeight="1">
      <c r="B157" s="338">
        <v>21</v>
      </c>
      <c r="C157" s="338"/>
      <c r="D157" s="338"/>
      <c r="E157" s="338">
        <v>70</v>
      </c>
      <c r="F157" s="338"/>
      <c r="G157" s="338">
        <v>100</v>
      </c>
      <c r="H157" s="338"/>
      <c r="I157" s="338">
        <v>13</v>
      </c>
      <c r="J157" s="338"/>
      <c r="K157" s="338"/>
      <c r="L157" s="338"/>
      <c r="M157" s="338"/>
      <c r="N157" s="338"/>
      <c r="O157" s="478"/>
      <c r="P157" s="331"/>
      <c r="R157" s="338">
        <v>21</v>
      </c>
      <c r="S157" s="341"/>
      <c r="T157" s="341"/>
      <c r="U157" s="341"/>
      <c r="V157" s="341"/>
      <c r="W157" s="341"/>
      <c r="X157" s="480"/>
      <c r="AA157" s="338">
        <v>21</v>
      </c>
      <c r="AB157" s="341"/>
      <c r="AC157" s="341"/>
      <c r="AD157" s="341"/>
      <c r="AE157" s="341"/>
      <c r="AF157" s="341"/>
      <c r="AG157" s="341"/>
      <c r="AH157" s="341"/>
      <c r="AI157" s="480"/>
      <c r="AL157" s="338">
        <v>21</v>
      </c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3"/>
    </row>
    <row r="158" spans="2:49" ht="14.45" customHeight="1">
      <c r="B158" s="338">
        <v>22</v>
      </c>
      <c r="C158" s="338"/>
      <c r="D158" s="325">
        <v>9</v>
      </c>
      <c r="E158" s="338"/>
      <c r="F158" s="338">
        <f>4.8+4.87</f>
        <v>9.67</v>
      </c>
      <c r="G158" s="338">
        <v>36</v>
      </c>
      <c r="H158" s="338"/>
      <c r="I158" s="338">
        <f>22+13</f>
        <v>35</v>
      </c>
      <c r="J158" s="338"/>
      <c r="K158" s="338">
        <v>100</v>
      </c>
      <c r="L158" s="338"/>
      <c r="M158" s="338"/>
      <c r="N158" s="338">
        <v>1</v>
      </c>
      <c r="O158" s="478"/>
      <c r="P158" s="331"/>
      <c r="R158" s="338">
        <v>22</v>
      </c>
      <c r="S158" s="341"/>
      <c r="T158" s="341"/>
      <c r="U158" s="341"/>
      <c r="V158" s="341"/>
      <c r="W158" s="341"/>
      <c r="X158" s="480"/>
      <c r="AA158" s="338">
        <v>22</v>
      </c>
      <c r="AB158" s="341"/>
      <c r="AC158" s="341"/>
      <c r="AD158" s="341"/>
      <c r="AE158" s="341"/>
      <c r="AF158" s="341"/>
      <c r="AG158" s="341"/>
      <c r="AH158" s="341"/>
      <c r="AI158" s="480"/>
      <c r="AL158" s="338">
        <v>22</v>
      </c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3"/>
    </row>
    <row r="159" spans="2:49" ht="14.45" customHeight="1">
      <c r="B159" s="338">
        <v>23</v>
      </c>
      <c r="C159" s="338"/>
      <c r="D159" s="338">
        <v>4</v>
      </c>
      <c r="E159" s="339"/>
      <c r="F159" s="339"/>
      <c r="G159" s="339">
        <f>30+40+3+20+2+2</f>
        <v>97</v>
      </c>
      <c r="H159" s="339"/>
      <c r="I159" s="339">
        <f>2.5+1.2+2.5+5</f>
        <v>11.2</v>
      </c>
      <c r="J159" s="340"/>
      <c r="K159" s="340"/>
      <c r="L159" s="340"/>
      <c r="M159" s="340"/>
      <c r="N159" s="340"/>
      <c r="O159" s="478"/>
      <c r="P159" s="331"/>
      <c r="R159" s="338">
        <v>23</v>
      </c>
      <c r="S159" s="341"/>
      <c r="T159" s="341"/>
      <c r="U159" s="341"/>
      <c r="V159" s="341"/>
      <c r="W159" s="341"/>
      <c r="X159" s="480"/>
      <c r="AA159" s="338">
        <v>23</v>
      </c>
      <c r="AB159" s="341"/>
      <c r="AC159" s="341"/>
      <c r="AD159" s="341"/>
      <c r="AE159" s="341"/>
      <c r="AF159" s="341"/>
      <c r="AG159" s="341"/>
      <c r="AH159" s="341"/>
      <c r="AI159" s="480"/>
      <c r="AL159" s="338">
        <v>23</v>
      </c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3"/>
    </row>
    <row r="160" spans="2:49" ht="14.45" customHeight="1">
      <c r="B160" s="338">
        <v>24</v>
      </c>
      <c r="C160" s="338"/>
      <c r="D160" s="338">
        <v>10</v>
      </c>
      <c r="E160" s="339">
        <v>10</v>
      </c>
      <c r="F160" s="325">
        <v>3</v>
      </c>
      <c r="G160" s="339">
        <v>7</v>
      </c>
      <c r="H160" s="339"/>
      <c r="I160" s="339">
        <v>25</v>
      </c>
      <c r="J160" s="340"/>
      <c r="K160" s="340">
        <v>105</v>
      </c>
      <c r="L160" s="340"/>
      <c r="M160" s="340">
        <v>28</v>
      </c>
      <c r="N160" s="340">
        <v>4</v>
      </c>
      <c r="O160" s="478"/>
      <c r="P160" s="331"/>
      <c r="R160" s="338">
        <v>24</v>
      </c>
      <c r="S160" s="341"/>
      <c r="T160" s="341"/>
      <c r="U160" s="341"/>
      <c r="V160" s="341"/>
      <c r="W160" s="341"/>
      <c r="X160" s="480"/>
      <c r="AA160" s="338">
        <v>24</v>
      </c>
      <c r="AB160" s="341"/>
      <c r="AC160" s="341"/>
      <c r="AD160" s="341"/>
      <c r="AE160" s="341"/>
      <c r="AF160" s="341"/>
      <c r="AG160" s="341"/>
      <c r="AH160" s="341"/>
      <c r="AI160" s="480"/>
      <c r="AL160" s="338">
        <v>24</v>
      </c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3"/>
    </row>
    <row r="161" spans="1:49" ht="14.45" customHeight="1">
      <c r="B161" s="338">
        <v>25</v>
      </c>
      <c r="C161" s="338"/>
      <c r="D161" s="338"/>
      <c r="E161" s="339"/>
      <c r="F161" s="339"/>
      <c r="G161" s="339"/>
      <c r="H161" s="339"/>
      <c r="I161" s="339"/>
      <c r="J161" s="340"/>
      <c r="K161" s="340"/>
      <c r="L161" s="340"/>
      <c r="M161" s="340"/>
      <c r="N161" s="340"/>
      <c r="O161" s="478"/>
      <c r="P161" s="331"/>
      <c r="R161" s="338">
        <v>25</v>
      </c>
      <c r="S161" s="341"/>
      <c r="T161" s="341"/>
      <c r="U161" s="341"/>
      <c r="V161" s="341"/>
      <c r="W161" s="341"/>
      <c r="X161" s="480"/>
      <c r="AA161" s="338">
        <v>25</v>
      </c>
      <c r="AB161" s="341"/>
      <c r="AC161" s="341"/>
      <c r="AD161" s="341"/>
      <c r="AE161" s="341"/>
      <c r="AF161" s="341"/>
      <c r="AG161" s="341"/>
      <c r="AH161" s="341"/>
      <c r="AI161" s="480"/>
      <c r="AL161" s="338">
        <v>25</v>
      </c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3"/>
    </row>
    <row r="162" spans="1:49" ht="14.45" customHeight="1">
      <c r="B162" s="338">
        <v>26</v>
      </c>
      <c r="C162" s="338"/>
      <c r="D162" s="338"/>
      <c r="E162" s="339"/>
      <c r="F162" s="339"/>
      <c r="G162" s="339"/>
      <c r="H162" s="339"/>
      <c r="I162" s="339"/>
      <c r="J162" s="339"/>
      <c r="L162" s="339"/>
      <c r="M162" s="339"/>
      <c r="N162" s="339"/>
      <c r="O162" s="478"/>
      <c r="P162" s="331"/>
      <c r="R162" s="338">
        <v>26</v>
      </c>
      <c r="S162" s="341"/>
      <c r="T162" s="341"/>
      <c r="U162" s="341"/>
      <c r="V162" s="341"/>
      <c r="W162" s="341"/>
      <c r="X162" s="480"/>
      <c r="AA162" s="338">
        <v>26</v>
      </c>
      <c r="AB162" s="341"/>
      <c r="AC162" s="341"/>
      <c r="AD162" s="341"/>
      <c r="AE162" s="341"/>
      <c r="AF162" s="341"/>
      <c r="AG162" s="341"/>
      <c r="AH162" s="341"/>
      <c r="AI162" s="480"/>
      <c r="AL162" s="338">
        <v>26</v>
      </c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3"/>
    </row>
    <row r="163" spans="1:49" ht="14.45" customHeight="1">
      <c r="B163" s="338">
        <v>27</v>
      </c>
      <c r="C163" s="362"/>
      <c r="D163" s="362"/>
      <c r="E163" s="362">
        <v>15</v>
      </c>
      <c r="F163" s="362"/>
      <c r="G163" s="362">
        <v>1</v>
      </c>
      <c r="H163" s="362"/>
      <c r="I163" s="363">
        <v>50</v>
      </c>
      <c r="J163" s="362"/>
      <c r="K163" s="362">
        <v>31</v>
      </c>
      <c r="L163" s="362"/>
      <c r="M163" s="362"/>
      <c r="N163" s="339"/>
      <c r="O163" s="478"/>
      <c r="P163" s="331"/>
      <c r="R163" s="338">
        <v>27</v>
      </c>
      <c r="S163" s="341"/>
      <c r="T163" s="341"/>
      <c r="U163" s="341"/>
      <c r="V163" s="341"/>
      <c r="W163" s="341"/>
      <c r="X163" s="480"/>
      <c r="AA163" s="338">
        <v>27</v>
      </c>
      <c r="AB163" s="341"/>
      <c r="AC163" s="341"/>
      <c r="AD163" s="341"/>
      <c r="AE163" s="341"/>
      <c r="AF163" s="341"/>
      <c r="AG163" s="341"/>
      <c r="AH163" s="341"/>
      <c r="AI163" s="480"/>
      <c r="AL163" s="338">
        <v>27</v>
      </c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3"/>
    </row>
    <row r="164" spans="1:49" ht="14.45" customHeight="1">
      <c r="B164" s="338">
        <v>28</v>
      </c>
      <c r="C164" s="346"/>
      <c r="D164" s="346">
        <v>10</v>
      </c>
      <c r="E164" s="347">
        <v>32</v>
      </c>
      <c r="F164" s="347"/>
      <c r="G164" s="347">
        <v>9</v>
      </c>
      <c r="H164" s="347"/>
      <c r="I164" s="347">
        <v>60</v>
      </c>
      <c r="J164" s="340"/>
      <c r="K164" s="348">
        <f>22.5+40</f>
        <v>62.5</v>
      </c>
      <c r="L164" s="348"/>
      <c r="M164" s="340"/>
      <c r="N164" s="340"/>
      <c r="O164" s="478"/>
      <c r="P164" s="331"/>
      <c r="R164" s="338">
        <v>28</v>
      </c>
      <c r="S164" s="341"/>
      <c r="T164" s="341"/>
      <c r="U164" s="341"/>
      <c r="V164" s="341"/>
      <c r="W164" s="341"/>
      <c r="X164" s="480"/>
      <c r="AA164" s="338">
        <v>28</v>
      </c>
      <c r="AB164" s="341"/>
      <c r="AC164" s="341">
        <v>200</v>
      </c>
      <c r="AD164" s="341">
        <v>200</v>
      </c>
      <c r="AE164" s="341"/>
      <c r="AF164" s="341">
        <v>200</v>
      </c>
      <c r="AG164" s="341"/>
      <c r="AH164" s="341"/>
      <c r="AI164" s="480"/>
      <c r="AL164" s="338">
        <v>28</v>
      </c>
      <c r="AM164" s="341"/>
      <c r="AN164" s="341"/>
      <c r="AO164" s="341">
        <v>200</v>
      </c>
      <c r="AP164" s="341"/>
      <c r="AQ164" s="341"/>
      <c r="AR164" s="341">
        <v>100</v>
      </c>
      <c r="AS164" s="341"/>
      <c r="AT164" s="341"/>
      <c r="AU164" s="341"/>
      <c r="AV164" s="341">
        <v>100</v>
      </c>
      <c r="AW164" s="343"/>
    </row>
    <row r="165" spans="1:49" ht="14.45" customHeight="1">
      <c r="B165" s="338">
        <v>29</v>
      </c>
      <c r="C165" s="338"/>
      <c r="D165" s="338"/>
      <c r="E165" s="339"/>
      <c r="F165" s="339"/>
      <c r="G165" s="350">
        <v>1</v>
      </c>
      <c r="H165" s="350"/>
      <c r="I165" s="350">
        <f>3.6+12+25+14+40</f>
        <v>94.6</v>
      </c>
      <c r="J165" s="340"/>
      <c r="K165" s="351">
        <v>40</v>
      </c>
      <c r="L165" s="351"/>
      <c r="M165" s="340"/>
      <c r="N165" s="340"/>
      <c r="O165" s="478"/>
      <c r="P165" s="331"/>
      <c r="R165" s="338">
        <v>29</v>
      </c>
      <c r="S165" s="341"/>
      <c r="T165" s="341"/>
      <c r="U165" s="341"/>
      <c r="V165" s="341"/>
      <c r="W165" s="341"/>
      <c r="X165" s="480"/>
      <c r="AA165" s="338">
        <v>29</v>
      </c>
      <c r="AB165" s="341"/>
      <c r="AC165" s="341"/>
      <c r="AD165" s="341"/>
      <c r="AE165" s="341"/>
      <c r="AF165" s="341"/>
      <c r="AG165" s="341"/>
      <c r="AH165" s="341"/>
      <c r="AI165" s="480"/>
      <c r="AL165" s="338">
        <v>29</v>
      </c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3"/>
    </row>
    <row r="166" spans="1:49" ht="14.45" customHeight="1">
      <c r="B166" s="338">
        <v>30</v>
      </c>
      <c r="C166" s="349"/>
      <c r="D166" s="349"/>
      <c r="E166" s="350"/>
      <c r="F166" s="350"/>
      <c r="G166" s="338">
        <v>11</v>
      </c>
      <c r="H166" s="338"/>
      <c r="I166" s="339">
        <f>3.5+40+50</f>
        <v>93.5</v>
      </c>
      <c r="J166" s="339"/>
      <c r="K166" s="338">
        <f>5+35+12+6+20</f>
        <v>78</v>
      </c>
      <c r="L166" s="338"/>
      <c r="M166" s="350">
        <f>20+12</f>
        <v>32</v>
      </c>
      <c r="N166" s="339"/>
      <c r="O166" s="478"/>
      <c r="P166" s="331"/>
      <c r="R166" s="338">
        <v>30</v>
      </c>
      <c r="S166" s="341"/>
      <c r="T166" s="341"/>
      <c r="U166" s="341"/>
      <c r="V166" s="341"/>
      <c r="W166" s="341"/>
      <c r="X166" s="480"/>
      <c r="AA166" s="338">
        <v>30</v>
      </c>
      <c r="AB166" s="341"/>
      <c r="AC166" s="341"/>
      <c r="AD166" s="341"/>
      <c r="AE166" s="341"/>
      <c r="AF166" s="341"/>
      <c r="AG166" s="341"/>
      <c r="AH166" s="341"/>
      <c r="AI166" s="480"/>
      <c r="AL166" s="338">
        <v>30</v>
      </c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3"/>
    </row>
    <row r="167" spans="1:49" ht="14.45" customHeight="1">
      <c r="B167" s="338">
        <v>31</v>
      </c>
      <c r="F167" s="350"/>
      <c r="G167" s="350"/>
      <c r="H167" s="350"/>
      <c r="I167" s="350">
        <v>1</v>
      </c>
      <c r="J167" s="340"/>
      <c r="K167" s="349">
        <v>6.5</v>
      </c>
      <c r="L167" s="349"/>
      <c r="M167" s="359">
        <f>5+20+30+35</f>
        <v>90</v>
      </c>
      <c r="N167" s="340"/>
      <c r="O167" s="478"/>
      <c r="P167" s="331"/>
      <c r="R167" s="338">
        <v>31</v>
      </c>
      <c r="S167" s="352"/>
      <c r="T167" s="352"/>
      <c r="U167" s="352"/>
      <c r="V167" s="352"/>
      <c r="W167" s="352"/>
      <c r="X167" s="480"/>
      <c r="AA167" s="338">
        <v>31</v>
      </c>
      <c r="AB167" s="352"/>
      <c r="AC167" s="352"/>
      <c r="AD167" s="352"/>
      <c r="AE167" s="352"/>
      <c r="AF167" s="352"/>
      <c r="AG167" s="352"/>
      <c r="AH167" s="352"/>
      <c r="AI167" s="480"/>
      <c r="AL167" s="338">
        <v>31</v>
      </c>
      <c r="AM167" s="352"/>
      <c r="AN167" s="352"/>
      <c r="AO167" s="352"/>
      <c r="AP167" s="352"/>
      <c r="AQ167" s="352"/>
      <c r="AR167" s="352"/>
      <c r="AS167" s="352"/>
      <c r="AT167" s="352"/>
      <c r="AU167" s="352"/>
      <c r="AV167" s="352"/>
      <c r="AW167" s="343"/>
    </row>
    <row r="168" spans="1:49" s="7" customFormat="1" ht="32.450000000000003" customHeight="1">
      <c r="A168" s="332"/>
      <c r="B168" s="353" t="s">
        <v>16</v>
      </c>
      <c r="C168" s="354">
        <f>+SUM(C137:C167)</f>
        <v>170</v>
      </c>
      <c r="D168" s="354">
        <f t="shared" ref="D168:N168" si="7">+SUM(D137:D167)</f>
        <v>269.5</v>
      </c>
      <c r="E168" s="354">
        <f t="shared" si="7"/>
        <v>544.1</v>
      </c>
      <c r="F168" s="354">
        <f t="shared" si="7"/>
        <v>22.67</v>
      </c>
      <c r="G168" s="354">
        <f t="shared" si="7"/>
        <v>869.1</v>
      </c>
      <c r="H168" s="354">
        <f t="shared" si="7"/>
        <v>0</v>
      </c>
      <c r="I168" s="354">
        <f t="shared" si="7"/>
        <v>1245</v>
      </c>
      <c r="J168" s="354">
        <f t="shared" si="7"/>
        <v>0</v>
      </c>
      <c r="K168" s="354">
        <f t="shared" si="7"/>
        <v>1922.2</v>
      </c>
      <c r="L168" s="354">
        <f t="shared" si="7"/>
        <v>10.5</v>
      </c>
      <c r="M168" s="354">
        <f t="shared" si="7"/>
        <v>614.28</v>
      </c>
      <c r="N168" s="354">
        <f t="shared" si="7"/>
        <v>19</v>
      </c>
      <c r="O168" s="478"/>
      <c r="P168" s="331"/>
      <c r="Q168" s="325"/>
      <c r="R168" s="353" t="s">
        <v>16</v>
      </c>
      <c r="S168" s="352">
        <f>SUM(S137:S167)</f>
        <v>0</v>
      </c>
      <c r="T168" s="352">
        <f>SUM(T137:T167)</f>
        <v>0</v>
      </c>
      <c r="U168" s="352">
        <f>SUM(U137:U167)</f>
        <v>0</v>
      </c>
      <c r="V168" s="352">
        <f>SUM(V137:V167)</f>
        <v>0</v>
      </c>
      <c r="W168" s="352">
        <f>SUM(W137:W167)</f>
        <v>0</v>
      </c>
      <c r="X168" s="482"/>
      <c r="Y168" s="493"/>
      <c r="Z168" s="325"/>
      <c r="AA168" s="353" t="s">
        <v>16</v>
      </c>
      <c r="AB168" s="352">
        <f>SUM(AB137:AB167)</f>
        <v>0</v>
      </c>
      <c r="AC168" s="352">
        <f>SUM(AC137:AC167)</f>
        <v>200</v>
      </c>
      <c r="AD168" s="352">
        <f>SUM(AD137:AD167)</f>
        <v>1200</v>
      </c>
      <c r="AE168" s="352">
        <f>SUM(AE137:AE167)</f>
        <v>1000</v>
      </c>
      <c r="AF168" s="352"/>
      <c r="AG168" s="352"/>
      <c r="AH168" s="352">
        <f>SUM(AH137:AH167)</f>
        <v>0</v>
      </c>
      <c r="AI168" s="482"/>
      <c r="AJ168" s="493"/>
      <c r="AK168" s="325"/>
      <c r="AL168" s="353" t="s">
        <v>16</v>
      </c>
      <c r="AM168" s="352">
        <f>SUM(AM137:AM167)</f>
        <v>500</v>
      </c>
      <c r="AN168" s="352">
        <f t="shared" ref="AN168:AS168" si="8">SUM(AN137:AN167)</f>
        <v>3800</v>
      </c>
      <c r="AO168" s="352">
        <f t="shared" si="8"/>
        <v>1800</v>
      </c>
      <c r="AP168" s="352">
        <f t="shared" si="8"/>
        <v>500</v>
      </c>
      <c r="AQ168" s="352">
        <f t="shared" si="8"/>
        <v>200</v>
      </c>
      <c r="AR168" s="352">
        <f t="shared" si="8"/>
        <v>100</v>
      </c>
      <c r="AS168" s="352">
        <f t="shared" si="8"/>
        <v>0</v>
      </c>
      <c r="AT168" s="352"/>
      <c r="AU168" s="352">
        <f>SUM(AU137:AU167)</f>
        <v>0</v>
      </c>
      <c r="AV168" s="352">
        <f>SUM(AV137:AV167)</f>
        <v>100</v>
      </c>
      <c r="AW168" s="356"/>
    </row>
    <row r="171" spans="1:49" ht="14.45" customHeight="1">
      <c r="B171" s="338">
        <v>1</v>
      </c>
      <c r="C171" s="338"/>
      <c r="D171" s="338"/>
      <c r="E171" s="339"/>
      <c r="F171" s="339"/>
      <c r="G171" s="339"/>
      <c r="H171" s="339"/>
      <c r="I171" s="339"/>
      <c r="J171" s="340"/>
      <c r="K171" s="341"/>
      <c r="L171" s="340"/>
      <c r="M171" s="340"/>
      <c r="N171" s="340"/>
      <c r="O171" s="478">
        <f>+C202+D202+E202+F202+G202+H202+I202+J202+K202+L202+M202+N202</f>
        <v>6109.0769999999993</v>
      </c>
      <c r="P171" s="331"/>
      <c r="R171" s="338">
        <v>1</v>
      </c>
      <c r="S171" s="341"/>
      <c r="T171" s="341"/>
      <c r="U171" s="341"/>
      <c r="V171" s="341"/>
      <c r="W171" s="341"/>
      <c r="X171" s="479">
        <f>SUM(S202:X202)</f>
        <v>0</v>
      </c>
      <c r="AA171" s="338">
        <v>1</v>
      </c>
      <c r="AB171" s="341"/>
      <c r="AC171" s="341"/>
      <c r="AD171" s="341"/>
      <c r="AE171" s="341"/>
      <c r="AF171" s="341"/>
      <c r="AG171" s="341"/>
      <c r="AH171" s="341"/>
      <c r="AI171" s="479">
        <f>SUM(AB202:AI202)</f>
        <v>11700</v>
      </c>
      <c r="AL171" s="338">
        <v>1</v>
      </c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2">
        <f>SUM(AM202:AW202)</f>
        <v>9500</v>
      </c>
    </row>
    <row r="172" spans="1:49" ht="14.45" customHeight="1">
      <c r="B172" s="338">
        <v>2</v>
      </c>
      <c r="C172" s="338">
        <v>50</v>
      </c>
      <c r="D172" s="338">
        <v>10</v>
      </c>
      <c r="E172" s="339"/>
      <c r="F172" s="339"/>
      <c r="G172" s="339">
        <f>25+50+10+10+6+50</f>
        <v>151</v>
      </c>
      <c r="H172" s="339"/>
      <c r="I172" s="339">
        <f>5+50+2+25</f>
        <v>82</v>
      </c>
      <c r="J172" s="340"/>
      <c r="K172" s="340">
        <f>40+4+40</f>
        <v>84</v>
      </c>
      <c r="L172" s="340"/>
      <c r="M172" s="340"/>
      <c r="N172" s="340"/>
      <c r="O172" s="478"/>
      <c r="P172" s="331"/>
      <c r="R172" s="338">
        <v>2</v>
      </c>
      <c r="S172" s="341"/>
      <c r="T172" s="341"/>
      <c r="U172" s="341"/>
      <c r="V172" s="341"/>
      <c r="W172" s="341"/>
      <c r="X172" s="480"/>
      <c r="AA172" s="338">
        <v>2</v>
      </c>
      <c r="AB172" s="341"/>
      <c r="AC172" s="341"/>
      <c r="AD172" s="341"/>
      <c r="AE172" s="341"/>
      <c r="AF172" s="341"/>
      <c r="AG172" s="341"/>
      <c r="AH172" s="341"/>
      <c r="AI172" s="480"/>
      <c r="AL172" s="338">
        <v>2</v>
      </c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3"/>
    </row>
    <row r="173" spans="1:49" ht="14.45" customHeight="1">
      <c r="B173" s="338">
        <v>3</v>
      </c>
      <c r="C173" s="338">
        <v>40</v>
      </c>
      <c r="D173" s="338">
        <v>40</v>
      </c>
      <c r="E173" s="339">
        <v>70</v>
      </c>
      <c r="F173" s="339">
        <v>2.2000000000000002</v>
      </c>
      <c r="G173" s="339">
        <f>3+2.5+4+25+14</f>
        <v>48.5</v>
      </c>
      <c r="H173" s="339"/>
      <c r="I173" s="339">
        <v>3</v>
      </c>
      <c r="J173" s="340"/>
      <c r="K173" s="340">
        <v>162</v>
      </c>
      <c r="L173" s="340"/>
      <c r="M173" s="340"/>
      <c r="N173" s="340"/>
      <c r="O173" s="478"/>
      <c r="P173" s="331"/>
      <c r="R173" s="338">
        <v>3</v>
      </c>
      <c r="S173" s="341"/>
      <c r="T173" s="341"/>
      <c r="U173" s="341"/>
      <c r="V173" s="341"/>
      <c r="W173" s="341"/>
      <c r="X173" s="480"/>
      <c r="AA173" s="338">
        <v>3</v>
      </c>
      <c r="AB173" s="341"/>
      <c r="AC173" s="341"/>
      <c r="AD173" s="341"/>
      <c r="AE173" s="341"/>
      <c r="AF173" s="341"/>
      <c r="AG173" s="341"/>
      <c r="AH173" s="341"/>
      <c r="AI173" s="480"/>
      <c r="AL173" s="338">
        <v>3</v>
      </c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3"/>
    </row>
    <row r="174" spans="1:49" ht="14.45" customHeight="1">
      <c r="B174" s="338">
        <v>4</v>
      </c>
      <c r="C174" s="338"/>
      <c r="D174" s="338">
        <v>22</v>
      </c>
      <c r="E174" s="339">
        <v>10</v>
      </c>
      <c r="F174" s="339"/>
      <c r="G174" s="339">
        <v>20</v>
      </c>
      <c r="H174" s="339"/>
      <c r="I174" s="339">
        <v>63</v>
      </c>
      <c r="J174" s="340"/>
      <c r="K174" s="340">
        <f>6+30+3+122+1+28</f>
        <v>190</v>
      </c>
      <c r="L174" s="340"/>
      <c r="M174" s="340">
        <v>12</v>
      </c>
      <c r="N174" s="340"/>
      <c r="O174" s="478"/>
      <c r="P174" s="331"/>
      <c r="R174" s="338">
        <v>4</v>
      </c>
      <c r="S174" s="341"/>
      <c r="T174" s="341"/>
      <c r="U174" s="341"/>
      <c r="V174" s="341"/>
      <c r="W174" s="341"/>
      <c r="X174" s="480"/>
      <c r="AA174" s="338">
        <v>4</v>
      </c>
      <c r="AB174" s="341"/>
      <c r="AC174" s="341"/>
      <c r="AD174" s="341"/>
      <c r="AE174" s="341"/>
      <c r="AF174" s="341"/>
      <c r="AG174" s="341"/>
      <c r="AH174" s="341"/>
      <c r="AI174" s="480"/>
      <c r="AL174" s="338">
        <v>4</v>
      </c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3"/>
    </row>
    <row r="175" spans="1:49" ht="14.45" customHeight="1">
      <c r="B175" s="338">
        <v>5</v>
      </c>
      <c r="C175" s="338">
        <v>10</v>
      </c>
      <c r="D175" s="338">
        <v>9</v>
      </c>
      <c r="E175" s="339">
        <v>27</v>
      </c>
      <c r="F175" s="339"/>
      <c r="G175" s="339">
        <v>17</v>
      </c>
      <c r="H175" s="339"/>
      <c r="I175" s="339">
        <f>5+100+5+2</f>
        <v>112</v>
      </c>
      <c r="J175" s="340"/>
      <c r="K175" s="340">
        <f>50+5+130</f>
        <v>185</v>
      </c>
      <c r="L175" s="340"/>
      <c r="M175" s="340">
        <v>13</v>
      </c>
      <c r="N175" s="340"/>
      <c r="O175" s="478"/>
      <c r="P175" s="331"/>
      <c r="R175" s="338">
        <v>5</v>
      </c>
      <c r="S175" s="341"/>
      <c r="T175" s="341"/>
      <c r="U175" s="341"/>
      <c r="V175" s="341"/>
      <c r="W175" s="341"/>
      <c r="X175" s="480"/>
      <c r="AA175" s="338">
        <v>5</v>
      </c>
      <c r="AB175" s="341"/>
      <c r="AC175" s="341"/>
      <c r="AD175" s="341"/>
      <c r="AE175" s="341"/>
      <c r="AF175" s="341"/>
      <c r="AG175" s="341"/>
      <c r="AH175" s="341"/>
      <c r="AI175" s="480"/>
      <c r="AL175" s="338">
        <v>5</v>
      </c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3"/>
    </row>
    <row r="176" spans="1:49" ht="14.45" customHeight="1">
      <c r="B176" s="338">
        <v>6</v>
      </c>
      <c r="C176" s="338"/>
      <c r="D176" s="338">
        <v>10</v>
      </c>
      <c r="E176" s="339"/>
      <c r="F176" s="339"/>
      <c r="G176" s="339">
        <f>10+1+20+1.5+10+8+30</f>
        <v>80.5</v>
      </c>
      <c r="H176" s="339"/>
      <c r="I176" s="339">
        <f>30+22+10+30+16</f>
        <v>108</v>
      </c>
      <c r="J176" s="340"/>
      <c r="K176" s="340">
        <f>3+120+6</f>
        <v>129</v>
      </c>
      <c r="L176" s="340"/>
      <c r="M176" s="340">
        <v>8</v>
      </c>
      <c r="N176" s="340"/>
      <c r="O176" s="478"/>
      <c r="P176" s="331"/>
      <c r="R176" s="338">
        <v>6</v>
      </c>
      <c r="S176" s="341"/>
      <c r="T176" s="341"/>
      <c r="U176" s="341"/>
      <c r="V176" s="341"/>
      <c r="W176" s="341"/>
      <c r="X176" s="480"/>
      <c r="AA176" s="338">
        <v>6</v>
      </c>
      <c r="AB176" s="341"/>
      <c r="AC176" s="341"/>
      <c r="AD176" s="341"/>
      <c r="AE176" s="341"/>
      <c r="AF176" s="341"/>
      <c r="AG176" s="341"/>
      <c r="AH176" s="341"/>
      <c r="AI176" s="480"/>
      <c r="AL176" s="338">
        <v>6</v>
      </c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3"/>
    </row>
    <row r="177" spans="2:49" ht="14.45" customHeight="1">
      <c r="B177" s="338">
        <v>7</v>
      </c>
      <c r="C177" s="338"/>
      <c r="D177" s="338"/>
      <c r="E177" s="339">
        <v>10</v>
      </c>
      <c r="F177" s="339"/>
      <c r="G177" s="339">
        <v>71</v>
      </c>
      <c r="H177" s="339"/>
      <c r="I177" s="339">
        <f>5+79+5+5+20+80+2</f>
        <v>196</v>
      </c>
      <c r="J177" s="340"/>
      <c r="K177" s="340">
        <f>12+5+2</f>
        <v>19</v>
      </c>
      <c r="L177" s="340"/>
      <c r="M177" s="340">
        <v>4.5</v>
      </c>
      <c r="N177" s="340"/>
      <c r="O177" s="478"/>
      <c r="P177" s="331"/>
      <c r="R177" s="338">
        <v>7</v>
      </c>
      <c r="S177" s="341"/>
      <c r="T177" s="341"/>
      <c r="U177" s="341"/>
      <c r="V177" s="341"/>
      <c r="W177" s="341"/>
      <c r="X177" s="480"/>
      <c r="AA177" s="338">
        <v>7</v>
      </c>
      <c r="AB177" s="341"/>
      <c r="AC177" s="341"/>
      <c r="AD177" s="341"/>
      <c r="AE177" s="341"/>
      <c r="AF177" s="341"/>
      <c r="AG177" s="341"/>
      <c r="AH177" s="341"/>
      <c r="AI177" s="480"/>
      <c r="AL177" s="338">
        <v>7</v>
      </c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3"/>
    </row>
    <row r="178" spans="2:49" ht="14.45" customHeight="1">
      <c r="B178" s="338">
        <v>8</v>
      </c>
      <c r="C178" s="338"/>
      <c r="D178" s="338"/>
      <c r="E178" s="339"/>
      <c r="F178" s="339"/>
      <c r="G178" s="339"/>
      <c r="H178" s="339"/>
      <c r="I178" s="339"/>
      <c r="J178" s="340"/>
      <c r="K178" s="340"/>
      <c r="L178" s="340"/>
      <c r="M178" s="340"/>
      <c r="N178" s="340"/>
      <c r="O178" s="478"/>
      <c r="P178" s="331"/>
      <c r="R178" s="338">
        <v>8</v>
      </c>
      <c r="S178" s="341"/>
      <c r="T178" s="341"/>
      <c r="U178" s="341"/>
      <c r="V178" s="341"/>
      <c r="W178" s="341"/>
      <c r="X178" s="480"/>
      <c r="AA178" s="338">
        <v>8</v>
      </c>
      <c r="AB178" s="341"/>
      <c r="AC178" s="341"/>
      <c r="AD178" s="341"/>
      <c r="AE178" s="341"/>
      <c r="AF178" s="341"/>
      <c r="AG178" s="341"/>
      <c r="AH178" s="341"/>
      <c r="AI178" s="480"/>
      <c r="AL178" s="338">
        <v>8</v>
      </c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3"/>
    </row>
    <row r="179" spans="2:49" ht="14.45" customHeight="1">
      <c r="B179" s="338">
        <v>9</v>
      </c>
      <c r="C179" s="338"/>
      <c r="D179" s="338"/>
      <c r="E179" s="339">
        <v>2</v>
      </c>
      <c r="F179" s="339"/>
      <c r="G179" s="339">
        <v>21</v>
      </c>
      <c r="H179" s="339"/>
      <c r="I179" s="339">
        <f>12+62</f>
        <v>74</v>
      </c>
      <c r="J179" s="340"/>
      <c r="K179" s="340">
        <f>8.5+12.5+2.5+50</f>
        <v>73.5</v>
      </c>
      <c r="L179" s="340"/>
      <c r="M179" s="340">
        <v>5</v>
      </c>
      <c r="N179" s="340"/>
      <c r="O179" s="478"/>
      <c r="P179" s="331"/>
      <c r="R179" s="338">
        <v>9</v>
      </c>
      <c r="S179" s="341"/>
      <c r="T179" s="341"/>
      <c r="U179" s="341"/>
      <c r="V179" s="341"/>
      <c r="W179" s="341"/>
      <c r="X179" s="480"/>
      <c r="AA179" s="338">
        <v>9</v>
      </c>
      <c r="AB179" s="341"/>
      <c r="AC179" s="341"/>
      <c r="AD179" s="341"/>
      <c r="AE179" s="341"/>
      <c r="AF179" s="341"/>
      <c r="AG179" s="341"/>
      <c r="AH179" s="341"/>
      <c r="AI179" s="480"/>
      <c r="AL179" s="338">
        <v>9</v>
      </c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3"/>
    </row>
    <row r="180" spans="2:49" ht="14.45" customHeight="1">
      <c r="B180" s="338">
        <v>10</v>
      </c>
      <c r="C180" s="338"/>
      <c r="D180" s="338"/>
      <c r="E180" s="339">
        <v>10</v>
      </c>
      <c r="F180" s="339">
        <v>4</v>
      </c>
      <c r="G180" s="339">
        <v>3</v>
      </c>
      <c r="H180" s="339"/>
      <c r="I180" s="339">
        <f>50+4+10</f>
        <v>64</v>
      </c>
      <c r="J180" s="340"/>
      <c r="K180" s="340">
        <f>126+6+6.7+12.5</f>
        <v>151.19999999999999</v>
      </c>
      <c r="L180" s="340"/>
      <c r="M180" s="340">
        <f>25+9+4+12+12</f>
        <v>62</v>
      </c>
      <c r="N180" s="340"/>
      <c r="O180" s="478"/>
      <c r="P180" s="331"/>
      <c r="R180" s="338">
        <v>10</v>
      </c>
      <c r="S180" s="341"/>
      <c r="T180" s="341"/>
      <c r="U180" s="341"/>
      <c r="V180" s="364"/>
      <c r="W180" s="341"/>
      <c r="X180" s="480"/>
      <c r="AA180" s="338">
        <v>10</v>
      </c>
      <c r="AB180" s="341"/>
      <c r="AC180" s="341"/>
      <c r="AD180" s="341"/>
      <c r="AE180" s="341"/>
      <c r="AF180" s="341"/>
      <c r="AG180" s="341"/>
      <c r="AH180" s="341"/>
      <c r="AI180" s="480"/>
      <c r="AL180" s="338">
        <v>10</v>
      </c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3"/>
    </row>
    <row r="181" spans="2:49" ht="14.45" customHeight="1">
      <c r="B181" s="338">
        <v>11</v>
      </c>
      <c r="C181" s="338"/>
      <c r="D181" s="338"/>
      <c r="E181" s="339">
        <f>40+16</f>
        <v>56</v>
      </c>
      <c r="F181" s="339"/>
      <c r="G181" s="339">
        <v>50</v>
      </c>
      <c r="H181" s="339"/>
      <c r="I181" s="339">
        <v>66</v>
      </c>
      <c r="J181" s="340"/>
      <c r="K181" s="340">
        <f>30+30+12+6+20+5+7</f>
        <v>110</v>
      </c>
      <c r="L181" s="340"/>
      <c r="M181" s="340">
        <f>6+18+4.3+8</f>
        <v>36.299999999999997</v>
      </c>
      <c r="N181" s="340"/>
      <c r="O181" s="478"/>
      <c r="P181" s="331"/>
      <c r="R181" s="338">
        <v>11</v>
      </c>
      <c r="S181" s="341"/>
      <c r="T181" s="341"/>
      <c r="U181" s="341"/>
      <c r="V181" s="341"/>
      <c r="W181" s="341"/>
      <c r="X181" s="480"/>
      <c r="AA181" s="338">
        <v>11</v>
      </c>
      <c r="AB181" s="341"/>
      <c r="AC181" s="341"/>
      <c r="AD181" s="341"/>
      <c r="AE181" s="341"/>
      <c r="AF181" s="341"/>
      <c r="AG181" s="341"/>
      <c r="AH181" s="341"/>
      <c r="AI181" s="480"/>
      <c r="AL181" s="338">
        <v>11</v>
      </c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3"/>
    </row>
    <row r="182" spans="2:49" ht="15" customHeight="1">
      <c r="B182" s="338">
        <v>12</v>
      </c>
      <c r="C182" s="338">
        <v>23</v>
      </c>
      <c r="D182" s="338"/>
      <c r="E182" s="339">
        <v>81</v>
      </c>
      <c r="F182" s="339">
        <v>20</v>
      </c>
      <c r="G182" s="339">
        <v>12</v>
      </c>
      <c r="H182" s="339"/>
      <c r="I182" s="339">
        <f>4+14+44</f>
        <v>62</v>
      </c>
      <c r="J182" s="340"/>
      <c r="K182" s="340">
        <v>98</v>
      </c>
      <c r="L182" s="340"/>
      <c r="M182" s="340"/>
      <c r="N182" s="340"/>
      <c r="O182" s="478"/>
      <c r="P182" s="331"/>
      <c r="R182" s="338">
        <v>12</v>
      </c>
      <c r="S182" s="341"/>
      <c r="T182" s="341"/>
      <c r="U182" s="341"/>
      <c r="V182" s="341"/>
      <c r="W182" s="341"/>
      <c r="X182" s="480"/>
      <c r="AA182" s="338">
        <v>12</v>
      </c>
      <c r="AB182" s="341"/>
      <c r="AC182" s="341"/>
      <c r="AD182" s="341"/>
      <c r="AE182" s="341"/>
      <c r="AF182" s="341"/>
      <c r="AG182" s="341"/>
      <c r="AH182" s="341"/>
      <c r="AI182" s="480"/>
      <c r="AL182" s="338">
        <v>12</v>
      </c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3"/>
    </row>
    <row r="183" spans="2:49" ht="14.45" customHeight="1">
      <c r="B183" s="338">
        <v>13</v>
      </c>
      <c r="C183" s="338"/>
      <c r="D183" s="338">
        <v>60</v>
      </c>
      <c r="E183" s="339">
        <v>16</v>
      </c>
      <c r="F183" s="339">
        <v>15</v>
      </c>
      <c r="G183" s="339">
        <v>58</v>
      </c>
      <c r="H183" s="339">
        <v>1.5</v>
      </c>
      <c r="I183" s="339">
        <v>30</v>
      </c>
      <c r="J183" s="340"/>
      <c r="K183" s="340">
        <v>4</v>
      </c>
      <c r="L183" s="340"/>
      <c r="M183" s="340"/>
      <c r="N183" s="340"/>
      <c r="O183" s="478"/>
      <c r="P183" s="331"/>
      <c r="R183" s="338">
        <v>13</v>
      </c>
      <c r="S183" s="341"/>
      <c r="T183" s="341"/>
      <c r="U183" s="341"/>
      <c r="V183" s="341"/>
      <c r="W183" s="341"/>
      <c r="X183" s="480"/>
      <c r="AA183" s="338">
        <v>13</v>
      </c>
      <c r="AB183" s="341"/>
      <c r="AC183" s="341"/>
      <c r="AD183" s="341"/>
      <c r="AE183" s="341"/>
      <c r="AF183" s="341"/>
      <c r="AG183" s="341"/>
      <c r="AH183" s="341"/>
      <c r="AI183" s="480"/>
      <c r="AL183" s="338">
        <v>13</v>
      </c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3"/>
    </row>
    <row r="184" spans="2:49" ht="14.45" customHeight="1">
      <c r="B184" s="338">
        <v>14</v>
      </c>
      <c r="C184" s="338" t="s">
        <v>228</v>
      </c>
      <c r="D184" s="338"/>
      <c r="E184" s="339"/>
      <c r="F184" s="339">
        <v>5</v>
      </c>
      <c r="G184" s="339">
        <v>78</v>
      </c>
      <c r="H184" s="339"/>
      <c r="I184" s="339">
        <v>60</v>
      </c>
      <c r="J184" s="340"/>
      <c r="K184" s="340">
        <v>60.2</v>
      </c>
      <c r="L184" s="340"/>
      <c r="M184" s="340"/>
      <c r="N184" s="340"/>
      <c r="O184" s="478"/>
      <c r="P184" s="331"/>
      <c r="R184" s="338">
        <v>14</v>
      </c>
      <c r="S184" s="341"/>
      <c r="T184" s="341"/>
      <c r="U184" s="341"/>
      <c r="V184" s="341"/>
      <c r="W184" s="341"/>
      <c r="X184" s="480"/>
      <c r="AA184" s="338">
        <v>14</v>
      </c>
      <c r="AB184" s="341"/>
      <c r="AC184" s="341"/>
      <c r="AD184" s="341"/>
      <c r="AE184" s="341"/>
      <c r="AF184" s="341"/>
      <c r="AG184" s="341"/>
      <c r="AH184" s="341"/>
      <c r="AI184" s="480"/>
      <c r="AL184" s="338">
        <v>14</v>
      </c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3"/>
    </row>
    <row r="185" spans="2:49" ht="14.45" customHeight="1">
      <c r="B185" s="338">
        <v>15</v>
      </c>
      <c r="C185" s="338"/>
      <c r="D185" s="338"/>
      <c r="E185" s="339"/>
      <c r="F185" s="339"/>
      <c r="G185" s="339"/>
      <c r="H185" s="339"/>
      <c r="I185" s="339"/>
      <c r="J185" s="340"/>
      <c r="K185" s="340"/>
      <c r="L185" s="340"/>
      <c r="M185" s="340"/>
      <c r="N185" s="340"/>
      <c r="O185" s="478"/>
      <c r="P185" s="331"/>
      <c r="R185" s="338">
        <v>15</v>
      </c>
      <c r="S185" s="341"/>
      <c r="T185" s="341"/>
      <c r="U185" s="341"/>
      <c r="V185" s="341"/>
      <c r="W185" s="341"/>
      <c r="X185" s="480"/>
      <c r="AA185" s="338">
        <v>15</v>
      </c>
      <c r="AB185" s="341"/>
      <c r="AC185" s="341"/>
      <c r="AD185" s="341"/>
      <c r="AE185" s="341"/>
      <c r="AF185" s="341"/>
      <c r="AG185" s="341"/>
      <c r="AH185" s="341"/>
      <c r="AI185" s="480"/>
      <c r="AL185" s="338">
        <v>15</v>
      </c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3"/>
    </row>
    <row r="186" spans="2:49" ht="14.45" customHeight="1">
      <c r="B186" s="338">
        <v>16</v>
      </c>
      <c r="C186" s="338"/>
      <c r="D186" s="338"/>
      <c r="E186" s="339"/>
      <c r="F186" s="339">
        <v>3</v>
      </c>
      <c r="G186" s="339">
        <v>90</v>
      </c>
      <c r="H186" s="339"/>
      <c r="I186" s="339">
        <v>12</v>
      </c>
      <c r="J186" s="340"/>
      <c r="K186" s="340">
        <f>10+48+12</f>
        <v>70</v>
      </c>
      <c r="L186" s="340"/>
      <c r="M186" s="340"/>
      <c r="N186" s="340"/>
      <c r="O186" s="478"/>
      <c r="P186" s="331"/>
      <c r="R186" s="338">
        <v>16</v>
      </c>
      <c r="S186" s="341"/>
      <c r="T186" s="341"/>
      <c r="U186" s="341"/>
      <c r="V186" s="341"/>
      <c r="W186" s="341"/>
      <c r="X186" s="480"/>
      <c r="AA186" s="338">
        <v>16</v>
      </c>
      <c r="AB186" s="341"/>
      <c r="AC186" s="341"/>
      <c r="AD186" s="341"/>
      <c r="AE186" s="341"/>
      <c r="AF186" s="341"/>
      <c r="AG186" s="341"/>
      <c r="AH186" s="341"/>
      <c r="AI186" s="480"/>
      <c r="AL186" s="338">
        <v>16</v>
      </c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3"/>
    </row>
    <row r="187" spans="2:49" ht="14.45" customHeight="1">
      <c r="B187" s="338">
        <v>17</v>
      </c>
      <c r="C187" s="338">
        <v>60</v>
      </c>
      <c r="D187" s="338">
        <v>70</v>
      </c>
      <c r="E187" s="339">
        <v>22</v>
      </c>
      <c r="F187" s="339"/>
      <c r="G187" s="339">
        <v>19</v>
      </c>
      <c r="H187" s="339"/>
      <c r="I187" s="339">
        <v>20</v>
      </c>
      <c r="J187" s="340"/>
      <c r="K187" s="339">
        <f>10+3+14+16.2+16.1</f>
        <v>59.300000000000004</v>
      </c>
      <c r="L187" s="362"/>
      <c r="M187" s="340"/>
      <c r="N187" s="340"/>
      <c r="O187" s="478"/>
      <c r="P187" s="331"/>
      <c r="R187" s="338">
        <v>17</v>
      </c>
      <c r="S187" s="341"/>
      <c r="T187" s="341"/>
      <c r="U187" s="341"/>
      <c r="V187" s="341"/>
      <c r="W187" s="341"/>
      <c r="X187" s="480"/>
      <c r="AA187" s="338">
        <v>17</v>
      </c>
      <c r="AB187" s="341"/>
      <c r="AC187" s="341"/>
      <c r="AD187" s="341">
        <v>1200</v>
      </c>
      <c r="AE187" s="341">
        <v>1000</v>
      </c>
      <c r="AF187" s="341"/>
      <c r="AG187" s="341"/>
      <c r="AH187" s="341"/>
      <c r="AI187" s="480"/>
      <c r="AL187" s="338">
        <v>17</v>
      </c>
      <c r="AM187" s="341"/>
      <c r="AN187" s="341">
        <v>2000</v>
      </c>
      <c r="AO187" s="341"/>
      <c r="AP187" s="341">
        <v>2500</v>
      </c>
      <c r="AQ187" s="341">
        <v>2000</v>
      </c>
      <c r="AR187" s="341">
        <v>3000</v>
      </c>
      <c r="AS187" s="341"/>
      <c r="AT187" s="341"/>
      <c r="AU187" s="341"/>
      <c r="AV187" s="341"/>
      <c r="AW187" s="343"/>
    </row>
    <row r="188" spans="2:49" ht="14.45" customHeight="1">
      <c r="B188" s="338">
        <v>18</v>
      </c>
      <c r="C188" s="338"/>
      <c r="D188" s="338"/>
      <c r="E188" s="339">
        <v>40</v>
      </c>
      <c r="F188" s="339"/>
      <c r="G188" s="339">
        <v>44</v>
      </c>
      <c r="H188" s="339"/>
      <c r="I188" s="339">
        <v>38</v>
      </c>
      <c r="J188" s="340"/>
      <c r="K188" s="340">
        <v>13</v>
      </c>
      <c r="L188" s="340"/>
      <c r="M188" s="340"/>
      <c r="N188" s="340"/>
      <c r="O188" s="478"/>
      <c r="P188" s="331"/>
      <c r="R188" s="338">
        <v>18</v>
      </c>
      <c r="S188" s="341"/>
      <c r="T188" s="341"/>
      <c r="U188" s="341"/>
      <c r="V188" s="341"/>
      <c r="W188" s="341"/>
      <c r="X188" s="480"/>
      <c r="AA188" s="338">
        <v>18</v>
      </c>
      <c r="AB188" s="341"/>
      <c r="AC188" s="341"/>
      <c r="AD188" s="341"/>
      <c r="AE188" s="341">
        <v>7000</v>
      </c>
      <c r="AF188" s="341"/>
      <c r="AG188" s="341"/>
      <c r="AH188" s="341"/>
      <c r="AI188" s="480"/>
      <c r="AL188" s="338">
        <v>18</v>
      </c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3"/>
    </row>
    <row r="189" spans="2:49" ht="14.45" customHeight="1">
      <c r="B189" s="338">
        <v>19</v>
      </c>
      <c r="C189" s="338"/>
      <c r="D189" s="338"/>
      <c r="E189" s="338"/>
      <c r="F189" s="338"/>
      <c r="G189" s="338">
        <v>1.5</v>
      </c>
      <c r="H189" s="338"/>
      <c r="I189" s="338">
        <v>11</v>
      </c>
      <c r="J189" s="338"/>
      <c r="K189" s="338">
        <f>10+6.7+6.7+7.35+7.35+2.5+2.5+4.87+4.857+4.87+4.87</f>
        <v>62.566999999999993</v>
      </c>
      <c r="L189" s="338"/>
      <c r="M189" s="338"/>
      <c r="N189" s="338"/>
      <c r="O189" s="478"/>
      <c r="P189" s="331"/>
      <c r="R189" s="338">
        <v>19</v>
      </c>
      <c r="S189" s="341"/>
      <c r="T189" s="341"/>
      <c r="U189" s="341"/>
      <c r="V189" s="341"/>
      <c r="W189" s="341"/>
      <c r="X189" s="480"/>
      <c r="AA189" s="338">
        <v>19</v>
      </c>
      <c r="AB189" s="341"/>
      <c r="AC189" s="341"/>
      <c r="AD189" s="341"/>
      <c r="AE189" s="341">
        <v>2500</v>
      </c>
      <c r="AF189" s="341"/>
      <c r="AG189" s="341"/>
      <c r="AH189" s="341"/>
      <c r="AI189" s="480"/>
      <c r="AL189" s="338">
        <v>19</v>
      </c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3"/>
    </row>
    <row r="190" spans="2:49" ht="14.45" customHeight="1">
      <c r="B190" s="338">
        <v>20</v>
      </c>
      <c r="C190" s="338">
        <v>40</v>
      </c>
      <c r="D190" s="338"/>
      <c r="E190" s="338"/>
      <c r="F190" s="338"/>
      <c r="G190" s="338">
        <v>5</v>
      </c>
      <c r="H190" s="338"/>
      <c r="I190" s="338">
        <v>20</v>
      </c>
      <c r="J190" s="338">
        <v>6</v>
      </c>
      <c r="K190" s="338">
        <v>14</v>
      </c>
      <c r="L190" s="338"/>
      <c r="M190" s="338">
        <v>2.2000000000000002</v>
      </c>
      <c r="N190" s="338"/>
      <c r="O190" s="478"/>
      <c r="P190" s="331"/>
      <c r="R190" s="338">
        <v>20</v>
      </c>
      <c r="S190" s="341"/>
      <c r="T190" s="341"/>
      <c r="U190" s="341"/>
      <c r="V190" s="341"/>
      <c r="W190" s="341"/>
      <c r="X190" s="480"/>
      <c r="AA190" s="338">
        <v>20</v>
      </c>
      <c r="AB190" s="341"/>
      <c r="AC190" s="341"/>
      <c r="AD190" s="341"/>
      <c r="AE190" s="341"/>
      <c r="AF190" s="341"/>
      <c r="AG190" s="341"/>
      <c r="AH190" s="341"/>
      <c r="AI190" s="480"/>
      <c r="AL190" s="338">
        <v>20</v>
      </c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3"/>
    </row>
    <row r="191" spans="2:49" ht="14.45" customHeight="1">
      <c r="B191" s="338">
        <v>21</v>
      </c>
      <c r="C191" s="338">
        <v>5</v>
      </c>
      <c r="D191" s="338">
        <v>3</v>
      </c>
      <c r="E191" s="338">
        <f>18+20+25</f>
        <v>63</v>
      </c>
      <c r="F191" s="338"/>
      <c r="G191" s="338">
        <v>14</v>
      </c>
      <c r="H191" s="338"/>
      <c r="I191" s="338">
        <v>55</v>
      </c>
      <c r="J191" s="338">
        <v>3</v>
      </c>
      <c r="K191" s="338">
        <v>100</v>
      </c>
      <c r="L191" s="338">
        <v>20</v>
      </c>
      <c r="M191" s="338"/>
      <c r="N191" s="338"/>
      <c r="O191" s="478"/>
      <c r="P191" s="331"/>
      <c r="R191" s="338">
        <v>21</v>
      </c>
      <c r="S191" s="341"/>
      <c r="T191" s="341"/>
      <c r="U191" s="341"/>
      <c r="V191" s="341"/>
      <c r="W191" s="341"/>
      <c r="X191" s="480"/>
      <c r="AA191" s="338">
        <v>21</v>
      </c>
      <c r="AB191" s="341"/>
      <c r="AC191" s="341"/>
      <c r="AD191" s="341"/>
      <c r="AE191" s="341"/>
      <c r="AF191" s="341"/>
      <c r="AG191" s="341"/>
      <c r="AH191" s="341"/>
      <c r="AI191" s="480"/>
      <c r="AL191" s="338">
        <v>21</v>
      </c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3"/>
    </row>
    <row r="192" spans="2:49" ht="14.45" customHeight="1">
      <c r="B192" s="338">
        <v>22</v>
      </c>
      <c r="C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478"/>
      <c r="P192" s="331"/>
      <c r="R192" s="338">
        <v>22</v>
      </c>
      <c r="S192" s="341"/>
      <c r="T192" s="341"/>
      <c r="U192" s="341"/>
      <c r="V192" s="341"/>
      <c r="W192" s="341"/>
      <c r="X192" s="480"/>
      <c r="AA192" s="338">
        <v>22</v>
      </c>
      <c r="AB192" s="341"/>
      <c r="AC192" s="341"/>
      <c r="AD192" s="341"/>
      <c r="AE192" s="341"/>
      <c r="AF192" s="341"/>
      <c r="AG192" s="341"/>
      <c r="AH192" s="341"/>
      <c r="AI192" s="480"/>
      <c r="AL192" s="338">
        <v>22</v>
      </c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3"/>
    </row>
    <row r="193" spans="1:49" ht="14.45" customHeight="1">
      <c r="B193" s="338">
        <v>23</v>
      </c>
      <c r="C193" s="338">
        <v>1</v>
      </c>
      <c r="D193" s="338"/>
      <c r="E193" s="339">
        <v>22</v>
      </c>
      <c r="F193" s="339"/>
      <c r="G193" s="339">
        <v>30</v>
      </c>
      <c r="H193" s="339"/>
      <c r="I193" s="339">
        <f>20+8+72+35+30+15</f>
        <v>180</v>
      </c>
      <c r="J193" s="340"/>
      <c r="K193" s="340">
        <f>10+4+70+3</f>
        <v>87</v>
      </c>
      <c r="L193" s="340"/>
      <c r="M193" s="340">
        <v>4</v>
      </c>
      <c r="N193" s="340"/>
      <c r="O193" s="478"/>
      <c r="P193" s="331"/>
      <c r="R193" s="338">
        <v>23</v>
      </c>
      <c r="S193" s="341"/>
      <c r="T193" s="341"/>
      <c r="U193" s="341"/>
      <c r="V193" s="341"/>
      <c r="W193" s="341"/>
      <c r="X193" s="480"/>
      <c r="AA193" s="338">
        <v>23</v>
      </c>
      <c r="AB193" s="341"/>
      <c r="AC193" s="341"/>
      <c r="AD193" s="341"/>
      <c r="AE193" s="341"/>
      <c r="AF193" s="341"/>
      <c r="AG193" s="341"/>
      <c r="AH193" s="341"/>
      <c r="AI193" s="480"/>
      <c r="AL193" s="338">
        <v>23</v>
      </c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3"/>
    </row>
    <row r="194" spans="1:49" ht="14.45" customHeight="1">
      <c r="B194" s="338">
        <v>24</v>
      </c>
      <c r="C194" s="338"/>
      <c r="D194" s="338"/>
      <c r="E194" s="339">
        <v>7</v>
      </c>
      <c r="F194" s="339"/>
      <c r="G194" s="339">
        <v>143</v>
      </c>
      <c r="H194" s="339"/>
      <c r="I194" s="339">
        <v>12</v>
      </c>
      <c r="J194" s="340"/>
      <c r="K194" s="340"/>
      <c r="L194" s="340"/>
      <c r="M194" s="340">
        <v>42</v>
      </c>
      <c r="N194" s="340"/>
      <c r="O194" s="478"/>
      <c r="P194" s="331"/>
      <c r="R194" s="338">
        <v>24</v>
      </c>
      <c r="S194" s="341"/>
      <c r="T194" s="341"/>
      <c r="U194" s="341"/>
      <c r="V194" s="341"/>
      <c r="W194" s="341"/>
      <c r="X194" s="480"/>
      <c r="AA194" s="338">
        <v>24</v>
      </c>
      <c r="AB194" s="341"/>
      <c r="AC194" s="341"/>
      <c r="AD194" s="341"/>
      <c r="AE194" s="341"/>
      <c r="AF194" s="341"/>
      <c r="AG194" s="341"/>
      <c r="AH194" s="341"/>
      <c r="AI194" s="480"/>
      <c r="AL194" s="338">
        <v>24</v>
      </c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3"/>
    </row>
    <row r="195" spans="1:49" ht="14.45" customHeight="1">
      <c r="B195" s="338">
        <v>25</v>
      </c>
      <c r="C195" s="338"/>
      <c r="D195" s="338">
        <v>7</v>
      </c>
      <c r="E195" s="339">
        <v>61</v>
      </c>
      <c r="F195" s="339"/>
      <c r="G195" s="339">
        <v>29</v>
      </c>
      <c r="H195" s="339"/>
      <c r="I195" s="339">
        <v>12</v>
      </c>
      <c r="J195" s="339"/>
      <c r="K195" s="325">
        <f>5+4+25+5+4</f>
        <v>43</v>
      </c>
      <c r="L195" s="339"/>
      <c r="M195" s="339">
        <v>74</v>
      </c>
      <c r="N195" s="340"/>
      <c r="O195" s="478"/>
      <c r="P195" s="331"/>
      <c r="R195" s="338">
        <v>25</v>
      </c>
      <c r="S195" s="341"/>
      <c r="T195" s="341"/>
      <c r="U195" s="341"/>
      <c r="V195" s="341"/>
      <c r="W195" s="341"/>
      <c r="X195" s="480"/>
      <c r="AA195" s="338">
        <v>25</v>
      </c>
      <c r="AB195" s="341"/>
      <c r="AC195" s="341"/>
      <c r="AD195" s="341"/>
      <c r="AE195" s="341"/>
      <c r="AF195" s="341"/>
      <c r="AG195" s="341"/>
      <c r="AH195" s="341"/>
      <c r="AI195" s="480"/>
      <c r="AL195" s="338">
        <v>25</v>
      </c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3"/>
    </row>
    <row r="196" spans="1:49" ht="14.45" customHeight="1">
      <c r="B196" s="338">
        <v>26</v>
      </c>
      <c r="C196" s="338"/>
      <c r="D196" s="362"/>
      <c r="E196" s="362">
        <v>68</v>
      </c>
      <c r="F196" s="362"/>
      <c r="G196" s="362">
        <v>9</v>
      </c>
      <c r="H196" s="362"/>
      <c r="I196" s="363">
        <f>2+30+30+5</f>
        <v>67</v>
      </c>
      <c r="J196" s="362"/>
      <c r="K196" s="362">
        <f>3+20+50+20+4</f>
        <v>97</v>
      </c>
      <c r="L196" s="362"/>
      <c r="M196" s="362">
        <f>30+20+10+20</f>
        <v>80</v>
      </c>
      <c r="N196" s="339">
        <v>2</v>
      </c>
      <c r="O196" s="478"/>
      <c r="P196" s="331"/>
      <c r="R196" s="338">
        <v>26</v>
      </c>
      <c r="S196" s="341"/>
      <c r="T196" s="341"/>
      <c r="U196" s="341"/>
      <c r="V196" s="341"/>
      <c r="W196" s="341"/>
      <c r="X196" s="480"/>
      <c r="AA196" s="338">
        <v>26</v>
      </c>
      <c r="AB196" s="341"/>
      <c r="AC196" s="341"/>
      <c r="AD196" s="341"/>
      <c r="AE196" s="341"/>
      <c r="AF196" s="341"/>
      <c r="AG196" s="341"/>
      <c r="AH196" s="341"/>
      <c r="AI196" s="480"/>
      <c r="AL196" s="338">
        <v>26</v>
      </c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3"/>
    </row>
    <row r="197" spans="1:49" ht="14.45" customHeight="1">
      <c r="B197" s="338">
        <v>27</v>
      </c>
      <c r="C197" s="362"/>
      <c r="D197" s="362"/>
      <c r="E197" s="362">
        <v>11</v>
      </c>
      <c r="F197" s="362"/>
      <c r="G197" s="362">
        <f>13+5+25+2</f>
        <v>45</v>
      </c>
      <c r="H197" s="362"/>
      <c r="I197" s="363">
        <f>12+35+20+30</f>
        <v>97</v>
      </c>
      <c r="J197" s="362"/>
      <c r="K197" s="362">
        <f>50+30+1+5</f>
        <v>86</v>
      </c>
      <c r="L197" s="362"/>
      <c r="M197" s="362">
        <f>10+2</f>
        <v>12</v>
      </c>
      <c r="N197" s="339"/>
      <c r="O197" s="478"/>
      <c r="P197" s="331"/>
      <c r="R197" s="338">
        <v>27</v>
      </c>
      <c r="S197" s="341"/>
      <c r="T197" s="341"/>
      <c r="U197" s="341"/>
      <c r="V197" s="341"/>
      <c r="W197" s="341"/>
      <c r="X197" s="480"/>
      <c r="AA197" s="338">
        <v>27</v>
      </c>
      <c r="AB197" s="341"/>
      <c r="AC197" s="341"/>
      <c r="AD197" s="341"/>
      <c r="AE197" s="341"/>
      <c r="AF197" s="341"/>
      <c r="AG197" s="341"/>
      <c r="AH197" s="341"/>
      <c r="AI197" s="480"/>
      <c r="AL197" s="338">
        <v>27</v>
      </c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3"/>
    </row>
    <row r="198" spans="1:49" ht="14.45" customHeight="1">
      <c r="B198" s="338">
        <v>28</v>
      </c>
      <c r="C198" s="346"/>
      <c r="D198" s="346"/>
      <c r="E198" s="347"/>
      <c r="F198" s="347"/>
      <c r="G198" s="346">
        <v>55</v>
      </c>
      <c r="H198" s="347"/>
      <c r="I198" s="347">
        <v>50</v>
      </c>
      <c r="J198" s="340"/>
      <c r="K198" s="348">
        <v>120</v>
      </c>
      <c r="L198" s="348">
        <f>2.64+2.19</f>
        <v>4.83</v>
      </c>
      <c r="M198" s="340">
        <v>20</v>
      </c>
      <c r="N198" s="340">
        <f>2.64+2.64</f>
        <v>5.28</v>
      </c>
      <c r="O198" s="478"/>
      <c r="P198" s="331"/>
      <c r="R198" s="338">
        <v>28</v>
      </c>
      <c r="S198" s="341"/>
      <c r="T198" s="341"/>
      <c r="U198" s="341"/>
      <c r="V198" s="341"/>
      <c r="W198" s="341"/>
      <c r="X198" s="480"/>
      <c r="AA198" s="338">
        <v>28</v>
      </c>
      <c r="AB198" s="341"/>
      <c r="AC198" s="341"/>
      <c r="AD198" s="341"/>
      <c r="AE198" s="341"/>
      <c r="AF198" s="341"/>
      <c r="AG198" s="341"/>
      <c r="AH198" s="341"/>
      <c r="AI198" s="480"/>
      <c r="AL198" s="338">
        <v>28</v>
      </c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3"/>
    </row>
    <row r="199" spans="1:49" ht="14.45" customHeight="1">
      <c r="B199" s="338">
        <v>29</v>
      </c>
      <c r="C199" s="338"/>
      <c r="D199" s="338"/>
      <c r="E199" s="339"/>
      <c r="F199" s="339"/>
      <c r="G199" s="350"/>
      <c r="H199" s="350"/>
      <c r="I199" s="350"/>
      <c r="J199" s="340"/>
      <c r="K199" s="351"/>
      <c r="L199" s="351"/>
      <c r="M199" s="340"/>
      <c r="N199" s="340"/>
      <c r="O199" s="478"/>
      <c r="P199" s="331"/>
      <c r="R199" s="338">
        <v>29</v>
      </c>
      <c r="S199" s="341"/>
      <c r="T199" s="341"/>
      <c r="U199" s="341"/>
      <c r="V199" s="341"/>
      <c r="W199" s="341"/>
      <c r="X199" s="480"/>
      <c r="AA199" s="338">
        <v>29</v>
      </c>
      <c r="AB199" s="341"/>
      <c r="AC199" s="341"/>
      <c r="AD199" s="341"/>
      <c r="AE199" s="341"/>
      <c r="AF199" s="341"/>
      <c r="AG199" s="341"/>
      <c r="AH199" s="341"/>
      <c r="AI199" s="480"/>
      <c r="AL199" s="338">
        <v>29</v>
      </c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3"/>
    </row>
    <row r="200" spans="1:49" ht="14.45" customHeight="1">
      <c r="B200" s="338">
        <v>30</v>
      </c>
      <c r="C200" s="349"/>
      <c r="D200" s="349"/>
      <c r="E200" s="350"/>
      <c r="F200" s="350"/>
      <c r="G200" s="338"/>
      <c r="H200" s="338"/>
      <c r="I200" s="339"/>
      <c r="J200" s="339"/>
      <c r="K200" s="338"/>
      <c r="L200" s="338"/>
      <c r="M200" s="350"/>
      <c r="N200" s="339"/>
      <c r="O200" s="478"/>
      <c r="P200" s="331"/>
      <c r="R200" s="338">
        <v>30</v>
      </c>
      <c r="S200" s="341"/>
      <c r="T200" s="341"/>
      <c r="U200" s="341"/>
      <c r="V200" s="341"/>
      <c r="W200" s="341"/>
      <c r="X200" s="480"/>
      <c r="AA200" s="338">
        <v>30</v>
      </c>
      <c r="AB200" s="341"/>
      <c r="AC200" s="341"/>
      <c r="AD200" s="341"/>
      <c r="AE200" s="341"/>
      <c r="AF200" s="341"/>
      <c r="AG200" s="341"/>
      <c r="AH200" s="341"/>
      <c r="AI200" s="480"/>
      <c r="AL200" s="338">
        <v>30</v>
      </c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3"/>
    </row>
    <row r="201" spans="1:49" ht="14.45" customHeight="1">
      <c r="B201" s="338">
        <v>31</v>
      </c>
      <c r="F201" s="350"/>
      <c r="G201" s="350"/>
      <c r="H201" s="350"/>
      <c r="I201" s="350"/>
      <c r="J201" s="340"/>
      <c r="K201" s="349"/>
      <c r="L201" s="349"/>
      <c r="N201" s="340"/>
      <c r="O201" s="478"/>
      <c r="P201" s="331"/>
      <c r="R201" s="338">
        <v>31</v>
      </c>
      <c r="S201" s="352"/>
      <c r="T201" s="352"/>
      <c r="U201" s="352"/>
      <c r="V201" s="352"/>
      <c r="W201" s="352"/>
      <c r="X201" s="480"/>
      <c r="AA201" s="338">
        <v>31</v>
      </c>
      <c r="AB201" s="352"/>
      <c r="AC201" s="352"/>
      <c r="AD201" s="352"/>
      <c r="AE201" s="352"/>
      <c r="AF201" s="352"/>
      <c r="AG201" s="352"/>
      <c r="AH201" s="352"/>
      <c r="AI201" s="480"/>
      <c r="AL201" s="338">
        <v>31</v>
      </c>
      <c r="AM201" s="352"/>
      <c r="AN201" s="352"/>
      <c r="AO201" s="352"/>
      <c r="AP201" s="352"/>
      <c r="AQ201" s="352"/>
      <c r="AR201" s="352"/>
      <c r="AS201" s="352"/>
      <c r="AT201" s="352"/>
      <c r="AU201" s="352"/>
      <c r="AV201" s="352"/>
      <c r="AW201" s="343"/>
    </row>
    <row r="202" spans="1:49" s="7" customFormat="1" ht="32.450000000000003" customHeight="1">
      <c r="A202" s="332"/>
      <c r="B202" s="353" t="s">
        <v>16</v>
      </c>
      <c r="C202" s="354">
        <f>+SUM(C171:C201)</f>
        <v>229</v>
      </c>
      <c r="D202" s="354">
        <f t="shared" ref="D202:N202" si="9">+SUM(D171:D201)</f>
        <v>231</v>
      </c>
      <c r="E202" s="354">
        <f t="shared" si="9"/>
        <v>576</v>
      </c>
      <c r="F202" s="354">
        <f t="shared" si="9"/>
        <v>49.2</v>
      </c>
      <c r="G202" s="354">
        <f t="shared" si="9"/>
        <v>1094.5</v>
      </c>
      <c r="H202" s="354">
        <f t="shared" si="9"/>
        <v>1.5</v>
      </c>
      <c r="I202" s="354">
        <f t="shared" si="9"/>
        <v>1494</v>
      </c>
      <c r="J202" s="354">
        <f t="shared" si="9"/>
        <v>9</v>
      </c>
      <c r="K202" s="354">
        <f t="shared" si="9"/>
        <v>2017.7670000000001</v>
      </c>
      <c r="L202" s="354">
        <f t="shared" si="9"/>
        <v>24.83</v>
      </c>
      <c r="M202" s="354">
        <f t="shared" si="9"/>
        <v>375</v>
      </c>
      <c r="N202" s="354">
        <f t="shared" si="9"/>
        <v>7.28</v>
      </c>
      <c r="O202" s="478"/>
      <c r="P202" s="331"/>
      <c r="Q202" s="325"/>
      <c r="R202" s="353" t="s">
        <v>16</v>
      </c>
      <c r="S202" s="352">
        <f>SUM(S171:S201)</f>
        <v>0</v>
      </c>
      <c r="T202" s="352">
        <f>SUM(T171:T201)</f>
        <v>0</v>
      </c>
      <c r="U202" s="352">
        <f>SUM(U171:U201)</f>
        <v>0</v>
      </c>
      <c r="V202" s="352">
        <f>SUM(V171:V201)</f>
        <v>0</v>
      </c>
      <c r="W202" s="352">
        <f>SUM(W171:W201)</f>
        <v>0</v>
      </c>
      <c r="X202" s="482"/>
      <c r="Y202" s="493"/>
      <c r="Z202" s="325"/>
      <c r="AA202" s="353" t="s">
        <v>16</v>
      </c>
      <c r="AB202" s="352">
        <f>SUM(AB171:AB201)</f>
        <v>0</v>
      </c>
      <c r="AC202" s="352">
        <f>SUM(AC171:AC201)</f>
        <v>0</v>
      </c>
      <c r="AD202" s="352">
        <f>SUM(AD171:AD201)</f>
        <v>1200</v>
      </c>
      <c r="AE202" s="352">
        <f>SUM(AE171:AE201)</f>
        <v>10500</v>
      </c>
      <c r="AF202" s="352"/>
      <c r="AG202" s="352"/>
      <c r="AH202" s="352">
        <f>SUM(AH171:AH201)</f>
        <v>0</v>
      </c>
      <c r="AI202" s="482"/>
      <c r="AJ202" s="493"/>
      <c r="AK202" s="325"/>
      <c r="AL202" s="353" t="s">
        <v>16</v>
      </c>
      <c r="AM202" s="352">
        <f>SUM(AM171:AM201)</f>
        <v>0</v>
      </c>
      <c r="AN202" s="352">
        <f t="shared" ref="AN202:AS202" si="10">SUM(AN171:AN201)</f>
        <v>2000</v>
      </c>
      <c r="AO202" s="352">
        <f t="shared" si="10"/>
        <v>0</v>
      </c>
      <c r="AP202" s="352">
        <f t="shared" si="10"/>
        <v>2500</v>
      </c>
      <c r="AQ202" s="352">
        <f t="shared" si="10"/>
        <v>2000</v>
      </c>
      <c r="AR202" s="352">
        <f t="shared" si="10"/>
        <v>3000</v>
      </c>
      <c r="AS202" s="352">
        <f t="shared" si="10"/>
        <v>0</v>
      </c>
      <c r="AT202" s="352"/>
      <c r="AU202" s="352">
        <f>SUM(AU171:AU201)</f>
        <v>0</v>
      </c>
      <c r="AV202" s="352">
        <f>SUM(AV171:AV201)</f>
        <v>0</v>
      </c>
      <c r="AW202" s="356"/>
    </row>
    <row r="204" spans="1:49" ht="14.45" customHeight="1">
      <c r="A204" s="732">
        <v>46084</v>
      </c>
      <c r="B204" s="338">
        <v>1</v>
      </c>
      <c r="C204" s="338"/>
      <c r="D204" s="338"/>
      <c r="E204" s="339"/>
      <c r="F204" s="339"/>
      <c r="G204" s="339"/>
      <c r="H204" s="339"/>
      <c r="I204" s="339"/>
      <c r="J204" s="340"/>
      <c r="K204" s="341"/>
      <c r="L204" s="340"/>
      <c r="M204" s="340"/>
      <c r="N204" s="340"/>
      <c r="O204" s="731">
        <f>+C235+D235+E235+F235+G235+H235+I235+J235+K235+L235+M235+N235</f>
        <v>4213.4799999999996</v>
      </c>
      <c r="P204" s="331"/>
      <c r="R204" s="338">
        <v>1</v>
      </c>
      <c r="S204" s="341"/>
      <c r="T204" s="341"/>
      <c r="U204" s="341"/>
      <c r="V204" s="341"/>
      <c r="W204" s="341"/>
      <c r="X204" s="479">
        <f>SUM(S235:X235)</f>
        <v>0</v>
      </c>
      <c r="AA204" s="338">
        <v>1</v>
      </c>
      <c r="AB204" s="341"/>
      <c r="AC204" s="341"/>
      <c r="AD204" s="341"/>
      <c r="AE204" s="341"/>
      <c r="AF204" s="341"/>
      <c r="AG204" s="341"/>
      <c r="AH204" s="341"/>
      <c r="AI204" s="479">
        <f>SUM(AB235:AI235)</f>
        <v>11700</v>
      </c>
      <c r="AL204" s="338">
        <v>1</v>
      </c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2">
        <f>SUM(AM235:AW235)</f>
        <v>9500</v>
      </c>
    </row>
    <row r="205" spans="1:49" ht="14.45" customHeight="1">
      <c r="A205" s="733"/>
      <c r="B205" s="338">
        <v>2</v>
      </c>
      <c r="C205" s="338"/>
      <c r="D205" s="338">
        <v>1</v>
      </c>
      <c r="E205" s="339">
        <v>50</v>
      </c>
      <c r="F205" s="339"/>
      <c r="G205" s="339">
        <v>2</v>
      </c>
      <c r="H205" s="339"/>
      <c r="I205" s="339">
        <v>105</v>
      </c>
      <c r="J205" s="340"/>
      <c r="K205" s="340">
        <v>18</v>
      </c>
      <c r="L205" s="340"/>
      <c r="M205" s="340">
        <v>40</v>
      </c>
      <c r="N205" s="340"/>
      <c r="O205" s="731"/>
      <c r="P205" s="331"/>
      <c r="R205" s="338">
        <v>2</v>
      </c>
      <c r="S205" s="341"/>
      <c r="T205" s="341"/>
      <c r="U205" s="341"/>
      <c r="V205" s="341"/>
      <c r="W205" s="341"/>
      <c r="X205" s="480"/>
      <c r="AA205" s="338">
        <v>2</v>
      </c>
      <c r="AB205" s="341"/>
      <c r="AC205" s="341"/>
      <c r="AD205" s="341"/>
      <c r="AE205" s="341"/>
      <c r="AF205" s="341"/>
      <c r="AG205" s="341"/>
      <c r="AH205" s="341"/>
      <c r="AI205" s="480"/>
      <c r="AL205" s="338">
        <v>2</v>
      </c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3"/>
    </row>
    <row r="206" spans="1:49" ht="14.45" customHeight="1">
      <c r="A206" s="733"/>
      <c r="B206" s="338">
        <v>3</v>
      </c>
      <c r="C206" s="338"/>
      <c r="D206" s="338"/>
      <c r="E206" s="339"/>
      <c r="F206" s="339"/>
      <c r="G206" s="339">
        <v>40</v>
      </c>
      <c r="H206" s="339"/>
      <c r="I206" s="339">
        <v>40</v>
      </c>
      <c r="J206" s="340"/>
      <c r="K206" s="340"/>
      <c r="L206" s="340"/>
      <c r="M206" s="340"/>
      <c r="N206" s="340"/>
      <c r="O206" s="731"/>
      <c r="P206" s="331"/>
      <c r="R206" s="338">
        <v>3</v>
      </c>
      <c r="S206" s="341"/>
      <c r="T206" s="341"/>
      <c r="U206" s="341"/>
      <c r="V206" s="341"/>
      <c r="W206" s="341"/>
      <c r="X206" s="480"/>
      <c r="AA206" s="338">
        <v>3</v>
      </c>
      <c r="AB206" s="341"/>
      <c r="AC206" s="341"/>
      <c r="AD206" s="341"/>
      <c r="AE206" s="341"/>
      <c r="AF206" s="341"/>
      <c r="AG206" s="341"/>
      <c r="AH206" s="341"/>
      <c r="AI206" s="480"/>
      <c r="AL206" s="338">
        <v>3</v>
      </c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3"/>
    </row>
    <row r="207" spans="1:49" ht="14.45" customHeight="1">
      <c r="A207" s="733"/>
      <c r="B207" s="338">
        <v>4</v>
      </c>
      <c r="C207" s="338"/>
      <c r="D207" s="338"/>
      <c r="E207" s="339"/>
      <c r="F207" s="339"/>
      <c r="G207" s="339"/>
      <c r="H207" s="339"/>
      <c r="I207" s="339"/>
      <c r="J207" s="340"/>
      <c r="K207" s="340"/>
      <c r="L207" s="340"/>
      <c r="M207" s="340"/>
      <c r="N207" s="340"/>
      <c r="O207" s="731"/>
      <c r="P207" s="331"/>
      <c r="R207" s="338">
        <v>4</v>
      </c>
      <c r="S207" s="341"/>
      <c r="T207" s="341"/>
      <c r="U207" s="341"/>
      <c r="V207" s="341"/>
      <c r="W207" s="341"/>
      <c r="X207" s="480"/>
      <c r="AA207" s="338">
        <v>4</v>
      </c>
      <c r="AB207" s="341"/>
      <c r="AC207" s="341"/>
      <c r="AD207" s="341"/>
      <c r="AE207" s="341"/>
      <c r="AF207" s="341"/>
      <c r="AG207" s="341"/>
      <c r="AH207" s="341"/>
      <c r="AI207" s="480"/>
      <c r="AL207" s="338">
        <v>4</v>
      </c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3"/>
    </row>
    <row r="208" spans="1:49" ht="14.45" customHeight="1">
      <c r="A208" s="733"/>
      <c r="B208" s="338">
        <v>5</v>
      </c>
      <c r="C208" s="338"/>
      <c r="D208" s="338"/>
      <c r="E208" s="339"/>
      <c r="F208" s="339"/>
      <c r="G208" s="339">
        <v>63</v>
      </c>
      <c r="H208" s="339"/>
      <c r="I208" s="339">
        <v>10</v>
      </c>
      <c r="J208" s="340"/>
      <c r="K208" s="340">
        <v>9</v>
      </c>
      <c r="L208" s="340"/>
      <c r="M208" s="340">
        <v>52</v>
      </c>
      <c r="N208" s="340"/>
      <c r="O208" s="731"/>
      <c r="P208" s="331"/>
      <c r="R208" s="338">
        <v>5</v>
      </c>
      <c r="S208" s="341"/>
      <c r="T208" s="341"/>
      <c r="U208" s="341"/>
      <c r="V208" s="341"/>
      <c r="W208" s="341"/>
      <c r="X208" s="480"/>
      <c r="AA208" s="338">
        <v>5</v>
      </c>
      <c r="AB208" s="341"/>
      <c r="AC208" s="341"/>
      <c r="AD208" s="341"/>
      <c r="AE208" s="341"/>
      <c r="AF208" s="341"/>
      <c r="AG208" s="341"/>
      <c r="AH208" s="341"/>
      <c r="AI208" s="480"/>
      <c r="AL208" s="338">
        <v>5</v>
      </c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3"/>
    </row>
    <row r="209" spans="1:49" ht="14.45" customHeight="1">
      <c r="A209" s="733"/>
      <c r="B209" s="338">
        <v>6</v>
      </c>
      <c r="C209" s="338"/>
      <c r="D209" s="338">
        <v>5.08</v>
      </c>
      <c r="E209" s="339">
        <v>105</v>
      </c>
      <c r="F209" s="339"/>
      <c r="G209" s="339">
        <v>60</v>
      </c>
      <c r="H209" s="339"/>
      <c r="I209" s="339">
        <v>36</v>
      </c>
      <c r="J209" s="340"/>
      <c r="K209" s="340"/>
      <c r="L209" s="340"/>
      <c r="M209" s="340">
        <v>4.5</v>
      </c>
      <c r="N209" s="340"/>
      <c r="O209" s="731"/>
      <c r="P209" s="331"/>
      <c r="R209" s="338">
        <v>6</v>
      </c>
      <c r="S209" s="341"/>
      <c r="T209" s="341"/>
      <c r="U209" s="341"/>
      <c r="V209" s="341"/>
      <c r="W209" s="341"/>
      <c r="X209" s="480"/>
      <c r="AA209" s="338">
        <v>6</v>
      </c>
      <c r="AB209" s="341"/>
      <c r="AC209" s="341"/>
      <c r="AD209" s="341"/>
      <c r="AE209" s="341"/>
      <c r="AF209" s="341"/>
      <c r="AG209" s="341"/>
      <c r="AH209" s="341"/>
      <c r="AI209" s="480"/>
      <c r="AL209" s="338">
        <v>6</v>
      </c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3"/>
    </row>
    <row r="210" spans="1:49" ht="14.45" customHeight="1">
      <c r="A210" s="733"/>
      <c r="B210" s="338">
        <v>7</v>
      </c>
      <c r="C210" s="338"/>
      <c r="D210" s="338">
        <v>2</v>
      </c>
      <c r="E210" s="339"/>
      <c r="F210" s="339"/>
      <c r="G210" s="339">
        <v>25</v>
      </c>
      <c r="H210" s="339"/>
      <c r="I210" s="339">
        <v>31.5</v>
      </c>
      <c r="J210" s="340"/>
      <c r="K210" s="340">
        <v>80</v>
      </c>
      <c r="L210" s="340"/>
      <c r="M210" s="340">
        <v>3.4</v>
      </c>
      <c r="N210" s="340">
        <v>11</v>
      </c>
      <c r="O210" s="731"/>
      <c r="P210" s="331"/>
      <c r="R210" s="338">
        <v>7</v>
      </c>
      <c r="S210" s="341"/>
      <c r="T210" s="341"/>
      <c r="U210" s="341"/>
      <c r="V210" s="341"/>
      <c r="W210" s="341"/>
      <c r="X210" s="480"/>
      <c r="AA210" s="338">
        <v>7</v>
      </c>
      <c r="AB210" s="341"/>
      <c r="AC210" s="341"/>
      <c r="AD210" s="341"/>
      <c r="AE210" s="341"/>
      <c r="AF210" s="341"/>
      <c r="AG210" s="341"/>
      <c r="AH210" s="341"/>
      <c r="AI210" s="480"/>
      <c r="AL210" s="338">
        <v>7</v>
      </c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3"/>
    </row>
    <row r="211" spans="1:49" ht="14.45" customHeight="1">
      <c r="A211" s="733"/>
      <c r="B211" s="338">
        <v>8</v>
      </c>
      <c r="C211" s="338"/>
      <c r="D211" s="338"/>
      <c r="E211" s="339"/>
      <c r="F211" s="339"/>
      <c r="G211" s="339"/>
      <c r="H211" s="339"/>
      <c r="I211" s="339"/>
      <c r="J211" s="340"/>
      <c r="K211" s="340"/>
      <c r="L211" s="340"/>
      <c r="M211" s="340"/>
      <c r="N211" s="340"/>
      <c r="O211" s="731"/>
      <c r="P211" s="331"/>
      <c r="R211" s="338">
        <v>8</v>
      </c>
      <c r="S211" s="341"/>
      <c r="T211" s="341"/>
      <c r="U211" s="341"/>
      <c r="V211" s="341"/>
      <c r="W211" s="341"/>
      <c r="X211" s="480"/>
      <c r="AA211" s="338">
        <v>8</v>
      </c>
      <c r="AB211" s="341"/>
      <c r="AC211" s="341"/>
      <c r="AD211" s="341"/>
      <c r="AE211" s="341"/>
      <c r="AF211" s="341"/>
      <c r="AG211" s="341"/>
      <c r="AH211" s="341"/>
      <c r="AI211" s="480"/>
      <c r="AL211" s="338">
        <v>8</v>
      </c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3"/>
    </row>
    <row r="212" spans="1:49" ht="14.45" customHeight="1">
      <c r="A212" s="733"/>
      <c r="B212" s="338">
        <v>9</v>
      </c>
      <c r="C212" s="338"/>
      <c r="D212" s="338"/>
      <c r="E212" s="339"/>
      <c r="F212" s="339"/>
      <c r="G212" s="339">
        <v>124</v>
      </c>
      <c r="H212" s="339"/>
      <c r="I212" s="339">
        <v>94</v>
      </c>
      <c r="J212" s="340"/>
      <c r="K212" s="340"/>
      <c r="L212" s="340"/>
      <c r="M212" s="340"/>
      <c r="N212" s="340"/>
      <c r="O212" s="731"/>
      <c r="P212" s="331"/>
      <c r="R212" s="338">
        <v>9</v>
      </c>
      <c r="S212" s="341"/>
      <c r="T212" s="341"/>
      <c r="U212" s="341"/>
      <c r="V212" s="341"/>
      <c r="W212" s="341"/>
      <c r="X212" s="480"/>
      <c r="AA212" s="338">
        <v>9</v>
      </c>
      <c r="AB212" s="341"/>
      <c r="AC212" s="341"/>
      <c r="AD212" s="341"/>
      <c r="AE212" s="341"/>
      <c r="AF212" s="341"/>
      <c r="AG212" s="341"/>
      <c r="AH212" s="341"/>
      <c r="AI212" s="480"/>
      <c r="AL212" s="338">
        <v>9</v>
      </c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3"/>
    </row>
    <row r="213" spans="1:49" ht="14.45" customHeight="1">
      <c r="A213" s="733"/>
      <c r="B213" s="338">
        <v>10</v>
      </c>
      <c r="C213" s="338"/>
      <c r="D213" s="338"/>
      <c r="E213" s="339"/>
      <c r="F213" s="339"/>
      <c r="G213" s="339"/>
      <c r="H213" s="339"/>
      <c r="I213" s="339"/>
      <c r="J213" s="340"/>
      <c r="K213" s="340"/>
      <c r="L213" s="340"/>
      <c r="M213" s="340"/>
      <c r="N213" s="340"/>
      <c r="O213" s="731"/>
      <c r="P213" s="331"/>
      <c r="R213" s="338">
        <v>10</v>
      </c>
      <c r="S213" s="341"/>
      <c r="T213" s="341"/>
      <c r="U213" s="341"/>
      <c r="V213" s="364"/>
      <c r="W213" s="341"/>
      <c r="X213" s="480"/>
      <c r="AA213" s="338">
        <v>10</v>
      </c>
      <c r="AB213" s="341"/>
      <c r="AC213" s="341"/>
      <c r="AD213" s="341"/>
      <c r="AE213" s="341"/>
      <c r="AF213" s="341"/>
      <c r="AG213" s="341"/>
      <c r="AH213" s="341"/>
      <c r="AI213" s="480"/>
      <c r="AL213" s="338">
        <v>10</v>
      </c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3"/>
    </row>
    <row r="214" spans="1:49" ht="14.45" customHeight="1">
      <c r="A214" s="733"/>
      <c r="B214" s="338">
        <v>11</v>
      </c>
      <c r="C214" s="338"/>
      <c r="D214" s="338"/>
      <c r="E214" s="339"/>
      <c r="F214" s="339"/>
      <c r="G214" s="339">
        <v>10</v>
      </c>
      <c r="H214" s="339"/>
      <c r="I214" s="339">
        <v>130</v>
      </c>
      <c r="J214" s="340"/>
      <c r="K214" s="340"/>
      <c r="L214" s="340"/>
      <c r="M214" s="340"/>
      <c r="N214" s="340"/>
      <c r="O214" s="731"/>
      <c r="P214" s="331"/>
      <c r="R214" s="338">
        <v>11</v>
      </c>
      <c r="S214" s="341"/>
      <c r="T214" s="341"/>
      <c r="U214" s="341"/>
      <c r="V214" s="341"/>
      <c r="W214" s="341"/>
      <c r="X214" s="480"/>
      <c r="AA214" s="338">
        <v>11</v>
      </c>
      <c r="AB214" s="341"/>
      <c r="AC214" s="341"/>
      <c r="AD214" s="341"/>
      <c r="AE214" s="341"/>
      <c r="AF214" s="341"/>
      <c r="AG214" s="341"/>
      <c r="AH214" s="341"/>
      <c r="AI214" s="480"/>
      <c r="AL214" s="338">
        <v>11</v>
      </c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3"/>
    </row>
    <row r="215" spans="1:49" ht="15" customHeight="1">
      <c r="A215" s="733"/>
      <c r="B215" s="338">
        <v>12</v>
      </c>
      <c r="C215" s="338"/>
      <c r="D215" s="338">
        <v>5</v>
      </c>
      <c r="E215" s="339">
        <v>10</v>
      </c>
      <c r="F215" s="339"/>
      <c r="G215" s="339">
        <f>39+3+2+7.5</f>
        <v>51.5</v>
      </c>
      <c r="H215" s="339"/>
      <c r="I215" s="339">
        <f>7+12+1.5+6</f>
        <v>26.5</v>
      </c>
      <c r="J215" s="340"/>
      <c r="K215" s="340">
        <v>14</v>
      </c>
      <c r="L215" s="340"/>
      <c r="M215" s="340">
        <f>60+18+10.5+3</f>
        <v>91.5</v>
      </c>
      <c r="N215" s="340">
        <v>10</v>
      </c>
      <c r="O215" s="731"/>
      <c r="P215" s="331"/>
      <c r="R215" s="338">
        <v>12</v>
      </c>
      <c r="S215" s="341"/>
      <c r="T215" s="341"/>
      <c r="U215" s="341"/>
      <c r="V215" s="341"/>
      <c r="W215" s="341"/>
      <c r="X215" s="480"/>
      <c r="AA215" s="338">
        <v>12</v>
      </c>
      <c r="AB215" s="341"/>
      <c r="AC215" s="341"/>
      <c r="AD215" s="341"/>
      <c r="AE215" s="341"/>
      <c r="AF215" s="341"/>
      <c r="AG215" s="341"/>
      <c r="AH215" s="341"/>
      <c r="AI215" s="480"/>
      <c r="AL215" s="338">
        <v>12</v>
      </c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3"/>
    </row>
    <row r="216" spans="1:49" ht="14.45" customHeight="1">
      <c r="A216" s="733"/>
      <c r="B216" s="338">
        <v>13</v>
      </c>
      <c r="C216" s="338"/>
      <c r="D216" s="338"/>
      <c r="E216" s="339">
        <v>20</v>
      </c>
      <c r="F216" s="339"/>
      <c r="G216" s="339">
        <v>1.5</v>
      </c>
      <c r="H216" s="339"/>
      <c r="I216" s="339">
        <f>24+20+3.5+6</f>
        <v>53.5</v>
      </c>
      <c r="J216" s="340"/>
      <c r="K216" s="340">
        <v>91</v>
      </c>
      <c r="L216" s="340"/>
      <c r="M216" s="340"/>
      <c r="N216" s="340"/>
      <c r="O216" s="731"/>
      <c r="P216" s="331"/>
      <c r="R216" s="338">
        <v>13</v>
      </c>
      <c r="S216" s="341"/>
      <c r="T216" s="341"/>
      <c r="U216" s="341"/>
      <c r="V216" s="341"/>
      <c r="W216" s="341"/>
      <c r="X216" s="480"/>
      <c r="AA216" s="338">
        <v>13</v>
      </c>
      <c r="AB216" s="341"/>
      <c r="AC216" s="341"/>
      <c r="AD216" s="341"/>
      <c r="AE216" s="341"/>
      <c r="AF216" s="341"/>
      <c r="AG216" s="341"/>
      <c r="AH216" s="341"/>
      <c r="AI216" s="480"/>
      <c r="AL216" s="338">
        <v>13</v>
      </c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3"/>
    </row>
    <row r="217" spans="1:49" ht="14.45" customHeight="1">
      <c r="A217" s="733"/>
      <c r="B217" s="338">
        <v>14</v>
      </c>
      <c r="C217" s="338"/>
      <c r="D217" s="338">
        <v>90</v>
      </c>
      <c r="E217" s="339">
        <v>24</v>
      </c>
      <c r="F217" s="339"/>
      <c r="G217" s="339"/>
      <c r="H217" s="339"/>
      <c r="I217" s="339">
        <f>10+16+2.5+6</f>
        <v>34.5</v>
      </c>
      <c r="J217" s="340"/>
      <c r="K217" s="340">
        <f>10+6+50+5</f>
        <v>71</v>
      </c>
      <c r="L217" s="340"/>
      <c r="M217" s="340"/>
      <c r="N217" s="340"/>
      <c r="O217" s="731"/>
      <c r="P217" s="331"/>
      <c r="R217" s="338">
        <v>14</v>
      </c>
      <c r="S217" s="341"/>
      <c r="T217" s="341"/>
      <c r="U217" s="341"/>
      <c r="V217" s="341"/>
      <c r="W217" s="341"/>
      <c r="X217" s="480"/>
      <c r="AA217" s="338">
        <v>14</v>
      </c>
      <c r="AB217" s="341"/>
      <c r="AC217" s="341"/>
      <c r="AD217" s="341"/>
      <c r="AE217" s="341"/>
      <c r="AF217" s="341"/>
      <c r="AG217" s="341"/>
      <c r="AH217" s="341"/>
      <c r="AI217" s="480"/>
      <c r="AL217" s="338">
        <v>14</v>
      </c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3"/>
    </row>
    <row r="218" spans="1:49" ht="14.45" customHeight="1">
      <c r="A218" s="733"/>
      <c r="B218" s="338">
        <v>15</v>
      </c>
      <c r="C218" s="338"/>
      <c r="D218" s="338"/>
      <c r="E218" s="339"/>
      <c r="F218" s="339"/>
      <c r="G218" s="339"/>
      <c r="H218" s="339"/>
      <c r="I218" s="339"/>
      <c r="J218" s="340"/>
      <c r="K218" s="340"/>
      <c r="L218" s="340"/>
      <c r="M218" s="340"/>
      <c r="N218" s="340"/>
      <c r="O218" s="731"/>
      <c r="P218" s="331"/>
      <c r="R218" s="338">
        <v>15</v>
      </c>
      <c r="S218" s="341"/>
      <c r="T218" s="341"/>
      <c r="U218" s="341"/>
      <c r="V218" s="341"/>
      <c r="W218" s="341"/>
      <c r="X218" s="480"/>
      <c r="AA218" s="338">
        <v>15</v>
      </c>
      <c r="AB218" s="341"/>
      <c r="AC218" s="341"/>
      <c r="AD218" s="341"/>
      <c r="AE218" s="341"/>
      <c r="AF218" s="341"/>
      <c r="AG218" s="341"/>
      <c r="AH218" s="341"/>
      <c r="AI218" s="480"/>
      <c r="AL218" s="338">
        <v>15</v>
      </c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3"/>
    </row>
    <row r="219" spans="1:49" ht="14.45" customHeight="1">
      <c r="A219" s="733"/>
      <c r="B219" s="338">
        <v>16</v>
      </c>
      <c r="C219" s="338"/>
      <c r="D219" s="338"/>
      <c r="E219" s="339">
        <v>19</v>
      </c>
      <c r="F219" s="339"/>
      <c r="G219" s="339">
        <v>80</v>
      </c>
      <c r="H219" s="339"/>
      <c r="I219" s="339">
        <v>44</v>
      </c>
      <c r="J219" s="340"/>
      <c r="K219" s="340">
        <v>51</v>
      </c>
      <c r="L219" s="340"/>
      <c r="M219" s="340"/>
      <c r="N219" s="340"/>
      <c r="O219" s="731"/>
      <c r="P219" s="331"/>
      <c r="R219" s="338">
        <v>16</v>
      </c>
      <c r="S219" s="341"/>
      <c r="T219" s="341"/>
      <c r="U219" s="341"/>
      <c r="V219" s="341"/>
      <c r="W219" s="341"/>
      <c r="X219" s="480"/>
      <c r="AA219" s="338">
        <v>16</v>
      </c>
      <c r="AB219" s="341"/>
      <c r="AC219" s="341"/>
      <c r="AD219" s="341"/>
      <c r="AE219" s="341"/>
      <c r="AF219" s="341"/>
      <c r="AG219" s="341"/>
      <c r="AH219" s="341"/>
      <c r="AI219" s="480"/>
      <c r="AL219" s="338">
        <v>16</v>
      </c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3"/>
    </row>
    <row r="220" spans="1:49" ht="14.45" customHeight="1">
      <c r="A220" s="733"/>
      <c r="B220" s="338">
        <v>17</v>
      </c>
      <c r="C220" s="338">
        <v>49</v>
      </c>
      <c r="D220" s="338">
        <v>49</v>
      </c>
      <c r="E220" s="339">
        <v>20</v>
      </c>
      <c r="F220" s="339"/>
      <c r="G220" s="339">
        <v>40</v>
      </c>
      <c r="H220" s="339"/>
      <c r="I220" s="339">
        <v>30</v>
      </c>
      <c r="J220" s="340"/>
      <c r="K220" s="339">
        <v>101</v>
      </c>
      <c r="L220" s="362"/>
      <c r="M220" s="340"/>
      <c r="N220" s="340"/>
      <c r="O220" s="731"/>
      <c r="P220" s="331"/>
      <c r="R220" s="338">
        <v>17</v>
      </c>
      <c r="S220" s="341"/>
      <c r="T220" s="341"/>
      <c r="U220" s="341"/>
      <c r="V220" s="341"/>
      <c r="W220" s="341"/>
      <c r="X220" s="480"/>
      <c r="AA220" s="338">
        <v>17</v>
      </c>
      <c r="AB220" s="341"/>
      <c r="AC220" s="341"/>
      <c r="AD220" s="341">
        <v>1200</v>
      </c>
      <c r="AE220" s="341">
        <v>1000</v>
      </c>
      <c r="AF220" s="341"/>
      <c r="AG220" s="341"/>
      <c r="AH220" s="341"/>
      <c r="AI220" s="480"/>
      <c r="AL220" s="338">
        <v>17</v>
      </c>
      <c r="AM220" s="341"/>
      <c r="AN220" s="341">
        <v>2000</v>
      </c>
      <c r="AO220" s="341"/>
      <c r="AP220" s="341">
        <v>2500</v>
      </c>
      <c r="AQ220" s="341">
        <v>2000</v>
      </c>
      <c r="AR220" s="341">
        <v>3000</v>
      </c>
      <c r="AS220" s="341"/>
      <c r="AT220" s="341"/>
      <c r="AU220" s="341"/>
      <c r="AV220" s="341"/>
      <c r="AW220" s="343"/>
    </row>
    <row r="221" spans="1:49" ht="14.45" customHeight="1">
      <c r="A221" s="733"/>
      <c r="B221" s="338">
        <v>18</v>
      </c>
      <c r="C221" s="338">
        <v>20</v>
      </c>
      <c r="D221" s="338">
        <v>32</v>
      </c>
      <c r="E221" s="339">
        <v>20</v>
      </c>
      <c r="F221" s="339"/>
      <c r="G221" s="339">
        <v>23</v>
      </c>
      <c r="H221" s="339"/>
      <c r="I221" s="339">
        <v>50</v>
      </c>
      <c r="J221" s="340"/>
      <c r="K221" s="340">
        <v>74</v>
      </c>
      <c r="L221" s="340"/>
      <c r="M221" s="340">
        <v>15</v>
      </c>
      <c r="N221" s="340"/>
      <c r="O221" s="731"/>
      <c r="P221" s="331"/>
      <c r="R221" s="338">
        <v>18</v>
      </c>
      <c r="S221" s="341"/>
      <c r="T221" s="341"/>
      <c r="U221" s="341"/>
      <c r="V221" s="341"/>
      <c r="W221" s="341"/>
      <c r="X221" s="480"/>
      <c r="AA221" s="338">
        <v>18</v>
      </c>
      <c r="AB221" s="341"/>
      <c r="AC221" s="341"/>
      <c r="AD221" s="341"/>
      <c r="AE221" s="341">
        <v>7000</v>
      </c>
      <c r="AF221" s="341"/>
      <c r="AG221" s="341"/>
      <c r="AH221" s="341"/>
      <c r="AI221" s="480"/>
      <c r="AL221" s="338">
        <v>18</v>
      </c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3"/>
    </row>
    <row r="222" spans="1:49" ht="14.45" customHeight="1">
      <c r="A222" s="733"/>
      <c r="B222" s="338">
        <v>19</v>
      </c>
      <c r="C222" s="338"/>
      <c r="D222" s="338"/>
      <c r="E222" s="338">
        <v>15</v>
      </c>
      <c r="F222" s="338"/>
      <c r="G222" s="338">
        <v>24</v>
      </c>
      <c r="H222" s="338"/>
      <c r="I222" s="338">
        <v>82</v>
      </c>
      <c r="J222" s="338"/>
      <c r="K222" s="338">
        <v>60</v>
      </c>
      <c r="L222" s="338"/>
      <c r="M222" s="338">
        <v>36</v>
      </c>
      <c r="N222" s="338"/>
      <c r="O222" s="731"/>
      <c r="P222" s="331"/>
      <c r="R222" s="338">
        <v>19</v>
      </c>
      <c r="S222" s="341"/>
      <c r="T222" s="341"/>
      <c r="U222" s="341"/>
      <c r="V222" s="341"/>
      <c r="W222" s="341"/>
      <c r="X222" s="480"/>
      <c r="AA222" s="338">
        <v>19</v>
      </c>
      <c r="AB222" s="341"/>
      <c r="AC222" s="341"/>
      <c r="AD222" s="341"/>
      <c r="AE222" s="341">
        <v>2500</v>
      </c>
      <c r="AF222" s="341"/>
      <c r="AG222" s="341"/>
      <c r="AH222" s="341"/>
      <c r="AI222" s="480"/>
      <c r="AL222" s="338">
        <v>19</v>
      </c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3"/>
    </row>
    <row r="223" spans="1:49" ht="14.45" customHeight="1">
      <c r="A223" s="733"/>
      <c r="B223" s="338">
        <v>20</v>
      </c>
      <c r="C223" s="338"/>
      <c r="D223" s="338">
        <v>10</v>
      </c>
      <c r="E223" s="338"/>
      <c r="F223" s="338"/>
      <c r="G223" s="338">
        <v>26</v>
      </c>
      <c r="H223" s="338"/>
      <c r="I223" s="338">
        <v>9</v>
      </c>
      <c r="J223" s="338"/>
      <c r="K223" s="338">
        <v>46</v>
      </c>
      <c r="L223" s="338"/>
      <c r="M223" s="338">
        <v>18</v>
      </c>
      <c r="N223" s="338">
        <v>8</v>
      </c>
      <c r="O223" s="731"/>
      <c r="P223" s="331"/>
      <c r="R223" s="338">
        <v>20</v>
      </c>
      <c r="S223" s="341"/>
      <c r="T223" s="341"/>
      <c r="U223" s="341"/>
      <c r="V223" s="341"/>
      <c r="W223" s="341"/>
      <c r="X223" s="480"/>
      <c r="AA223" s="338">
        <v>20</v>
      </c>
      <c r="AB223" s="341"/>
      <c r="AC223" s="341"/>
      <c r="AD223" s="341"/>
      <c r="AE223" s="341"/>
      <c r="AF223" s="341"/>
      <c r="AG223" s="341"/>
      <c r="AH223" s="341"/>
      <c r="AI223" s="480"/>
      <c r="AL223" s="338">
        <v>20</v>
      </c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3"/>
    </row>
    <row r="224" spans="1:49" ht="14.45" customHeight="1">
      <c r="A224" s="733"/>
      <c r="B224" s="338">
        <v>21</v>
      </c>
      <c r="C224" s="338"/>
      <c r="D224" s="338">
        <v>10</v>
      </c>
      <c r="E224" s="338"/>
      <c r="F224" s="338"/>
      <c r="G224" s="338">
        <v>55</v>
      </c>
      <c r="H224" s="338"/>
      <c r="I224" s="338">
        <v>14</v>
      </c>
      <c r="J224" s="338"/>
      <c r="K224" s="338">
        <v>40</v>
      </c>
      <c r="L224" s="338"/>
      <c r="M224" s="338">
        <v>16</v>
      </c>
      <c r="N224" s="338">
        <v>4.5</v>
      </c>
      <c r="O224" s="731"/>
      <c r="P224" s="331"/>
      <c r="R224" s="338">
        <v>21</v>
      </c>
      <c r="S224" s="341"/>
      <c r="T224" s="341"/>
      <c r="U224" s="341"/>
      <c r="V224" s="341"/>
      <c r="W224" s="341"/>
      <c r="X224" s="480"/>
      <c r="AA224" s="338">
        <v>21</v>
      </c>
      <c r="AB224" s="341"/>
      <c r="AC224" s="341"/>
      <c r="AD224" s="341"/>
      <c r="AE224" s="341"/>
      <c r="AF224" s="341"/>
      <c r="AG224" s="341"/>
      <c r="AH224" s="341"/>
      <c r="AI224" s="480"/>
      <c r="AL224" s="338">
        <v>21</v>
      </c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3"/>
    </row>
    <row r="225" spans="1:49" ht="14.45" customHeight="1">
      <c r="A225" s="733"/>
      <c r="B225" s="338">
        <v>22</v>
      </c>
      <c r="C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731"/>
      <c r="P225" s="331"/>
      <c r="R225" s="338">
        <v>22</v>
      </c>
      <c r="S225" s="341"/>
      <c r="T225" s="341"/>
      <c r="U225" s="341"/>
      <c r="V225" s="341"/>
      <c r="W225" s="341"/>
      <c r="X225" s="480"/>
      <c r="AA225" s="338">
        <v>22</v>
      </c>
      <c r="AB225" s="341"/>
      <c r="AC225" s="341"/>
      <c r="AD225" s="341"/>
      <c r="AE225" s="341"/>
      <c r="AF225" s="341"/>
      <c r="AG225" s="341"/>
      <c r="AH225" s="341"/>
      <c r="AI225" s="480"/>
      <c r="AL225" s="338">
        <v>22</v>
      </c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3"/>
    </row>
    <row r="226" spans="1:49" ht="14.45" customHeight="1">
      <c r="A226" s="733"/>
      <c r="B226" s="338">
        <v>23</v>
      </c>
      <c r="C226" s="338"/>
      <c r="D226" s="338"/>
      <c r="E226" s="339">
        <v>60</v>
      </c>
      <c r="F226" s="339"/>
      <c r="G226" s="339">
        <v>3.5</v>
      </c>
      <c r="H226" s="339"/>
      <c r="I226" s="339">
        <v>20</v>
      </c>
      <c r="J226" s="340"/>
      <c r="K226" s="340">
        <v>58</v>
      </c>
      <c r="L226" s="340"/>
      <c r="M226" s="340">
        <v>2</v>
      </c>
      <c r="N226" s="340"/>
      <c r="O226" s="731"/>
      <c r="P226" s="331"/>
      <c r="R226" s="338">
        <v>23</v>
      </c>
      <c r="S226" s="341"/>
      <c r="T226" s="341"/>
      <c r="U226" s="341"/>
      <c r="V226" s="341"/>
      <c r="W226" s="341"/>
      <c r="X226" s="480"/>
      <c r="AA226" s="338">
        <v>23</v>
      </c>
      <c r="AB226" s="341"/>
      <c r="AC226" s="341"/>
      <c r="AD226" s="341"/>
      <c r="AE226" s="341"/>
      <c r="AF226" s="341"/>
      <c r="AG226" s="341"/>
      <c r="AH226" s="341"/>
      <c r="AI226" s="480"/>
      <c r="AL226" s="338">
        <v>23</v>
      </c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3"/>
    </row>
    <row r="227" spans="1:49" ht="14.45" customHeight="1">
      <c r="A227" s="733"/>
      <c r="B227" s="338">
        <v>24</v>
      </c>
      <c r="D227" s="338"/>
      <c r="E227" s="339"/>
      <c r="F227" s="339"/>
      <c r="G227" s="366">
        <v>12</v>
      </c>
      <c r="H227" s="339"/>
      <c r="I227" s="339">
        <v>30</v>
      </c>
      <c r="J227" s="340"/>
      <c r="K227" s="340">
        <v>100</v>
      </c>
      <c r="L227" s="340"/>
      <c r="M227" s="340">
        <v>26</v>
      </c>
      <c r="N227" s="340"/>
      <c r="O227" s="731"/>
      <c r="P227" s="331"/>
      <c r="R227" s="338">
        <v>24</v>
      </c>
      <c r="S227" s="341"/>
      <c r="T227" s="341"/>
      <c r="U227" s="341"/>
      <c r="V227" s="341"/>
      <c r="W227" s="341"/>
      <c r="X227" s="480"/>
      <c r="AA227" s="338">
        <v>24</v>
      </c>
      <c r="AB227" s="341"/>
      <c r="AC227" s="341"/>
      <c r="AD227" s="341"/>
      <c r="AE227" s="341"/>
      <c r="AF227" s="341"/>
      <c r="AG227" s="341"/>
      <c r="AH227" s="341"/>
      <c r="AI227" s="480"/>
      <c r="AL227" s="338">
        <v>24</v>
      </c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3"/>
    </row>
    <row r="228" spans="1:49" ht="14.45" customHeight="1">
      <c r="A228" s="733"/>
      <c r="B228" s="338">
        <v>25</v>
      </c>
      <c r="C228" s="338">
        <f>120*1.6</f>
        <v>192</v>
      </c>
      <c r="D228" s="338"/>
      <c r="E228" s="339"/>
      <c r="F228" s="339"/>
      <c r="G228" s="339">
        <v>10</v>
      </c>
      <c r="H228" s="339"/>
      <c r="I228" s="339">
        <v>80</v>
      </c>
      <c r="J228" s="339"/>
      <c r="K228" s="325">
        <v>5</v>
      </c>
      <c r="L228" s="339"/>
      <c r="M228" s="339"/>
      <c r="N228" s="340"/>
      <c r="O228" s="731"/>
      <c r="P228" s="331"/>
      <c r="R228" s="338">
        <v>25</v>
      </c>
      <c r="S228" s="341"/>
      <c r="T228" s="341"/>
      <c r="U228" s="341"/>
      <c r="V228" s="341"/>
      <c r="W228" s="341"/>
      <c r="X228" s="480"/>
      <c r="AA228" s="338">
        <v>25</v>
      </c>
      <c r="AB228" s="341"/>
      <c r="AC228" s="341"/>
      <c r="AD228" s="341"/>
      <c r="AE228" s="341"/>
      <c r="AF228" s="341"/>
      <c r="AG228" s="341"/>
      <c r="AH228" s="341"/>
      <c r="AI228" s="480"/>
      <c r="AL228" s="338">
        <v>25</v>
      </c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3"/>
    </row>
    <row r="229" spans="1:49" ht="14.45" customHeight="1">
      <c r="A229" s="733"/>
      <c r="B229" s="338">
        <v>26</v>
      </c>
      <c r="C229" s="338"/>
      <c r="D229" s="362"/>
      <c r="E229" s="362"/>
      <c r="F229" s="362">
        <v>4</v>
      </c>
      <c r="G229" s="362">
        <v>54</v>
      </c>
      <c r="H229" s="362"/>
      <c r="I229" s="363">
        <v>52</v>
      </c>
      <c r="J229" s="362"/>
      <c r="K229" s="362">
        <v>5</v>
      </c>
      <c r="L229" s="362"/>
      <c r="M229" s="362"/>
      <c r="N229" s="339"/>
      <c r="O229" s="731"/>
      <c r="P229" s="331"/>
      <c r="R229" s="338">
        <v>26</v>
      </c>
      <c r="S229" s="341"/>
      <c r="T229" s="341"/>
      <c r="U229" s="341"/>
      <c r="V229" s="341"/>
      <c r="W229" s="341"/>
      <c r="X229" s="480"/>
      <c r="AA229" s="338">
        <v>26</v>
      </c>
      <c r="AB229" s="341"/>
      <c r="AC229" s="341"/>
      <c r="AD229" s="341"/>
      <c r="AE229" s="341"/>
      <c r="AF229" s="341"/>
      <c r="AG229" s="341"/>
      <c r="AH229" s="341"/>
      <c r="AI229" s="480"/>
      <c r="AL229" s="338">
        <v>26</v>
      </c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3"/>
    </row>
    <row r="230" spans="1:49" ht="14.45" customHeight="1">
      <c r="A230" s="733"/>
      <c r="B230" s="338">
        <v>27</v>
      </c>
      <c r="C230" s="362"/>
      <c r="D230" s="362"/>
      <c r="E230" s="362">
        <v>6</v>
      </c>
      <c r="F230" s="362"/>
      <c r="G230" s="362">
        <v>51</v>
      </c>
      <c r="H230" s="362"/>
      <c r="I230" s="363">
        <v>30</v>
      </c>
      <c r="J230" s="362"/>
      <c r="K230" s="362">
        <v>45</v>
      </c>
      <c r="L230" s="362"/>
      <c r="M230" s="362">
        <v>5</v>
      </c>
      <c r="N230" s="339"/>
      <c r="O230" s="731"/>
      <c r="P230" s="331"/>
      <c r="R230" s="338">
        <v>27</v>
      </c>
      <c r="S230" s="341"/>
      <c r="T230" s="341"/>
      <c r="U230" s="341"/>
      <c r="V230" s="341"/>
      <c r="W230" s="341"/>
      <c r="X230" s="480"/>
      <c r="AA230" s="338">
        <v>27</v>
      </c>
      <c r="AB230" s="341"/>
      <c r="AC230" s="341"/>
      <c r="AD230" s="341"/>
      <c r="AE230" s="341"/>
      <c r="AF230" s="341"/>
      <c r="AG230" s="341"/>
      <c r="AH230" s="341"/>
      <c r="AI230" s="480"/>
      <c r="AL230" s="338">
        <v>27</v>
      </c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3"/>
    </row>
    <row r="231" spans="1:49" ht="14.45" customHeight="1">
      <c r="A231" s="733"/>
      <c r="B231" s="338">
        <v>28</v>
      </c>
      <c r="C231" s="346">
        <v>2</v>
      </c>
      <c r="D231" s="346"/>
      <c r="E231" s="347"/>
      <c r="F231" s="347"/>
      <c r="G231" s="338">
        <v>70</v>
      </c>
      <c r="H231" s="339"/>
      <c r="I231" s="339">
        <v>40</v>
      </c>
      <c r="J231" s="340"/>
      <c r="K231" s="339">
        <v>20</v>
      </c>
      <c r="L231" s="339"/>
      <c r="M231" s="340">
        <v>4</v>
      </c>
      <c r="N231" s="340"/>
      <c r="O231" s="731"/>
      <c r="P231" s="331"/>
      <c r="R231" s="338">
        <v>28</v>
      </c>
      <c r="S231" s="341"/>
      <c r="T231" s="341"/>
      <c r="U231" s="341"/>
      <c r="V231" s="341"/>
      <c r="W231" s="341"/>
      <c r="X231" s="480"/>
      <c r="AA231" s="338">
        <v>28</v>
      </c>
      <c r="AB231" s="341"/>
      <c r="AC231" s="341"/>
      <c r="AD231" s="341"/>
      <c r="AE231" s="341"/>
      <c r="AF231" s="341"/>
      <c r="AG231" s="341"/>
      <c r="AH231" s="341"/>
      <c r="AI231" s="480"/>
      <c r="AL231" s="338">
        <v>28</v>
      </c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3"/>
    </row>
    <row r="232" spans="1:49" ht="14.45" customHeight="1">
      <c r="A232" s="733"/>
      <c r="B232" s="338">
        <v>29</v>
      </c>
      <c r="C232" s="338"/>
      <c r="D232" s="338"/>
      <c r="E232" s="339"/>
      <c r="F232" s="339"/>
      <c r="G232" s="339"/>
      <c r="H232" s="339"/>
      <c r="I232" s="339"/>
      <c r="J232" s="340"/>
      <c r="K232" s="339"/>
      <c r="L232" s="339"/>
      <c r="M232" s="340"/>
      <c r="N232" s="340"/>
      <c r="O232" s="731"/>
      <c r="P232" s="331"/>
      <c r="R232" s="338">
        <v>29</v>
      </c>
      <c r="S232" s="341"/>
      <c r="T232" s="341"/>
      <c r="U232" s="341"/>
      <c r="V232" s="341"/>
      <c r="W232" s="341"/>
      <c r="X232" s="480"/>
      <c r="AA232" s="338">
        <v>29</v>
      </c>
      <c r="AB232" s="341"/>
      <c r="AC232" s="341"/>
      <c r="AD232" s="341"/>
      <c r="AE232" s="341"/>
      <c r="AF232" s="341"/>
      <c r="AG232" s="341"/>
      <c r="AH232" s="341"/>
      <c r="AI232" s="480"/>
      <c r="AL232" s="338">
        <v>29</v>
      </c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3"/>
    </row>
    <row r="233" spans="1:49" ht="14.45" customHeight="1">
      <c r="A233" s="733"/>
      <c r="B233" s="338">
        <v>30</v>
      </c>
      <c r="C233" s="349"/>
      <c r="D233" s="349"/>
      <c r="E233" s="350">
        <v>1</v>
      </c>
      <c r="F233" s="350"/>
      <c r="G233" s="338">
        <v>28</v>
      </c>
      <c r="H233" s="338"/>
      <c r="I233" s="339">
        <v>17</v>
      </c>
      <c r="J233" s="339"/>
      <c r="K233" s="338">
        <f>17+24+8</f>
        <v>49</v>
      </c>
      <c r="L233" s="338"/>
      <c r="M233" s="350">
        <v>9</v>
      </c>
      <c r="N233" s="339"/>
      <c r="O233" s="731"/>
      <c r="P233" s="331"/>
      <c r="R233" s="338">
        <v>30</v>
      </c>
      <c r="S233" s="341"/>
      <c r="T233" s="341"/>
      <c r="U233" s="341"/>
      <c r="V233" s="341"/>
      <c r="W233" s="341"/>
      <c r="X233" s="480"/>
      <c r="AA233" s="338">
        <v>30</v>
      </c>
      <c r="AB233" s="341"/>
      <c r="AC233" s="341"/>
      <c r="AD233" s="341"/>
      <c r="AE233" s="341"/>
      <c r="AF233" s="341"/>
      <c r="AG233" s="341"/>
      <c r="AH233" s="341"/>
      <c r="AI233" s="480"/>
      <c r="AL233" s="338">
        <v>30</v>
      </c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3"/>
    </row>
    <row r="234" spans="1:49" ht="14.45" customHeight="1">
      <c r="A234" s="733"/>
      <c r="B234" s="338">
        <v>31</v>
      </c>
      <c r="C234" s="362"/>
      <c r="D234" s="362"/>
      <c r="E234" s="362">
        <v>17</v>
      </c>
      <c r="F234" s="339"/>
      <c r="G234" s="339">
        <v>24</v>
      </c>
      <c r="H234" s="339"/>
      <c r="I234" s="339">
        <v>111</v>
      </c>
      <c r="J234" s="339"/>
      <c r="K234" s="338">
        <v>1</v>
      </c>
      <c r="L234" s="338"/>
      <c r="M234" s="362">
        <f>14+18+2</f>
        <v>34</v>
      </c>
      <c r="N234" s="339"/>
      <c r="O234" s="731"/>
      <c r="P234" s="331"/>
      <c r="R234" s="338">
        <v>31</v>
      </c>
      <c r="S234" s="352"/>
      <c r="T234" s="352"/>
      <c r="U234" s="352"/>
      <c r="V234" s="352"/>
      <c r="W234" s="352"/>
      <c r="X234" s="480"/>
      <c r="AA234" s="338">
        <v>31</v>
      </c>
      <c r="AB234" s="352"/>
      <c r="AC234" s="352"/>
      <c r="AD234" s="352"/>
      <c r="AE234" s="352"/>
      <c r="AF234" s="352"/>
      <c r="AG234" s="352"/>
      <c r="AH234" s="352"/>
      <c r="AI234" s="480"/>
      <c r="AL234" s="338">
        <v>31</v>
      </c>
      <c r="AM234" s="352"/>
      <c r="AN234" s="352"/>
      <c r="AO234" s="352"/>
      <c r="AP234" s="352"/>
      <c r="AQ234" s="352"/>
      <c r="AR234" s="352"/>
      <c r="AS234" s="352"/>
      <c r="AT234" s="352"/>
      <c r="AU234" s="352"/>
      <c r="AV234" s="352"/>
      <c r="AW234" s="343"/>
    </row>
    <row r="235" spans="1:49" s="7" customFormat="1" ht="32.450000000000003" customHeight="1">
      <c r="A235" s="733"/>
      <c r="B235" s="353" t="s">
        <v>16</v>
      </c>
      <c r="C235" s="354">
        <f>+SUM(C204:C234)</f>
        <v>263</v>
      </c>
      <c r="D235" s="354">
        <f t="shared" ref="D235:N235" si="11">+SUM(D204:D234)</f>
        <v>204.07999999999998</v>
      </c>
      <c r="E235" s="354">
        <f t="shared" si="11"/>
        <v>367</v>
      </c>
      <c r="F235" s="354">
        <f t="shared" si="11"/>
        <v>4</v>
      </c>
      <c r="G235" s="354">
        <f t="shared" si="11"/>
        <v>877.5</v>
      </c>
      <c r="H235" s="354">
        <f t="shared" si="11"/>
        <v>0</v>
      </c>
      <c r="I235" s="354">
        <f t="shared" si="11"/>
        <v>1170</v>
      </c>
      <c r="J235" s="354">
        <f t="shared" si="11"/>
        <v>0</v>
      </c>
      <c r="K235" s="354">
        <f t="shared" si="11"/>
        <v>938</v>
      </c>
      <c r="L235" s="354">
        <f t="shared" si="11"/>
        <v>0</v>
      </c>
      <c r="M235" s="354">
        <f t="shared" si="11"/>
        <v>356.4</v>
      </c>
      <c r="N235" s="354">
        <f t="shared" si="11"/>
        <v>33.5</v>
      </c>
      <c r="O235" s="731"/>
      <c r="P235" s="331"/>
      <c r="Q235" s="325"/>
      <c r="R235" s="353" t="s">
        <v>16</v>
      </c>
      <c r="S235" s="352">
        <f>SUM(S204:S234)</f>
        <v>0</v>
      </c>
      <c r="T235" s="352">
        <f>SUM(T204:T234)</f>
        <v>0</v>
      </c>
      <c r="U235" s="352">
        <f>SUM(U204:U234)</f>
        <v>0</v>
      </c>
      <c r="V235" s="352">
        <f>SUM(V204:V234)</f>
        <v>0</v>
      </c>
      <c r="W235" s="352">
        <f>SUM(W204:W234)</f>
        <v>0</v>
      </c>
      <c r="X235" s="482"/>
      <c r="Y235" s="493"/>
      <c r="Z235" s="325"/>
      <c r="AA235" s="353" t="s">
        <v>16</v>
      </c>
      <c r="AB235" s="352">
        <f>SUM(AB204:AB234)</f>
        <v>0</v>
      </c>
      <c r="AC235" s="352">
        <f>SUM(AC204:AC234)</f>
        <v>0</v>
      </c>
      <c r="AD235" s="352">
        <f>SUM(AD204:AD234)</f>
        <v>1200</v>
      </c>
      <c r="AE235" s="352">
        <f>SUM(AE204:AE234)</f>
        <v>10500</v>
      </c>
      <c r="AF235" s="352"/>
      <c r="AG235" s="352"/>
      <c r="AH235" s="352">
        <f>SUM(AH204:AH234)</f>
        <v>0</v>
      </c>
      <c r="AI235" s="482"/>
      <c r="AJ235" s="493"/>
      <c r="AK235" s="325"/>
      <c r="AL235" s="353" t="s">
        <v>16</v>
      </c>
      <c r="AM235" s="352">
        <f>SUM(AM204:AM234)</f>
        <v>0</v>
      </c>
      <c r="AN235" s="352">
        <f t="shared" ref="AN235:AS235" si="12">SUM(AN204:AN234)</f>
        <v>2000</v>
      </c>
      <c r="AO235" s="352">
        <f t="shared" si="12"/>
        <v>0</v>
      </c>
      <c r="AP235" s="352">
        <f t="shared" si="12"/>
        <v>2500</v>
      </c>
      <c r="AQ235" s="352">
        <f t="shared" si="12"/>
        <v>2000</v>
      </c>
      <c r="AR235" s="352">
        <f t="shared" si="12"/>
        <v>3000</v>
      </c>
      <c r="AS235" s="352">
        <f t="shared" si="12"/>
        <v>0</v>
      </c>
      <c r="AT235" s="352"/>
      <c r="AU235" s="352">
        <f>SUM(AU204:AU234)</f>
        <v>0</v>
      </c>
      <c r="AV235" s="352">
        <f>SUM(AV204:AV234)</f>
        <v>0</v>
      </c>
      <c r="AW235" s="356"/>
    </row>
    <row r="237" spans="1:49" ht="14.45" customHeight="1">
      <c r="A237" s="732">
        <v>46113</v>
      </c>
      <c r="B237" s="338">
        <v>1</v>
      </c>
      <c r="C237" s="338"/>
      <c r="D237" s="338"/>
      <c r="E237" s="339"/>
      <c r="F237" s="339">
        <v>4</v>
      </c>
      <c r="G237" s="339"/>
      <c r="H237" s="339"/>
      <c r="I237" s="339"/>
      <c r="J237" s="340"/>
      <c r="K237" s="341">
        <v>60</v>
      </c>
      <c r="L237" s="340">
        <v>1.1000000000000001</v>
      </c>
      <c r="M237" s="340"/>
      <c r="N237" s="340"/>
      <c r="O237" s="731">
        <f>+C268+D268+E268+F268+G268+H268+I268+J268+K268+L268+M268+N268</f>
        <v>5530.8</v>
      </c>
      <c r="P237" s="331"/>
      <c r="R237" s="338">
        <v>1</v>
      </c>
      <c r="S237" s="341"/>
      <c r="T237" s="341"/>
      <c r="U237" s="341"/>
      <c r="V237" s="341"/>
      <c r="W237" s="341"/>
      <c r="X237" s="479">
        <f>SUM(S268:X268)</f>
        <v>0</v>
      </c>
      <c r="AA237" s="338">
        <v>1</v>
      </c>
      <c r="AB237" s="341"/>
      <c r="AC237" s="341"/>
      <c r="AD237" s="341"/>
      <c r="AE237" s="341"/>
      <c r="AF237" s="341"/>
      <c r="AG237" s="341"/>
      <c r="AH237" s="341"/>
      <c r="AI237" s="479">
        <f>SUM(AB268:AI268)</f>
        <v>11700</v>
      </c>
      <c r="AL237" s="338">
        <v>1</v>
      </c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2">
        <f>SUM(AM268:AW268)</f>
        <v>9500</v>
      </c>
    </row>
    <row r="238" spans="1:49" ht="14.45" customHeight="1">
      <c r="A238" s="733"/>
      <c r="B238" s="338">
        <v>2</v>
      </c>
      <c r="C238" s="338"/>
      <c r="D238" s="338">
        <v>16</v>
      </c>
      <c r="E238" s="339"/>
      <c r="F238" s="339"/>
      <c r="G238" s="339">
        <v>66</v>
      </c>
      <c r="H238" s="339"/>
      <c r="I238" s="339">
        <v>45</v>
      </c>
      <c r="J238" s="340"/>
      <c r="K238" s="340">
        <v>13</v>
      </c>
      <c r="L238" s="340"/>
      <c r="M238" s="340">
        <v>9</v>
      </c>
      <c r="N238" s="340"/>
      <c r="O238" s="731"/>
      <c r="P238" s="331"/>
      <c r="R238" s="338">
        <v>2</v>
      </c>
      <c r="S238" s="341"/>
      <c r="T238" s="341"/>
      <c r="U238" s="341"/>
      <c r="V238" s="341"/>
      <c r="W238" s="341"/>
      <c r="X238" s="480"/>
      <c r="AA238" s="338">
        <v>2</v>
      </c>
      <c r="AB238" s="341"/>
      <c r="AC238" s="341"/>
      <c r="AD238" s="341"/>
      <c r="AE238" s="341"/>
      <c r="AF238" s="341"/>
      <c r="AG238" s="341"/>
      <c r="AH238" s="341"/>
      <c r="AI238" s="480"/>
      <c r="AL238" s="338">
        <v>2</v>
      </c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3"/>
    </row>
    <row r="239" spans="1:49" ht="14.45" customHeight="1">
      <c r="A239" s="733"/>
      <c r="B239" s="338">
        <v>3</v>
      </c>
      <c r="C239" s="338">
        <f>10*1.65</f>
        <v>16.5</v>
      </c>
      <c r="D239" s="338"/>
      <c r="E239" s="339"/>
      <c r="F239" s="339"/>
      <c r="G239" s="339">
        <v>50</v>
      </c>
      <c r="H239" s="339"/>
      <c r="I239" s="339"/>
      <c r="J239" s="340"/>
      <c r="K239" s="340"/>
      <c r="L239" s="340"/>
      <c r="M239" s="340"/>
      <c r="N239" s="340"/>
      <c r="O239" s="731"/>
      <c r="P239" s="331"/>
      <c r="R239" s="338">
        <v>3</v>
      </c>
      <c r="S239" s="341"/>
      <c r="T239" s="341"/>
      <c r="U239" s="341"/>
      <c r="V239" s="341"/>
      <c r="W239" s="341"/>
      <c r="X239" s="480"/>
      <c r="AA239" s="338">
        <v>3</v>
      </c>
      <c r="AB239" s="341"/>
      <c r="AC239" s="341"/>
      <c r="AD239" s="341"/>
      <c r="AE239" s="341"/>
      <c r="AF239" s="341"/>
      <c r="AG239" s="341"/>
      <c r="AH239" s="341"/>
      <c r="AI239" s="480"/>
      <c r="AL239" s="338">
        <v>3</v>
      </c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3"/>
    </row>
    <row r="240" spans="1:49" ht="14.45" customHeight="1">
      <c r="A240" s="733"/>
      <c r="B240" s="338">
        <v>4</v>
      </c>
      <c r="C240" s="338">
        <f>20*1.65</f>
        <v>33</v>
      </c>
      <c r="D240" s="338"/>
      <c r="E240" s="339"/>
      <c r="F240" s="339"/>
      <c r="G240" s="339"/>
      <c r="H240" s="339"/>
      <c r="I240" s="339">
        <v>15</v>
      </c>
      <c r="J240" s="340"/>
      <c r="K240" s="340">
        <v>30</v>
      </c>
      <c r="L240" s="340"/>
      <c r="M240" s="340">
        <v>30</v>
      </c>
      <c r="N240" s="340"/>
      <c r="O240" s="731"/>
      <c r="P240" s="331"/>
      <c r="R240" s="338">
        <v>4</v>
      </c>
      <c r="S240" s="341"/>
      <c r="T240" s="341"/>
      <c r="U240" s="341"/>
      <c r="V240" s="341"/>
      <c r="W240" s="341"/>
      <c r="X240" s="480"/>
      <c r="AA240" s="338">
        <v>4</v>
      </c>
      <c r="AB240" s="341"/>
      <c r="AC240" s="341"/>
      <c r="AD240" s="341"/>
      <c r="AE240" s="341"/>
      <c r="AF240" s="341"/>
      <c r="AG240" s="341"/>
      <c r="AH240" s="341"/>
      <c r="AI240" s="480"/>
      <c r="AL240" s="338">
        <v>4</v>
      </c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3"/>
    </row>
    <row r="241" spans="1:49" ht="14.45" customHeight="1">
      <c r="A241" s="733"/>
      <c r="B241" s="338">
        <v>5</v>
      </c>
      <c r="C241" s="338"/>
      <c r="D241" s="338"/>
      <c r="E241" s="339"/>
      <c r="F241" s="339"/>
      <c r="G241" s="339"/>
      <c r="H241" s="339"/>
      <c r="I241" s="339"/>
      <c r="J241" s="340"/>
      <c r="K241" s="340"/>
      <c r="L241" s="340"/>
      <c r="M241" s="340"/>
      <c r="N241" s="340"/>
      <c r="O241" s="731"/>
      <c r="P241" s="331"/>
      <c r="R241" s="338">
        <v>5</v>
      </c>
      <c r="S241" s="341"/>
      <c r="T241" s="341"/>
      <c r="U241" s="341"/>
      <c r="V241" s="341"/>
      <c r="W241" s="341"/>
      <c r="X241" s="480"/>
      <c r="AA241" s="338">
        <v>5</v>
      </c>
      <c r="AB241" s="341"/>
      <c r="AC241" s="341"/>
      <c r="AD241" s="341"/>
      <c r="AE241" s="341"/>
      <c r="AF241" s="341"/>
      <c r="AG241" s="341"/>
      <c r="AH241" s="341"/>
      <c r="AI241" s="480"/>
      <c r="AL241" s="338">
        <v>5</v>
      </c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3"/>
    </row>
    <row r="242" spans="1:49" ht="14.45" customHeight="1">
      <c r="A242" s="733"/>
      <c r="B242" s="338">
        <v>6</v>
      </c>
      <c r="C242" s="338">
        <v>20</v>
      </c>
      <c r="D242" s="338">
        <v>20</v>
      </c>
      <c r="E242" s="339">
        <v>50</v>
      </c>
      <c r="F242" s="339"/>
      <c r="G242" s="339">
        <v>21</v>
      </c>
      <c r="H242" s="339"/>
      <c r="I242" s="339">
        <v>10</v>
      </c>
      <c r="J242" s="340"/>
      <c r="K242" s="340">
        <v>7</v>
      </c>
      <c r="L242" s="340"/>
      <c r="M242" s="340">
        <v>30</v>
      </c>
      <c r="N242" s="340"/>
      <c r="O242" s="731"/>
      <c r="P242" s="331"/>
      <c r="R242" s="338">
        <v>6</v>
      </c>
      <c r="S242" s="341"/>
      <c r="T242" s="341"/>
      <c r="U242" s="341"/>
      <c r="V242" s="341"/>
      <c r="W242" s="341"/>
      <c r="X242" s="480"/>
      <c r="AA242" s="338">
        <v>6</v>
      </c>
      <c r="AB242" s="341"/>
      <c r="AC242" s="341"/>
      <c r="AD242" s="341"/>
      <c r="AE242" s="341"/>
      <c r="AF242" s="341"/>
      <c r="AG242" s="341"/>
      <c r="AH242" s="341"/>
      <c r="AI242" s="480"/>
      <c r="AL242" s="338">
        <v>6</v>
      </c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3"/>
    </row>
    <row r="243" spans="1:49" ht="14.45" customHeight="1">
      <c r="A243" s="733"/>
      <c r="B243" s="338">
        <v>7</v>
      </c>
      <c r="C243" s="338">
        <v>150</v>
      </c>
      <c r="D243" s="338"/>
      <c r="E243" s="339">
        <v>5</v>
      </c>
      <c r="F243" s="339"/>
      <c r="G243" s="339">
        <f>4+40+10.2</f>
        <v>54.2</v>
      </c>
      <c r="H243" s="339"/>
      <c r="I243" s="339">
        <f>5+14+4+3</f>
        <v>26</v>
      </c>
      <c r="J243" s="340"/>
      <c r="K243" s="340">
        <v>65</v>
      </c>
      <c r="L243" s="340"/>
      <c r="M243" s="340"/>
      <c r="N243" s="340"/>
      <c r="O243" s="731"/>
      <c r="P243" s="331"/>
      <c r="R243" s="338">
        <v>7</v>
      </c>
      <c r="S243" s="341"/>
      <c r="T243" s="341"/>
      <c r="U243" s="341"/>
      <c r="V243" s="341"/>
      <c r="W243" s="341"/>
      <c r="X243" s="480"/>
      <c r="AA243" s="338">
        <v>7</v>
      </c>
      <c r="AB243" s="341"/>
      <c r="AC243" s="341"/>
      <c r="AD243" s="341"/>
      <c r="AE243" s="341"/>
      <c r="AF243" s="341"/>
      <c r="AG243" s="341"/>
      <c r="AH243" s="341"/>
      <c r="AI243" s="480"/>
      <c r="AL243" s="338">
        <v>7</v>
      </c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3"/>
    </row>
    <row r="244" spans="1:49" ht="14.45" customHeight="1">
      <c r="A244" s="733"/>
      <c r="B244" s="338">
        <v>8</v>
      </c>
      <c r="C244" s="338">
        <v>200</v>
      </c>
      <c r="D244" s="338"/>
      <c r="E244" s="339">
        <v>1.5</v>
      </c>
      <c r="F244" s="339">
        <v>10</v>
      </c>
      <c r="G244" s="339">
        <v>3</v>
      </c>
      <c r="H244" s="339"/>
      <c r="I244" s="339">
        <v>20</v>
      </c>
      <c r="J244" s="340"/>
      <c r="K244" s="340">
        <v>15</v>
      </c>
      <c r="L244" s="340"/>
      <c r="M244" s="340"/>
      <c r="N244" s="340"/>
      <c r="O244" s="731"/>
      <c r="P244" s="331"/>
      <c r="R244" s="338">
        <v>8</v>
      </c>
      <c r="S244" s="341"/>
      <c r="T244" s="341"/>
      <c r="U244" s="341"/>
      <c r="V244" s="341"/>
      <c r="W244" s="341"/>
      <c r="X244" s="480"/>
      <c r="AA244" s="338">
        <v>8</v>
      </c>
      <c r="AB244" s="341"/>
      <c r="AC244" s="341"/>
      <c r="AD244" s="341"/>
      <c r="AE244" s="341"/>
      <c r="AF244" s="341"/>
      <c r="AG244" s="341"/>
      <c r="AH244" s="341"/>
      <c r="AI244" s="480"/>
      <c r="AL244" s="338">
        <v>8</v>
      </c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3"/>
    </row>
    <row r="245" spans="1:49" ht="14.45" customHeight="1">
      <c r="A245" s="733"/>
      <c r="B245" s="338">
        <v>9</v>
      </c>
      <c r="C245" s="338">
        <v>220</v>
      </c>
      <c r="D245" s="338"/>
      <c r="E245" s="339">
        <v>70</v>
      </c>
      <c r="F245" s="339"/>
      <c r="G245" s="339"/>
      <c r="H245" s="339"/>
      <c r="I245" s="339">
        <f>5+1.5+3+6</f>
        <v>15.5</v>
      </c>
      <c r="J245" s="340"/>
      <c r="K245" s="340">
        <v>22</v>
      </c>
      <c r="L245" s="340"/>
      <c r="M245" s="340"/>
      <c r="N245" s="340"/>
      <c r="O245" s="731"/>
      <c r="P245" s="331"/>
      <c r="R245" s="338">
        <v>9</v>
      </c>
      <c r="S245" s="341"/>
      <c r="T245" s="341"/>
      <c r="U245" s="341"/>
      <c r="V245" s="341"/>
      <c r="W245" s="341"/>
      <c r="X245" s="480"/>
      <c r="AA245" s="338">
        <v>9</v>
      </c>
      <c r="AB245" s="341"/>
      <c r="AC245" s="341"/>
      <c r="AD245" s="341"/>
      <c r="AE245" s="341"/>
      <c r="AF245" s="341"/>
      <c r="AG245" s="341"/>
      <c r="AH245" s="341"/>
      <c r="AI245" s="480"/>
      <c r="AL245" s="338">
        <v>9</v>
      </c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3"/>
    </row>
    <row r="246" spans="1:49" ht="14.45" customHeight="1">
      <c r="A246" s="733"/>
      <c r="B246" s="338">
        <v>10</v>
      </c>
      <c r="C246" s="338">
        <v>210</v>
      </c>
      <c r="D246" s="338"/>
      <c r="E246" s="339">
        <v>30</v>
      </c>
      <c r="F246" s="339"/>
      <c r="G246" s="339">
        <f>3+8+1.2+2</f>
        <v>14.2</v>
      </c>
      <c r="H246" s="339"/>
      <c r="I246" s="339">
        <f>50+30+2+6+3</f>
        <v>91</v>
      </c>
      <c r="J246" s="340"/>
      <c r="K246" s="340">
        <f>28+2.8+2.8+2.8+2.8+7.8+7.8</f>
        <v>54.79999999999999</v>
      </c>
      <c r="L246" s="340"/>
      <c r="M246" s="340"/>
      <c r="N246" s="340"/>
      <c r="O246" s="731"/>
      <c r="P246" s="331"/>
      <c r="R246" s="338">
        <v>10</v>
      </c>
      <c r="S246" s="341"/>
      <c r="T246" s="341"/>
      <c r="U246" s="341"/>
      <c r="V246" s="364"/>
      <c r="W246" s="341"/>
      <c r="X246" s="480"/>
      <c r="AA246" s="338">
        <v>10</v>
      </c>
      <c r="AB246" s="341"/>
      <c r="AC246" s="341"/>
      <c r="AD246" s="341"/>
      <c r="AE246" s="341"/>
      <c r="AF246" s="341"/>
      <c r="AG246" s="341"/>
      <c r="AH246" s="341"/>
      <c r="AI246" s="480"/>
      <c r="AL246" s="338">
        <v>10</v>
      </c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3"/>
    </row>
    <row r="247" spans="1:49" ht="14.45" customHeight="1">
      <c r="A247" s="733"/>
      <c r="B247" s="338">
        <v>11</v>
      </c>
      <c r="C247" s="362">
        <f>80*1.6</f>
        <v>128</v>
      </c>
      <c r="D247" s="338"/>
      <c r="E247" s="339">
        <v>25</v>
      </c>
      <c r="F247" s="339"/>
      <c r="G247" s="339">
        <v>52</v>
      </c>
      <c r="H247" s="339"/>
      <c r="I247" s="339">
        <f>50+25+3+2</f>
        <v>80</v>
      </c>
      <c r="J247" s="339"/>
      <c r="K247" s="339">
        <f>9+24+30</f>
        <v>63</v>
      </c>
      <c r="L247" s="339"/>
      <c r="M247" s="339"/>
      <c r="N247" s="339"/>
      <c r="O247" s="731"/>
      <c r="P247" s="331"/>
      <c r="R247" s="338">
        <v>11</v>
      </c>
      <c r="S247" s="341"/>
      <c r="T247" s="341"/>
      <c r="U247" s="341"/>
      <c r="V247" s="341"/>
      <c r="W247" s="341"/>
      <c r="X247" s="480"/>
      <c r="AA247" s="338">
        <v>11</v>
      </c>
      <c r="AB247" s="341"/>
      <c r="AC247" s="341"/>
      <c r="AD247" s="341"/>
      <c r="AE247" s="341"/>
      <c r="AF247" s="341"/>
      <c r="AG247" s="341"/>
      <c r="AH247" s="341"/>
      <c r="AI247" s="480"/>
      <c r="AL247" s="338">
        <v>11</v>
      </c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3"/>
    </row>
    <row r="248" spans="1:49" ht="15" customHeight="1">
      <c r="A248" s="733"/>
      <c r="B248" s="338">
        <v>12</v>
      </c>
      <c r="C248" s="362"/>
      <c r="D248" s="362"/>
      <c r="E248" s="362"/>
      <c r="F248" s="362"/>
      <c r="G248" s="362"/>
      <c r="H248" s="362"/>
      <c r="I248" s="363"/>
      <c r="J248" s="362"/>
      <c r="K248" s="362"/>
      <c r="L248" s="362"/>
      <c r="M248" s="362"/>
      <c r="N248" s="339"/>
      <c r="O248" s="731"/>
      <c r="P248" s="331"/>
      <c r="R248" s="338">
        <v>12</v>
      </c>
      <c r="S248" s="341"/>
      <c r="T248" s="341"/>
      <c r="U248" s="341"/>
      <c r="V248" s="341"/>
      <c r="W248" s="341"/>
      <c r="X248" s="480"/>
      <c r="AA248" s="338">
        <v>12</v>
      </c>
      <c r="AB248" s="341"/>
      <c r="AC248" s="341"/>
      <c r="AD248" s="341"/>
      <c r="AE248" s="341"/>
      <c r="AF248" s="341"/>
      <c r="AG248" s="341"/>
      <c r="AH248" s="341"/>
      <c r="AI248" s="480"/>
      <c r="AL248" s="338">
        <v>12</v>
      </c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3"/>
    </row>
    <row r="249" spans="1:49" ht="14.45" customHeight="1">
      <c r="A249" s="733"/>
      <c r="B249" s="338">
        <v>13</v>
      </c>
      <c r="C249" s="338">
        <v>50</v>
      </c>
      <c r="D249" s="338"/>
      <c r="E249" s="339">
        <v>20</v>
      </c>
      <c r="F249" s="339"/>
      <c r="G249" s="339">
        <v>2</v>
      </c>
      <c r="H249" s="339"/>
      <c r="I249" s="339">
        <v>10</v>
      </c>
      <c r="J249" s="340"/>
      <c r="K249" s="340">
        <v>90</v>
      </c>
      <c r="L249" s="340"/>
      <c r="M249" s="340">
        <v>10</v>
      </c>
      <c r="N249" s="340"/>
      <c r="O249" s="731"/>
      <c r="P249" s="331"/>
      <c r="R249" s="338">
        <v>13</v>
      </c>
      <c r="S249" s="341"/>
      <c r="T249" s="341"/>
      <c r="U249" s="341"/>
      <c r="V249" s="341"/>
      <c r="W249" s="341"/>
      <c r="X249" s="480"/>
      <c r="AA249" s="338">
        <v>13</v>
      </c>
      <c r="AB249" s="341"/>
      <c r="AC249" s="341"/>
      <c r="AD249" s="341"/>
      <c r="AE249" s="341"/>
      <c r="AF249" s="341"/>
      <c r="AG249" s="341"/>
      <c r="AH249" s="341"/>
      <c r="AI249" s="480"/>
      <c r="AL249" s="338">
        <v>13</v>
      </c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3"/>
    </row>
    <row r="250" spans="1:49" ht="14.45" customHeight="1">
      <c r="A250" s="733"/>
      <c r="B250" s="338">
        <v>14</v>
      </c>
      <c r="C250" s="338">
        <v>100</v>
      </c>
      <c r="D250" s="338">
        <v>100</v>
      </c>
      <c r="E250" s="339">
        <v>2</v>
      </c>
      <c r="F250" s="339"/>
      <c r="G250" s="339">
        <v>75</v>
      </c>
      <c r="H250" s="339"/>
      <c r="I250" s="339"/>
      <c r="J250" s="340"/>
      <c r="K250" s="340">
        <v>4</v>
      </c>
      <c r="L250" s="340">
        <v>2</v>
      </c>
      <c r="M250" s="340"/>
      <c r="N250" s="340">
        <v>2</v>
      </c>
      <c r="O250" s="731"/>
      <c r="P250" s="331"/>
      <c r="R250" s="338">
        <v>14</v>
      </c>
      <c r="S250" s="341"/>
      <c r="T250" s="341"/>
      <c r="U250" s="341"/>
      <c r="V250" s="341"/>
      <c r="W250" s="341"/>
      <c r="X250" s="480"/>
      <c r="AA250" s="338">
        <v>14</v>
      </c>
      <c r="AB250" s="341"/>
      <c r="AC250" s="341"/>
      <c r="AD250" s="341"/>
      <c r="AE250" s="341"/>
      <c r="AF250" s="341"/>
      <c r="AG250" s="341"/>
      <c r="AH250" s="341"/>
      <c r="AI250" s="480"/>
      <c r="AL250" s="338">
        <v>14</v>
      </c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3"/>
    </row>
    <row r="251" spans="1:49" ht="14.45" customHeight="1">
      <c r="A251" s="733"/>
      <c r="B251" s="338">
        <v>15</v>
      </c>
      <c r="C251" s="338">
        <v>1</v>
      </c>
      <c r="D251" s="338"/>
      <c r="E251" s="339">
        <v>2</v>
      </c>
      <c r="F251" s="339"/>
      <c r="G251" s="339">
        <v>3</v>
      </c>
      <c r="H251" s="339"/>
      <c r="I251" s="339">
        <f>40+20+5+8+50</f>
        <v>123</v>
      </c>
      <c r="J251" s="340"/>
      <c r="K251" s="340">
        <v>40</v>
      </c>
      <c r="L251" s="340"/>
      <c r="M251" s="340">
        <v>2</v>
      </c>
      <c r="N251" s="340"/>
      <c r="O251" s="731"/>
      <c r="P251" s="331"/>
      <c r="R251" s="338">
        <v>15</v>
      </c>
      <c r="S251" s="341"/>
      <c r="T251" s="341"/>
      <c r="U251" s="341"/>
      <c r="V251" s="341"/>
      <c r="W251" s="341"/>
      <c r="X251" s="480"/>
      <c r="AA251" s="338">
        <v>15</v>
      </c>
      <c r="AB251" s="341"/>
      <c r="AC251" s="341"/>
      <c r="AD251" s="341"/>
      <c r="AE251" s="341"/>
      <c r="AF251" s="341"/>
      <c r="AG251" s="341"/>
      <c r="AH251" s="341"/>
      <c r="AI251" s="480"/>
      <c r="AL251" s="338">
        <v>15</v>
      </c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3"/>
    </row>
    <row r="252" spans="1:49" ht="14.45" customHeight="1">
      <c r="A252" s="733"/>
      <c r="B252" s="338">
        <v>16</v>
      </c>
      <c r="C252" s="338">
        <v>5</v>
      </c>
      <c r="D252" s="338"/>
      <c r="E252" s="339">
        <v>5</v>
      </c>
      <c r="F252" s="339">
        <v>1</v>
      </c>
      <c r="G252" s="339">
        <v>17</v>
      </c>
      <c r="H252" s="339"/>
      <c r="I252" s="339">
        <f>4+3+10+40+11+25+8+20</f>
        <v>121</v>
      </c>
      <c r="J252" s="340"/>
      <c r="K252" s="340">
        <f>4+30+12+7+10</f>
        <v>63</v>
      </c>
      <c r="L252" s="340"/>
      <c r="M252" s="340">
        <v>25</v>
      </c>
      <c r="N252" s="340"/>
      <c r="O252" s="731"/>
      <c r="P252" s="331"/>
      <c r="R252" s="338">
        <v>16</v>
      </c>
      <c r="S252" s="341"/>
      <c r="T252" s="341"/>
      <c r="U252" s="341"/>
      <c r="V252" s="341"/>
      <c r="W252" s="341"/>
      <c r="X252" s="480"/>
      <c r="AA252" s="338">
        <v>16</v>
      </c>
      <c r="AB252" s="341"/>
      <c r="AC252" s="341"/>
      <c r="AD252" s="341"/>
      <c r="AE252" s="341"/>
      <c r="AF252" s="341"/>
      <c r="AG252" s="341"/>
      <c r="AH252" s="341"/>
      <c r="AI252" s="480"/>
      <c r="AL252" s="338">
        <v>16</v>
      </c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3"/>
    </row>
    <row r="253" spans="1:49" ht="14.45" customHeight="1">
      <c r="A253" s="733"/>
      <c r="B253" s="338">
        <v>17</v>
      </c>
      <c r="C253" s="338"/>
      <c r="D253" s="338"/>
      <c r="E253" s="339">
        <v>1</v>
      </c>
      <c r="F253" s="339">
        <v>2</v>
      </c>
      <c r="G253" s="339"/>
      <c r="H253" s="339"/>
      <c r="I253" s="339">
        <v>80</v>
      </c>
      <c r="J253" s="340"/>
      <c r="K253" s="339">
        <v>97</v>
      </c>
      <c r="L253" s="362"/>
      <c r="M253" s="340">
        <v>20</v>
      </c>
      <c r="N253" s="340"/>
      <c r="O253" s="731"/>
      <c r="P253" s="331"/>
      <c r="R253" s="338">
        <v>17</v>
      </c>
      <c r="S253" s="341"/>
      <c r="T253" s="341"/>
      <c r="U253" s="341"/>
      <c r="V253" s="341"/>
      <c r="W253" s="341"/>
      <c r="X253" s="480"/>
      <c r="AA253" s="338">
        <v>17</v>
      </c>
      <c r="AB253" s="341"/>
      <c r="AC253" s="341"/>
      <c r="AD253" s="341">
        <v>1200</v>
      </c>
      <c r="AE253" s="341">
        <v>1000</v>
      </c>
      <c r="AF253" s="341"/>
      <c r="AG253" s="341"/>
      <c r="AH253" s="341"/>
      <c r="AI253" s="480"/>
      <c r="AL253" s="338">
        <v>17</v>
      </c>
      <c r="AM253" s="341"/>
      <c r="AN253" s="341">
        <v>2000</v>
      </c>
      <c r="AO253" s="341"/>
      <c r="AP253" s="341">
        <v>2500</v>
      </c>
      <c r="AQ253" s="341">
        <v>2000</v>
      </c>
      <c r="AR253" s="341">
        <v>3000</v>
      </c>
      <c r="AS253" s="341"/>
      <c r="AT253" s="341"/>
      <c r="AU253" s="341"/>
      <c r="AV253" s="341"/>
      <c r="AW253" s="343"/>
    </row>
    <row r="254" spans="1:49" ht="14.45" customHeight="1">
      <c r="A254" s="733"/>
      <c r="B254" s="338">
        <v>18</v>
      </c>
      <c r="C254" s="338">
        <v>6</v>
      </c>
      <c r="D254" s="338"/>
      <c r="E254" s="339">
        <v>20</v>
      </c>
      <c r="F254" s="339"/>
      <c r="G254" s="339">
        <v>10</v>
      </c>
      <c r="H254" s="339"/>
      <c r="I254" s="338">
        <f>25+5+10+50+3</f>
        <v>93</v>
      </c>
      <c r="J254" s="338"/>
      <c r="K254" s="338">
        <f>15+30+23+14</f>
        <v>82</v>
      </c>
      <c r="L254" s="338"/>
      <c r="M254" s="338">
        <f>4+20+5</f>
        <v>29</v>
      </c>
      <c r="N254" s="340"/>
      <c r="O254" s="731"/>
      <c r="P254" s="331"/>
      <c r="R254" s="338">
        <v>18</v>
      </c>
      <c r="S254" s="341"/>
      <c r="T254" s="341"/>
      <c r="U254" s="341"/>
      <c r="V254" s="341"/>
      <c r="W254" s="341"/>
      <c r="X254" s="480"/>
      <c r="AA254" s="338">
        <v>18</v>
      </c>
      <c r="AB254" s="341"/>
      <c r="AC254" s="341"/>
      <c r="AD254" s="341"/>
      <c r="AE254" s="341">
        <v>7000</v>
      </c>
      <c r="AF254" s="341"/>
      <c r="AG254" s="341"/>
      <c r="AH254" s="341"/>
      <c r="AI254" s="480"/>
      <c r="AL254" s="338">
        <v>18</v>
      </c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3"/>
    </row>
    <row r="255" spans="1:49" ht="14.45" customHeight="1">
      <c r="A255" s="733"/>
      <c r="B255" s="338">
        <v>19</v>
      </c>
      <c r="C255" s="338"/>
      <c r="D255" s="338"/>
      <c r="E255" s="338"/>
      <c r="F255" s="338"/>
      <c r="G255" s="338"/>
      <c r="H255" s="338"/>
      <c r="I255" s="363"/>
      <c r="J255" s="362"/>
      <c r="K255" s="362"/>
      <c r="L255" s="362"/>
      <c r="M255" s="362"/>
      <c r="N255" s="338"/>
      <c r="O255" s="731"/>
      <c r="P255" s="331"/>
      <c r="R255" s="338">
        <v>19</v>
      </c>
      <c r="S255" s="341"/>
      <c r="T255" s="341"/>
      <c r="U255" s="341"/>
      <c r="V255" s="341"/>
      <c r="W255" s="341"/>
      <c r="X255" s="480"/>
      <c r="AA255" s="338">
        <v>19</v>
      </c>
      <c r="AB255" s="341"/>
      <c r="AC255" s="341"/>
      <c r="AD255" s="341"/>
      <c r="AE255" s="341">
        <v>2500</v>
      </c>
      <c r="AF255" s="341"/>
      <c r="AG255" s="341"/>
      <c r="AH255" s="341"/>
      <c r="AI255" s="480"/>
      <c r="AL255" s="338">
        <v>19</v>
      </c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3"/>
    </row>
    <row r="256" spans="1:49" ht="14.45" customHeight="1">
      <c r="A256" s="733"/>
      <c r="B256" s="338">
        <v>20</v>
      </c>
      <c r="C256" s="338"/>
      <c r="D256" s="338"/>
      <c r="E256" s="338"/>
      <c r="F256" s="338"/>
      <c r="G256" s="338">
        <f>10+40+75+34</f>
        <v>159</v>
      </c>
      <c r="H256" s="338"/>
      <c r="I256" s="338">
        <v>13</v>
      </c>
      <c r="J256" s="338"/>
      <c r="K256" s="338">
        <v>20</v>
      </c>
      <c r="L256" s="338"/>
      <c r="M256" s="338"/>
      <c r="N256" s="338"/>
      <c r="O256" s="731"/>
      <c r="P256" s="331"/>
      <c r="R256" s="338">
        <v>20</v>
      </c>
      <c r="S256" s="341"/>
      <c r="T256" s="341"/>
      <c r="U256" s="341"/>
      <c r="V256" s="341"/>
      <c r="W256" s="341"/>
      <c r="X256" s="480"/>
      <c r="AA256" s="338">
        <v>20</v>
      </c>
      <c r="AB256" s="341"/>
      <c r="AC256" s="341"/>
      <c r="AD256" s="341"/>
      <c r="AE256" s="341"/>
      <c r="AF256" s="341"/>
      <c r="AG256" s="341"/>
      <c r="AH256" s="341"/>
      <c r="AI256" s="480"/>
      <c r="AL256" s="338">
        <v>20</v>
      </c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3"/>
    </row>
    <row r="257" spans="1:49" ht="14.45" customHeight="1">
      <c r="A257" s="733"/>
      <c r="B257" s="338">
        <v>21</v>
      </c>
      <c r="C257" s="338">
        <v>1</v>
      </c>
      <c r="D257" s="338"/>
      <c r="E257" s="338">
        <v>5</v>
      </c>
      <c r="F257" s="338"/>
      <c r="G257" s="338">
        <f>25+87+4</f>
        <v>116</v>
      </c>
      <c r="H257" s="338"/>
      <c r="I257" s="338"/>
      <c r="J257" s="338"/>
      <c r="K257" s="338">
        <v>9</v>
      </c>
      <c r="L257" s="338"/>
      <c r="M257" s="338"/>
      <c r="N257" s="338"/>
      <c r="O257" s="731"/>
      <c r="P257" s="331"/>
      <c r="R257" s="338">
        <v>21</v>
      </c>
      <c r="S257" s="341"/>
      <c r="T257" s="341"/>
      <c r="U257" s="341"/>
      <c r="V257" s="341"/>
      <c r="W257" s="341"/>
      <c r="X257" s="480"/>
      <c r="AA257" s="338">
        <v>21</v>
      </c>
      <c r="AB257" s="341"/>
      <c r="AC257" s="341"/>
      <c r="AD257" s="341"/>
      <c r="AE257" s="341"/>
      <c r="AF257" s="341"/>
      <c r="AG257" s="341"/>
      <c r="AH257" s="341"/>
      <c r="AI257" s="480"/>
      <c r="AL257" s="338">
        <v>21</v>
      </c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3"/>
    </row>
    <row r="258" spans="1:49" ht="14.45" customHeight="1">
      <c r="A258" s="733"/>
      <c r="B258" s="338">
        <v>22</v>
      </c>
      <c r="C258" s="338">
        <v>100</v>
      </c>
      <c r="E258" s="338">
        <v>3</v>
      </c>
      <c r="F258" s="338"/>
      <c r="G258" s="338">
        <v>30</v>
      </c>
      <c r="H258" s="338"/>
      <c r="I258" s="338">
        <v>1</v>
      </c>
      <c r="J258" s="338"/>
      <c r="K258" s="338">
        <v>80</v>
      </c>
      <c r="L258" s="338"/>
      <c r="M258" s="338"/>
      <c r="N258" s="338"/>
      <c r="O258" s="731"/>
      <c r="P258" s="331"/>
      <c r="R258" s="338">
        <v>22</v>
      </c>
      <c r="S258" s="341"/>
      <c r="T258" s="341"/>
      <c r="U258" s="341"/>
      <c r="V258" s="341"/>
      <c r="W258" s="341"/>
      <c r="X258" s="480"/>
      <c r="AA258" s="338">
        <v>22</v>
      </c>
      <c r="AB258" s="341"/>
      <c r="AC258" s="341"/>
      <c r="AD258" s="341"/>
      <c r="AE258" s="341"/>
      <c r="AF258" s="341"/>
      <c r="AG258" s="341"/>
      <c r="AH258" s="341"/>
      <c r="AI258" s="480"/>
      <c r="AL258" s="338">
        <v>22</v>
      </c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3"/>
    </row>
    <row r="259" spans="1:49" ht="14.45" customHeight="1">
      <c r="A259" s="733"/>
      <c r="B259" s="338">
        <v>23</v>
      </c>
      <c r="C259" s="338"/>
      <c r="D259" s="338"/>
      <c r="E259" s="339"/>
      <c r="F259" s="339"/>
      <c r="G259" s="339">
        <f>51+34</f>
        <v>85</v>
      </c>
      <c r="H259" s="339"/>
      <c r="I259" s="339">
        <v>25</v>
      </c>
      <c r="J259" s="340"/>
      <c r="K259" s="340">
        <f>10+4+50+30+10</f>
        <v>104</v>
      </c>
      <c r="L259" s="340"/>
      <c r="M259" s="340"/>
      <c r="N259" s="340"/>
      <c r="O259" s="731"/>
      <c r="P259" s="331"/>
      <c r="R259" s="338">
        <v>23</v>
      </c>
      <c r="S259" s="341"/>
      <c r="T259" s="341"/>
      <c r="U259" s="341"/>
      <c r="V259" s="341"/>
      <c r="W259" s="341"/>
      <c r="X259" s="480"/>
      <c r="AA259" s="338">
        <v>23</v>
      </c>
      <c r="AB259" s="341"/>
      <c r="AC259" s="341"/>
      <c r="AD259" s="341"/>
      <c r="AE259" s="341"/>
      <c r="AF259" s="341"/>
      <c r="AG259" s="341"/>
      <c r="AH259" s="341"/>
      <c r="AI259" s="480"/>
      <c r="AL259" s="338">
        <v>23</v>
      </c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3"/>
    </row>
    <row r="260" spans="1:49" ht="14.45" customHeight="1">
      <c r="A260" s="733"/>
      <c r="B260" s="338">
        <v>24</v>
      </c>
      <c r="D260" s="338">
        <v>9</v>
      </c>
      <c r="E260" s="339"/>
      <c r="F260" s="339"/>
      <c r="G260" s="366">
        <f>11+15+20</f>
        <v>46</v>
      </c>
      <c r="H260" s="339"/>
      <c r="I260" s="339">
        <f>97+20</f>
        <v>117</v>
      </c>
      <c r="J260" s="340"/>
      <c r="K260" s="340">
        <f>26.5+15</f>
        <v>41.5</v>
      </c>
      <c r="L260" s="340"/>
      <c r="M260" s="340">
        <v>12</v>
      </c>
      <c r="N260" s="340"/>
      <c r="O260" s="731"/>
      <c r="P260" s="331"/>
      <c r="R260" s="338">
        <v>24</v>
      </c>
      <c r="S260" s="341"/>
      <c r="T260" s="341"/>
      <c r="U260" s="341"/>
      <c r="V260" s="341"/>
      <c r="W260" s="341"/>
      <c r="X260" s="480"/>
      <c r="AA260" s="338">
        <v>24</v>
      </c>
      <c r="AB260" s="341"/>
      <c r="AC260" s="341"/>
      <c r="AD260" s="341"/>
      <c r="AE260" s="341"/>
      <c r="AF260" s="341"/>
      <c r="AG260" s="341"/>
      <c r="AH260" s="341"/>
      <c r="AI260" s="480"/>
      <c r="AL260" s="338">
        <v>24</v>
      </c>
      <c r="AM260" s="341"/>
      <c r="AN260" s="341"/>
      <c r="AO260" s="341"/>
      <c r="AP260" s="341"/>
      <c r="AQ260" s="341"/>
      <c r="AR260" s="341"/>
      <c r="AS260" s="341"/>
      <c r="AT260" s="341"/>
      <c r="AU260" s="341"/>
      <c r="AV260" s="341"/>
      <c r="AW260" s="343"/>
    </row>
    <row r="261" spans="1:49" ht="14.45" customHeight="1">
      <c r="A261" s="733"/>
      <c r="B261" s="338">
        <v>25</v>
      </c>
      <c r="C261" s="338">
        <v>105</v>
      </c>
      <c r="D261" s="338">
        <v>32</v>
      </c>
      <c r="E261" s="339">
        <v>43</v>
      </c>
      <c r="F261" s="339"/>
      <c r="G261" s="339">
        <f>5+7+11+4+2+15</f>
        <v>44</v>
      </c>
      <c r="H261" s="339"/>
      <c r="I261" s="339">
        <f>2+5+9+20+20+3</f>
        <v>59</v>
      </c>
      <c r="J261" s="339"/>
      <c r="K261" s="325">
        <f>2+5+15+7+20</f>
        <v>49</v>
      </c>
      <c r="L261" s="339"/>
      <c r="M261" s="339">
        <v>3</v>
      </c>
      <c r="N261" s="340"/>
      <c r="O261" s="731"/>
      <c r="P261" s="331"/>
      <c r="R261" s="338">
        <v>25</v>
      </c>
      <c r="S261" s="341"/>
      <c r="T261" s="341"/>
      <c r="U261" s="341"/>
      <c r="V261" s="341"/>
      <c r="W261" s="341"/>
      <c r="X261" s="480"/>
      <c r="AA261" s="338">
        <v>25</v>
      </c>
      <c r="AB261" s="341"/>
      <c r="AC261" s="341"/>
      <c r="AD261" s="341"/>
      <c r="AE261" s="341"/>
      <c r="AF261" s="341"/>
      <c r="AG261" s="341"/>
      <c r="AH261" s="341"/>
      <c r="AI261" s="480"/>
      <c r="AL261" s="338">
        <v>25</v>
      </c>
      <c r="AM261" s="341"/>
      <c r="AN261" s="341"/>
      <c r="AO261" s="341"/>
      <c r="AP261" s="341"/>
      <c r="AQ261" s="341"/>
      <c r="AR261" s="341"/>
      <c r="AS261" s="341"/>
      <c r="AT261" s="341"/>
      <c r="AU261" s="341"/>
      <c r="AV261" s="341"/>
      <c r="AW261" s="343"/>
    </row>
    <row r="262" spans="1:49" ht="14.45" customHeight="1">
      <c r="A262" s="733"/>
      <c r="B262" s="338">
        <v>26</v>
      </c>
      <c r="C262" s="338"/>
      <c r="D262" s="362"/>
      <c r="E262" s="362"/>
      <c r="F262" s="362"/>
      <c r="G262" s="362"/>
      <c r="H262" s="362"/>
      <c r="I262" s="363"/>
      <c r="J262" s="362"/>
      <c r="K262" s="362"/>
      <c r="L262" s="362"/>
      <c r="M262" s="362"/>
      <c r="N262" s="339"/>
      <c r="O262" s="731"/>
      <c r="P262" s="331"/>
      <c r="R262" s="338">
        <v>26</v>
      </c>
      <c r="S262" s="341"/>
      <c r="T262" s="341"/>
      <c r="U262" s="341"/>
      <c r="V262" s="341"/>
      <c r="W262" s="341"/>
      <c r="X262" s="480"/>
      <c r="AA262" s="338">
        <v>26</v>
      </c>
      <c r="AB262" s="341"/>
      <c r="AC262" s="341"/>
      <c r="AD262" s="341"/>
      <c r="AE262" s="341"/>
      <c r="AF262" s="341"/>
      <c r="AG262" s="341"/>
      <c r="AH262" s="341"/>
      <c r="AI262" s="480"/>
      <c r="AL262" s="338">
        <v>26</v>
      </c>
      <c r="AM262" s="341"/>
      <c r="AN262" s="341"/>
      <c r="AO262" s="341"/>
      <c r="AP262" s="341"/>
      <c r="AQ262" s="341"/>
      <c r="AR262" s="341"/>
      <c r="AS262" s="341"/>
      <c r="AT262" s="341"/>
      <c r="AU262" s="341"/>
      <c r="AV262" s="341"/>
      <c r="AW262" s="343"/>
    </row>
    <row r="263" spans="1:49" ht="14.45" customHeight="1">
      <c r="A263" s="733"/>
      <c r="B263" s="338">
        <v>27</v>
      </c>
      <c r="C263" s="362"/>
      <c r="D263" s="362"/>
      <c r="E263" s="362">
        <v>22</v>
      </c>
      <c r="F263" s="362"/>
      <c r="G263" s="362">
        <v>34</v>
      </c>
      <c r="H263" s="362"/>
      <c r="I263" s="363">
        <v>35</v>
      </c>
      <c r="J263" s="362"/>
      <c r="K263" s="362"/>
      <c r="L263" s="362"/>
      <c r="M263" s="362">
        <v>5.5</v>
      </c>
      <c r="N263" s="339">
        <v>11</v>
      </c>
      <c r="O263" s="731"/>
      <c r="P263" s="331"/>
      <c r="R263" s="338">
        <v>27</v>
      </c>
      <c r="S263" s="341"/>
      <c r="T263" s="341"/>
      <c r="U263" s="341"/>
      <c r="V263" s="341"/>
      <c r="W263" s="341"/>
      <c r="X263" s="480"/>
      <c r="AA263" s="338">
        <v>27</v>
      </c>
      <c r="AB263" s="341"/>
      <c r="AC263" s="341"/>
      <c r="AD263" s="341"/>
      <c r="AE263" s="341"/>
      <c r="AF263" s="341"/>
      <c r="AG263" s="341"/>
      <c r="AH263" s="341"/>
      <c r="AI263" s="480"/>
      <c r="AL263" s="338">
        <v>27</v>
      </c>
      <c r="AM263" s="341"/>
      <c r="AN263" s="341"/>
      <c r="AO263" s="341"/>
      <c r="AP263" s="341"/>
      <c r="AQ263" s="341"/>
      <c r="AR263" s="341"/>
      <c r="AS263" s="341"/>
      <c r="AT263" s="341"/>
      <c r="AU263" s="341"/>
      <c r="AV263" s="341"/>
      <c r="AW263" s="343"/>
    </row>
    <row r="264" spans="1:49" ht="14.45" customHeight="1">
      <c r="A264" s="733"/>
      <c r="B264" s="338">
        <v>28</v>
      </c>
      <c r="C264" s="346"/>
      <c r="D264" s="346"/>
      <c r="E264" s="347"/>
      <c r="F264" s="347"/>
      <c r="G264" s="338">
        <v>2</v>
      </c>
      <c r="H264" s="339"/>
      <c r="I264" s="339">
        <f>44+22+1+4.5+4</f>
        <v>75.5</v>
      </c>
      <c r="J264" s="340"/>
      <c r="K264" s="339">
        <f>10+45+7+5</f>
        <v>67</v>
      </c>
      <c r="L264" s="339"/>
      <c r="M264" s="340">
        <f>25+8.5</f>
        <v>33.5</v>
      </c>
      <c r="N264" s="340"/>
      <c r="O264" s="731"/>
      <c r="P264" s="331"/>
      <c r="R264" s="338">
        <v>28</v>
      </c>
      <c r="S264" s="341"/>
      <c r="T264" s="341"/>
      <c r="U264" s="341"/>
      <c r="V264" s="341"/>
      <c r="W264" s="341"/>
      <c r="X264" s="480"/>
      <c r="AA264" s="338">
        <v>28</v>
      </c>
      <c r="AB264" s="341"/>
      <c r="AC264" s="341"/>
      <c r="AD264" s="341"/>
      <c r="AE264" s="341"/>
      <c r="AF264" s="341"/>
      <c r="AG264" s="341"/>
      <c r="AH264" s="341"/>
      <c r="AI264" s="480"/>
      <c r="AL264" s="338">
        <v>28</v>
      </c>
      <c r="AM264" s="341"/>
      <c r="AN264" s="341"/>
      <c r="AO264" s="341"/>
      <c r="AP264" s="341"/>
      <c r="AQ264" s="341"/>
      <c r="AR264" s="341"/>
      <c r="AS264" s="341"/>
      <c r="AT264" s="341"/>
      <c r="AU264" s="341"/>
      <c r="AV264" s="341"/>
      <c r="AW264" s="343"/>
    </row>
    <row r="265" spans="1:49" ht="14.45" customHeight="1">
      <c r="A265" s="733"/>
      <c r="B265" s="338">
        <v>29</v>
      </c>
      <c r="C265" s="338"/>
      <c r="D265" s="338"/>
      <c r="E265" s="339">
        <v>15</v>
      </c>
      <c r="F265" s="339"/>
      <c r="G265" s="339">
        <v>47</v>
      </c>
      <c r="H265" s="339"/>
      <c r="I265" s="339">
        <v>17</v>
      </c>
      <c r="J265" s="340"/>
      <c r="K265" s="339">
        <f>30+70+18+10</f>
        <v>128</v>
      </c>
      <c r="L265" s="339"/>
      <c r="M265" s="340">
        <v>6</v>
      </c>
      <c r="N265" s="340"/>
      <c r="O265" s="731"/>
      <c r="P265" s="331"/>
      <c r="R265" s="338">
        <v>29</v>
      </c>
      <c r="S265" s="341"/>
      <c r="T265" s="341"/>
      <c r="U265" s="341"/>
      <c r="V265" s="341"/>
      <c r="W265" s="341"/>
      <c r="X265" s="480"/>
      <c r="AA265" s="338">
        <v>29</v>
      </c>
      <c r="AB265" s="341"/>
      <c r="AC265" s="341"/>
      <c r="AD265" s="341"/>
      <c r="AE265" s="341"/>
      <c r="AF265" s="341"/>
      <c r="AG265" s="341"/>
      <c r="AH265" s="341"/>
      <c r="AI265" s="480"/>
      <c r="AL265" s="338">
        <v>29</v>
      </c>
      <c r="AM265" s="341"/>
      <c r="AN265" s="341"/>
      <c r="AO265" s="341"/>
      <c r="AP265" s="341"/>
      <c r="AQ265" s="341"/>
      <c r="AR265" s="341"/>
      <c r="AS265" s="341"/>
      <c r="AT265" s="341"/>
      <c r="AU265" s="341"/>
      <c r="AV265" s="341"/>
      <c r="AW265" s="343"/>
    </row>
    <row r="266" spans="1:49" ht="14.45" customHeight="1">
      <c r="A266" s="733"/>
      <c r="B266" s="338">
        <v>30</v>
      </c>
      <c r="C266" s="349"/>
      <c r="D266" s="349"/>
      <c r="E266" s="350">
        <v>15</v>
      </c>
      <c r="F266" s="350">
        <v>1</v>
      </c>
      <c r="G266" s="338">
        <v>1</v>
      </c>
      <c r="H266" s="338"/>
      <c r="I266" s="339">
        <f>10+10+30+5</f>
        <v>55</v>
      </c>
      <c r="J266" s="339"/>
      <c r="K266" s="338">
        <f>40+10+20+30+3+10+5</f>
        <v>118</v>
      </c>
      <c r="L266" s="338"/>
      <c r="M266" s="350">
        <f>10+4+30</f>
        <v>44</v>
      </c>
      <c r="N266" s="339"/>
      <c r="O266" s="731"/>
      <c r="P266" s="331"/>
      <c r="R266" s="338">
        <v>30</v>
      </c>
      <c r="S266" s="341"/>
      <c r="T266" s="341"/>
      <c r="U266" s="341"/>
      <c r="V266" s="341"/>
      <c r="W266" s="341"/>
      <c r="X266" s="480"/>
      <c r="AA266" s="338">
        <v>30</v>
      </c>
      <c r="AB266" s="341"/>
      <c r="AC266" s="341"/>
      <c r="AD266" s="341"/>
      <c r="AE266" s="341"/>
      <c r="AF266" s="341"/>
      <c r="AG266" s="341"/>
      <c r="AH266" s="341"/>
      <c r="AI266" s="480"/>
      <c r="AL266" s="338">
        <v>30</v>
      </c>
      <c r="AM266" s="341"/>
      <c r="AN266" s="341"/>
      <c r="AO266" s="341"/>
      <c r="AP266" s="341"/>
      <c r="AQ266" s="341"/>
      <c r="AR266" s="341"/>
      <c r="AS266" s="341"/>
      <c r="AT266" s="341"/>
      <c r="AU266" s="341"/>
      <c r="AV266" s="341"/>
      <c r="AW266" s="343"/>
    </row>
    <row r="267" spans="1:49" ht="14.45" customHeight="1">
      <c r="A267" s="733"/>
      <c r="B267" s="338">
        <v>31</v>
      </c>
      <c r="C267" s="362"/>
      <c r="D267" s="362"/>
      <c r="E267" s="362"/>
      <c r="F267" s="339"/>
      <c r="G267" s="339"/>
      <c r="H267" s="339"/>
      <c r="I267" s="339"/>
      <c r="J267" s="339"/>
      <c r="K267" s="338"/>
      <c r="L267" s="338"/>
      <c r="M267" s="362"/>
      <c r="N267" s="339"/>
      <c r="O267" s="731"/>
      <c r="P267" s="331"/>
      <c r="R267" s="338">
        <v>31</v>
      </c>
      <c r="S267" s="352"/>
      <c r="T267" s="352"/>
      <c r="U267" s="352"/>
      <c r="V267" s="352"/>
      <c r="W267" s="352"/>
      <c r="X267" s="480"/>
      <c r="AA267" s="338">
        <v>31</v>
      </c>
      <c r="AB267" s="352"/>
      <c r="AC267" s="352"/>
      <c r="AD267" s="352"/>
      <c r="AE267" s="352"/>
      <c r="AF267" s="352"/>
      <c r="AG267" s="352"/>
      <c r="AH267" s="352"/>
      <c r="AI267" s="480"/>
      <c r="AL267" s="338">
        <v>31</v>
      </c>
      <c r="AM267" s="352"/>
      <c r="AN267" s="352"/>
      <c r="AO267" s="352"/>
      <c r="AP267" s="352"/>
      <c r="AQ267" s="352"/>
      <c r="AR267" s="352"/>
      <c r="AS267" s="352"/>
      <c r="AT267" s="352"/>
      <c r="AU267" s="352"/>
      <c r="AV267" s="352"/>
      <c r="AW267" s="343"/>
    </row>
    <row r="268" spans="1:49" s="7" customFormat="1" ht="32.450000000000003" customHeight="1">
      <c r="A268" s="733"/>
      <c r="B268" s="353" t="s">
        <v>16</v>
      </c>
      <c r="C268" s="354">
        <f>+SUM(C237:C267)</f>
        <v>1345.5</v>
      </c>
      <c r="D268" s="354">
        <f t="shared" ref="D268:N268" si="13">+SUM(D237:D267)</f>
        <v>177</v>
      </c>
      <c r="E268" s="354">
        <f t="shared" si="13"/>
        <v>334.5</v>
      </c>
      <c r="F268" s="354">
        <f t="shared" si="13"/>
        <v>18</v>
      </c>
      <c r="G268" s="354">
        <f t="shared" si="13"/>
        <v>931.4</v>
      </c>
      <c r="H268" s="354">
        <f t="shared" si="13"/>
        <v>0</v>
      </c>
      <c r="I268" s="354">
        <f t="shared" si="13"/>
        <v>1127</v>
      </c>
      <c r="J268" s="354">
        <f t="shared" si="13"/>
        <v>0</v>
      </c>
      <c r="K268" s="354">
        <f t="shared" si="13"/>
        <v>1322.3</v>
      </c>
      <c r="L268" s="354">
        <f t="shared" si="13"/>
        <v>3.1</v>
      </c>
      <c r="M268" s="354">
        <f t="shared" si="13"/>
        <v>259</v>
      </c>
      <c r="N268" s="354">
        <f t="shared" si="13"/>
        <v>13</v>
      </c>
      <c r="O268" s="731"/>
      <c r="P268" s="331"/>
      <c r="Q268" s="325"/>
      <c r="R268" s="353" t="s">
        <v>16</v>
      </c>
      <c r="S268" s="352">
        <f>SUM(S237:S267)</f>
        <v>0</v>
      </c>
      <c r="T268" s="352">
        <f>SUM(T237:T267)</f>
        <v>0</v>
      </c>
      <c r="U268" s="352">
        <f>SUM(U237:U267)</f>
        <v>0</v>
      </c>
      <c r="V268" s="352">
        <f>SUM(V237:V267)</f>
        <v>0</v>
      </c>
      <c r="W268" s="352">
        <f>SUM(W237:W267)</f>
        <v>0</v>
      </c>
      <c r="X268" s="482"/>
      <c r="Y268" s="493"/>
      <c r="Z268" s="325"/>
      <c r="AA268" s="353" t="s">
        <v>16</v>
      </c>
      <c r="AB268" s="352">
        <f>SUM(AB237:AB267)</f>
        <v>0</v>
      </c>
      <c r="AC268" s="352">
        <f>SUM(AC237:AC267)</f>
        <v>0</v>
      </c>
      <c r="AD268" s="352">
        <f>SUM(AD237:AD267)</f>
        <v>1200</v>
      </c>
      <c r="AE268" s="352">
        <f>SUM(AE237:AE267)</f>
        <v>10500</v>
      </c>
      <c r="AF268" s="352"/>
      <c r="AG268" s="352"/>
      <c r="AH268" s="352">
        <f>SUM(AH237:AH267)</f>
        <v>0</v>
      </c>
      <c r="AI268" s="482"/>
      <c r="AJ268" s="493"/>
      <c r="AK268" s="325"/>
      <c r="AL268" s="353" t="s">
        <v>16</v>
      </c>
      <c r="AM268" s="352">
        <f>SUM(AM237:AM267)</f>
        <v>0</v>
      </c>
      <c r="AN268" s="352">
        <f t="shared" ref="AN268:AS268" si="14">SUM(AN237:AN267)</f>
        <v>2000</v>
      </c>
      <c r="AO268" s="352">
        <f t="shared" si="14"/>
        <v>0</v>
      </c>
      <c r="AP268" s="352">
        <f t="shared" si="14"/>
        <v>2500</v>
      </c>
      <c r="AQ268" s="352">
        <f t="shared" si="14"/>
        <v>2000</v>
      </c>
      <c r="AR268" s="352">
        <f t="shared" si="14"/>
        <v>3000</v>
      </c>
      <c r="AS268" s="352">
        <f t="shared" si="14"/>
        <v>0</v>
      </c>
      <c r="AT268" s="352"/>
      <c r="AU268" s="352">
        <f>SUM(AU237:AU267)</f>
        <v>0</v>
      </c>
      <c r="AV268" s="352">
        <f>SUM(AV237:AV267)</f>
        <v>0</v>
      </c>
      <c r="AW268" s="356"/>
    </row>
    <row r="269" spans="1:49">
      <c r="A269" s="332" t="s">
        <v>18</v>
      </c>
      <c r="J269" s="323"/>
      <c r="M269" s="323"/>
      <c r="N269" s="323"/>
      <c r="O269" s="497"/>
    </row>
    <row r="270" spans="1:49">
      <c r="J270" s="498"/>
      <c r="K270" s="498"/>
      <c r="L270" s="498"/>
      <c r="M270" s="498"/>
      <c r="N270" s="498"/>
    </row>
    <row r="271" spans="1:49" ht="14.45" customHeight="1">
      <c r="A271" s="734">
        <v>46144</v>
      </c>
      <c r="B271" s="338">
        <v>1</v>
      </c>
      <c r="C271" s="338"/>
      <c r="D271" s="338"/>
      <c r="E271" s="339"/>
      <c r="F271" s="339"/>
      <c r="G271" s="339"/>
      <c r="H271" s="339"/>
      <c r="I271" s="339"/>
      <c r="J271" s="339"/>
      <c r="K271" s="341"/>
      <c r="L271" s="339"/>
      <c r="M271" s="339"/>
      <c r="N271" s="339"/>
      <c r="O271" s="731">
        <f>+C302+D302+E302+F302+G302+H302+I302+J302+K302+L302+M302+N302</f>
        <v>6915.9999999999991</v>
      </c>
      <c r="P271" s="331"/>
      <c r="R271" s="338">
        <v>1</v>
      </c>
      <c r="S271" s="341"/>
      <c r="T271" s="341"/>
      <c r="U271" s="341"/>
      <c r="V271" s="341"/>
      <c r="W271" s="341"/>
      <c r="X271" s="479">
        <f>SUM(S302:X302)</f>
        <v>0</v>
      </c>
      <c r="AA271" s="338">
        <v>1</v>
      </c>
      <c r="AB271" s="341"/>
      <c r="AC271" s="341"/>
      <c r="AD271" s="341"/>
      <c r="AE271" s="341"/>
      <c r="AF271" s="341"/>
      <c r="AG271" s="341"/>
      <c r="AH271" s="341"/>
      <c r="AI271" s="479">
        <f>SUM(AB302:AI302)</f>
        <v>11700</v>
      </c>
      <c r="AL271" s="338">
        <v>1</v>
      </c>
      <c r="AM271" s="341"/>
      <c r="AN271" s="341"/>
      <c r="AO271" s="341"/>
      <c r="AP271" s="341"/>
      <c r="AQ271" s="341"/>
      <c r="AR271" s="341"/>
      <c r="AS271" s="341"/>
      <c r="AT271" s="341"/>
      <c r="AU271" s="341"/>
      <c r="AV271" s="341"/>
      <c r="AW271" s="342">
        <f>SUM(AM302:AW302)</f>
        <v>9500</v>
      </c>
    </row>
    <row r="272" spans="1:49" ht="14.45" customHeight="1">
      <c r="A272" s="735"/>
      <c r="B272" s="338">
        <v>2</v>
      </c>
      <c r="C272" s="338">
        <v>2</v>
      </c>
      <c r="D272" s="338">
        <v>2</v>
      </c>
      <c r="E272" s="339">
        <v>5</v>
      </c>
      <c r="F272" s="339"/>
      <c r="G272" s="339">
        <v>75</v>
      </c>
      <c r="H272" s="339"/>
      <c r="I272" s="339">
        <v>40</v>
      </c>
      <c r="J272" s="339"/>
      <c r="K272" s="339">
        <v>42</v>
      </c>
      <c r="L272" s="339"/>
      <c r="M272" s="339">
        <v>20</v>
      </c>
      <c r="N272" s="339"/>
      <c r="O272" s="731"/>
      <c r="P272" s="331"/>
      <c r="R272" s="338">
        <v>2</v>
      </c>
      <c r="S272" s="341"/>
      <c r="T272" s="341"/>
      <c r="U272" s="341"/>
      <c r="V272" s="341"/>
      <c r="W272" s="341"/>
      <c r="X272" s="480"/>
      <c r="AA272" s="338">
        <v>2</v>
      </c>
      <c r="AB272" s="341"/>
      <c r="AC272" s="341"/>
      <c r="AD272" s="341"/>
      <c r="AE272" s="341"/>
      <c r="AF272" s="341"/>
      <c r="AG272" s="341"/>
      <c r="AH272" s="341"/>
      <c r="AI272" s="480"/>
      <c r="AL272" s="338">
        <v>2</v>
      </c>
      <c r="AM272" s="341"/>
      <c r="AN272" s="341"/>
      <c r="AO272" s="341"/>
      <c r="AP272" s="341"/>
      <c r="AQ272" s="341"/>
      <c r="AR272" s="341"/>
      <c r="AS272" s="341"/>
      <c r="AT272" s="341"/>
      <c r="AU272" s="341"/>
      <c r="AV272" s="341"/>
      <c r="AW272" s="343"/>
    </row>
    <row r="273" spans="1:49" ht="14.45" customHeight="1">
      <c r="A273" s="735"/>
      <c r="B273" s="338">
        <v>3</v>
      </c>
      <c r="C273" s="338"/>
      <c r="D273" s="338"/>
      <c r="E273" s="339"/>
      <c r="F273" s="339"/>
      <c r="G273" s="339"/>
      <c r="H273" s="339"/>
      <c r="I273" s="339"/>
      <c r="J273" s="340"/>
      <c r="K273" s="340"/>
      <c r="L273" s="340"/>
      <c r="M273" s="340"/>
      <c r="N273" s="340"/>
      <c r="O273" s="731"/>
      <c r="P273" s="331"/>
      <c r="R273" s="338">
        <v>3</v>
      </c>
      <c r="S273" s="341"/>
      <c r="T273" s="341"/>
      <c r="U273" s="341"/>
      <c r="V273" s="341"/>
      <c r="W273" s="341"/>
      <c r="X273" s="480"/>
      <c r="AA273" s="338">
        <v>3</v>
      </c>
      <c r="AB273" s="341"/>
      <c r="AC273" s="341"/>
      <c r="AD273" s="341"/>
      <c r="AE273" s="341"/>
      <c r="AF273" s="341"/>
      <c r="AG273" s="341"/>
      <c r="AH273" s="341"/>
      <c r="AI273" s="480"/>
      <c r="AL273" s="338">
        <v>3</v>
      </c>
      <c r="AM273" s="341"/>
      <c r="AN273" s="341"/>
      <c r="AO273" s="341"/>
      <c r="AP273" s="341"/>
      <c r="AQ273" s="341"/>
      <c r="AR273" s="341"/>
      <c r="AS273" s="341"/>
      <c r="AT273" s="341"/>
      <c r="AU273" s="341"/>
      <c r="AV273" s="341"/>
      <c r="AW273" s="343"/>
    </row>
    <row r="274" spans="1:49" ht="14.45" customHeight="1">
      <c r="A274" s="735"/>
      <c r="B274" s="338">
        <v>4</v>
      </c>
      <c r="C274" s="338"/>
      <c r="D274" s="338">
        <v>40</v>
      </c>
      <c r="E274" s="339">
        <v>30</v>
      </c>
      <c r="F274" s="339"/>
      <c r="G274" s="339">
        <v>28</v>
      </c>
      <c r="H274" s="339"/>
      <c r="I274" s="339">
        <v>24</v>
      </c>
      <c r="J274" s="340"/>
      <c r="K274" s="340">
        <f>10+20+95</f>
        <v>125</v>
      </c>
      <c r="L274" s="340"/>
      <c r="M274" s="340">
        <f>20</f>
        <v>20</v>
      </c>
      <c r="N274" s="340"/>
      <c r="O274" s="731"/>
      <c r="P274" s="331"/>
      <c r="R274" s="338">
        <v>4</v>
      </c>
      <c r="S274" s="341"/>
      <c r="T274" s="341"/>
      <c r="U274" s="341"/>
      <c r="V274" s="341"/>
      <c r="W274" s="341"/>
      <c r="X274" s="480"/>
      <c r="AA274" s="338">
        <v>4</v>
      </c>
      <c r="AB274" s="341"/>
      <c r="AC274" s="341"/>
      <c r="AD274" s="341"/>
      <c r="AE274" s="341"/>
      <c r="AF274" s="341"/>
      <c r="AG274" s="341"/>
      <c r="AH274" s="341"/>
      <c r="AI274" s="480"/>
      <c r="AL274" s="338">
        <v>4</v>
      </c>
      <c r="AM274" s="341"/>
      <c r="AN274" s="341"/>
      <c r="AO274" s="341"/>
      <c r="AP274" s="341"/>
      <c r="AQ274" s="341"/>
      <c r="AR274" s="341"/>
      <c r="AS274" s="341"/>
      <c r="AT274" s="341"/>
      <c r="AU274" s="341"/>
      <c r="AV274" s="341"/>
      <c r="AW274" s="343"/>
    </row>
    <row r="275" spans="1:49" ht="14.45" customHeight="1">
      <c r="A275" s="735"/>
      <c r="B275" s="338">
        <v>5</v>
      </c>
      <c r="C275" s="338"/>
      <c r="D275" s="338"/>
      <c r="E275" s="339">
        <v>40</v>
      </c>
      <c r="F275" s="339">
        <v>4</v>
      </c>
      <c r="G275" s="339"/>
      <c r="H275" s="339"/>
      <c r="I275" s="339">
        <v>50</v>
      </c>
      <c r="J275" s="340"/>
      <c r="K275" s="340">
        <f>35+50+20+30+18</f>
        <v>153</v>
      </c>
      <c r="L275" s="340"/>
      <c r="M275" s="340">
        <v>13</v>
      </c>
      <c r="N275" s="340">
        <v>5</v>
      </c>
      <c r="O275" s="731"/>
      <c r="P275" s="331"/>
      <c r="R275" s="338">
        <v>5</v>
      </c>
      <c r="S275" s="341"/>
      <c r="T275" s="341"/>
      <c r="U275" s="341"/>
      <c r="V275" s="341"/>
      <c r="W275" s="341"/>
      <c r="X275" s="480"/>
      <c r="AA275" s="338">
        <v>5</v>
      </c>
      <c r="AB275" s="341"/>
      <c r="AC275" s="341"/>
      <c r="AD275" s="341"/>
      <c r="AE275" s="341"/>
      <c r="AF275" s="341"/>
      <c r="AG275" s="341"/>
      <c r="AH275" s="341"/>
      <c r="AI275" s="480"/>
      <c r="AL275" s="338">
        <v>5</v>
      </c>
      <c r="AM275" s="341"/>
      <c r="AN275" s="341"/>
      <c r="AO275" s="341"/>
      <c r="AP275" s="341"/>
      <c r="AQ275" s="341"/>
      <c r="AR275" s="341"/>
      <c r="AS275" s="341"/>
      <c r="AT275" s="341"/>
      <c r="AU275" s="341"/>
      <c r="AV275" s="341"/>
      <c r="AW275" s="343"/>
    </row>
    <row r="276" spans="1:49" ht="14.45" customHeight="1">
      <c r="A276" s="735"/>
      <c r="B276" s="338">
        <v>6</v>
      </c>
      <c r="C276" s="338"/>
      <c r="D276" s="338"/>
      <c r="E276" s="339"/>
      <c r="G276" s="339">
        <f>5+3+8</f>
        <v>16</v>
      </c>
      <c r="H276" s="339"/>
      <c r="I276" s="339">
        <f>188+17</f>
        <v>205</v>
      </c>
      <c r="J276" s="340"/>
      <c r="K276" s="340">
        <f>68+50</f>
        <v>118</v>
      </c>
      <c r="L276" s="340"/>
      <c r="M276" s="340">
        <f>2+16+4</f>
        <v>22</v>
      </c>
      <c r="N276" s="340"/>
      <c r="O276" s="731"/>
      <c r="P276" s="331"/>
      <c r="R276" s="338">
        <v>6</v>
      </c>
      <c r="S276" s="341"/>
      <c r="T276" s="341"/>
      <c r="U276" s="341"/>
      <c r="V276" s="341"/>
      <c r="W276" s="341"/>
      <c r="X276" s="480"/>
      <c r="AA276" s="338">
        <v>6</v>
      </c>
      <c r="AB276" s="341"/>
      <c r="AC276" s="341"/>
      <c r="AD276" s="341"/>
      <c r="AE276" s="341"/>
      <c r="AF276" s="341"/>
      <c r="AG276" s="341"/>
      <c r="AH276" s="341"/>
      <c r="AI276" s="480"/>
      <c r="AL276" s="338">
        <v>6</v>
      </c>
      <c r="AM276" s="341"/>
      <c r="AN276" s="341"/>
      <c r="AO276" s="341"/>
      <c r="AP276" s="341"/>
      <c r="AQ276" s="341"/>
      <c r="AR276" s="341"/>
      <c r="AS276" s="341"/>
      <c r="AT276" s="341"/>
      <c r="AU276" s="341"/>
      <c r="AV276" s="341"/>
      <c r="AW276" s="343"/>
    </row>
    <row r="277" spans="1:49" ht="14.45" customHeight="1">
      <c r="A277" s="735"/>
      <c r="B277" s="338">
        <v>7</v>
      </c>
      <c r="C277" s="338"/>
      <c r="D277" s="338"/>
      <c r="E277" s="339"/>
      <c r="F277" s="339"/>
      <c r="G277" s="339">
        <f>10+1+25+2</f>
        <v>38</v>
      </c>
      <c r="H277" s="339"/>
      <c r="I277" s="358">
        <f>30+30+20+2+4</f>
        <v>86</v>
      </c>
      <c r="J277" s="340"/>
      <c r="K277" s="340">
        <f>50+5+10+5+90+2</f>
        <v>162</v>
      </c>
      <c r="L277" s="340"/>
      <c r="M277" s="359">
        <f>50</f>
        <v>50</v>
      </c>
      <c r="N277" s="340"/>
      <c r="O277" s="731"/>
      <c r="P277" s="331"/>
      <c r="R277" s="338">
        <v>7</v>
      </c>
      <c r="S277" s="341"/>
      <c r="T277" s="341"/>
      <c r="U277" s="341"/>
      <c r="V277" s="341"/>
      <c r="W277" s="341"/>
      <c r="X277" s="480"/>
      <c r="AA277" s="338">
        <v>7</v>
      </c>
      <c r="AB277" s="341"/>
      <c r="AC277" s="341"/>
      <c r="AD277" s="341"/>
      <c r="AE277" s="341"/>
      <c r="AF277" s="341"/>
      <c r="AG277" s="341"/>
      <c r="AH277" s="341"/>
      <c r="AI277" s="480"/>
      <c r="AL277" s="338">
        <v>7</v>
      </c>
      <c r="AM277" s="341"/>
      <c r="AN277" s="341"/>
      <c r="AO277" s="341"/>
      <c r="AP277" s="341"/>
      <c r="AQ277" s="341"/>
      <c r="AR277" s="341"/>
      <c r="AS277" s="341"/>
      <c r="AT277" s="341"/>
      <c r="AU277" s="341"/>
      <c r="AV277" s="341"/>
      <c r="AW277" s="343"/>
    </row>
    <row r="278" spans="1:49" ht="14.45" customHeight="1">
      <c r="A278" s="735"/>
      <c r="B278" s="338">
        <v>8</v>
      </c>
      <c r="C278" s="338"/>
      <c r="D278" s="338">
        <v>30</v>
      </c>
      <c r="E278" s="339"/>
      <c r="F278" s="339"/>
      <c r="G278" s="339">
        <v>55</v>
      </c>
      <c r="H278" s="339"/>
      <c r="I278" s="339">
        <v>146</v>
      </c>
      <c r="J278" s="340"/>
      <c r="K278" s="340">
        <f>95+20</f>
        <v>115</v>
      </c>
      <c r="L278" s="340"/>
      <c r="M278" s="340">
        <v>20</v>
      </c>
      <c r="N278" s="340"/>
      <c r="O278" s="731"/>
      <c r="P278" s="331"/>
      <c r="R278" s="338">
        <v>8</v>
      </c>
      <c r="S278" s="341"/>
      <c r="T278" s="341"/>
      <c r="U278" s="341"/>
      <c r="V278" s="341"/>
      <c r="W278" s="341"/>
      <c r="X278" s="480"/>
      <c r="AA278" s="338">
        <v>8</v>
      </c>
      <c r="AB278" s="341"/>
      <c r="AC278" s="341"/>
      <c r="AD278" s="341"/>
      <c r="AE278" s="341"/>
      <c r="AF278" s="341"/>
      <c r="AG278" s="341"/>
      <c r="AH278" s="341"/>
      <c r="AI278" s="480"/>
      <c r="AL278" s="338">
        <v>8</v>
      </c>
      <c r="AM278" s="341"/>
      <c r="AN278" s="341"/>
      <c r="AO278" s="341"/>
      <c r="AP278" s="341"/>
      <c r="AQ278" s="341"/>
      <c r="AR278" s="341"/>
      <c r="AS278" s="341"/>
      <c r="AT278" s="341"/>
      <c r="AU278" s="341"/>
      <c r="AV278" s="341"/>
      <c r="AW278" s="343"/>
    </row>
    <row r="279" spans="1:49" ht="14.45" customHeight="1">
      <c r="A279" s="735"/>
      <c r="B279" s="338">
        <v>9</v>
      </c>
      <c r="C279" s="338"/>
      <c r="D279" s="338"/>
      <c r="E279" s="339">
        <v>30</v>
      </c>
      <c r="F279" s="339"/>
      <c r="G279" s="339">
        <v>25</v>
      </c>
      <c r="H279" s="339"/>
      <c r="I279" s="339">
        <v>151</v>
      </c>
      <c r="J279" s="340"/>
      <c r="K279" s="340">
        <f>30+4</f>
        <v>34</v>
      </c>
      <c r="L279" s="340"/>
      <c r="M279" s="340">
        <v>40</v>
      </c>
      <c r="N279" s="340"/>
      <c r="O279" s="731"/>
      <c r="P279" s="331"/>
      <c r="R279" s="338">
        <v>9</v>
      </c>
      <c r="S279" s="341"/>
      <c r="T279" s="341"/>
      <c r="U279" s="341"/>
      <c r="V279" s="341"/>
      <c r="W279" s="341"/>
      <c r="X279" s="480"/>
      <c r="AA279" s="338">
        <v>9</v>
      </c>
      <c r="AB279" s="341"/>
      <c r="AC279" s="341"/>
      <c r="AD279" s="341"/>
      <c r="AE279" s="341"/>
      <c r="AF279" s="341"/>
      <c r="AG279" s="341"/>
      <c r="AH279" s="341"/>
      <c r="AI279" s="480"/>
      <c r="AL279" s="338">
        <v>9</v>
      </c>
      <c r="AM279" s="341"/>
      <c r="AN279" s="341"/>
      <c r="AO279" s="341"/>
      <c r="AP279" s="341"/>
      <c r="AQ279" s="341"/>
      <c r="AR279" s="341"/>
      <c r="AS279" s="341"/>
      <c r="AT279" s="341"/>
      <c r="AU279" s="341"/>
      <c r="AV279" s="341"/>
      <c r="AW279" s="343"/>
    </row>
    <row r="280" spans="1:49" ht="14.45" customHeight="1">
      <c r="A280" s="735"/>
      <c r="B280" s="338">
        <v>10</v>
      </c>
      <c r="C280" s="338"/>
      <c r="D280" s="338"/>
      <c r="E280" s="339"/>
      <c r="F280" s="339"/>
      <c r="G280" s="339"/>
      <c r="H280" s="339"/>
      <c r="I280" s="339"/>
      <c r="J280" s="340"/>
      <c r="K280" s="340"/>
      <c r="L280" s="340"/>
      <c r="M280" s="340"/>
      <c r="N280" s="340"/>
      <c r="O280" s="731"/>
      <c r="P280" s="331"/>
      <c r="R280" s="338">
        <v>10</v>
      </c>
      <c r="S280" s="341"/>
      <c r="T280" s="341"/>
      <c r="U280" s="341"/>
      <c r="V280" s="364"/>
      <c r="W280" s="341"/>
      <c r="X280" s="480"/>
      <c r="AA280" s="338">
        <v>10</v>
      </c>
      <c r="AB280" s="341"/>
      <c r="AC280" s="341"/>
      <c r="AD280" s="341"/>
      <c r="AE280" s="341"/>
      <c r="AF280" s="341"/>
      <c r="AG280" s="341"/>
      <c r="AH280" s="341"/>
      <c r="AI280" s="480"/>
      <c r="AL280" s="338">
        <v>10</v>
      </c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3"/>
    </row>
    <row r="281" spans="1:49" ht="14.45" customHeight="1">
      <c r="A281" s="735"/>
      <c r="B281" s="338">
        <v>11</v>
      </c>
      <c r="C281" s="362"/>
      <c r="D281" s="338"/>
      <c r="E281" s="339">
        <v>31</v>
      </c>
      <c r="F281" s="339"/>
      <c r="G281" s="339">
        <v>40</v>
      </c>
      <c r="H281" s="339"/>
      <c r="I281" s="339">
        <f>50+20</f>
        <v>70</v>
      </c>
      <c r="J281" s="339"/>
      <c r="K281" s="339">
        <f>4.5+30+20+7</f>
        <v>61.5</v>
      </c>
      <c r="L281" s="339"/>
      <c r="M281" s="339">
        <f>36+28+4</f>
        <v>68</v>
      </c>
      <c r="N281" s="339">
        <v>3</v>
      </c>
      <c r="O281" s="731"/>
      <c r="P281" s="331"/>
      <c r="R281" s="338">
        <v>11</v>
      </c>
      <c r="S281" s="341"/>
      <c r="T281" s="341"/>
      <c r="U281" s="341"/>
      <c r="V281" s="341"/>
      <c r="W281" s="341"/>
      <c r="X281" s="480"/>
      <c r="AA281" s="338">
        <v>11</v>
      </c>
      <c r="AB281" s="341"/>
      <c r="AC281" s="341"/>
      <c r="AD281" s="341"/>
      <c r="AE281" s="341"/>
      <c r="AF281" s="341"/>
      <c r="AG281" s="341"/>
      <c r="AH281" s="341"/>
      <c r="AI281" s="480"/>
      <c r="AL281" s="338">
        <v>11</v>
      </c>
      <c r="AM281" s="341"/>
      <c r="AN281" s="341"/>
      <c r="AO281" s="341"/>
      <c r="AP281" s="341"/>
      <c r="AQ281" s="341"/>
      <c r="AR281" s="341"/>
      <c r="AS281" s="341"/>
      <c r="AT281" s="341"/>
      <c r="AU281" s="341"/>
      <c r="AV281" s="341"/>
      <c r="AW281" s="343"/>
    </row>
    <row r="282" spans="1:49" ht="15" customHeight="1">
      <c r="A282" s="735"/>
      <c r="B282" s="338">
        <v>12</v>
      </c>
      <c r="C282" s="362"/>
      <c r="D282" s="362">
        <v>200</v>
      </c>
      <c r="E282" s="362">
        <v>27</v>
      </c>
      <c r="F282" s="362">
        <v>15</v>
      </c>
      <c r="G282" s="362">
        <f>13+10+11</f>
        <v>34</v>
      </c>
      <c r="H282" s="362"/>
      <c r="I282" s="363">
        <v>2</v>
      </c>
      <c r="J282" s="362"/>
      <c r="K282" s="362">
        <f>1+1.2+1+1</f>
        <v>4.2</v>
      </c>
      <c r="L282" s="362"/>
      <c r="M282" s="362">
        <v>45</v>
      </c>
      <c r="N282" s="339"/>
      <c r="O282" s="731"/>
      <c r="P282" s="331"/>
      <c r="R282" s="338">
        <v>12</v>
      </c>
      <c r="S282" s="341"/>
      <c r="T282" s="341"/>
      <c r="U282" s="341"/>
      <c r="V282" s="341"/>
      <c r="W282" s="341"/>
      <c r="X282" s="480"/>
      <c r="AA282" s="338">
        <v>12</v>
      </c>
      <c r="AB282" s="341"/>
      <c r="AC282" s="341"/>
      <c r="AD282" s="341"/>
      <c r="AE282" s="341"/>
      <c r="AF282" s="341"/>
      <c r="AG282" s="341"/>
      <c r="AH282" s="341"/>
      <c r="AI282" s="480"/>
      <c r="AL282" s="338">
        <v>12</v>
      </c>
      <c r="AM282" s="341"/>
      <c r="AN282" s="341"/>
      <c r="AO282" s="341"/>
      <c r="AP282" s="341"/>
      <c r="AQ282" s="341"/>
      <c r="AR282" s="341"/>
      <c r="AS282" s="341"/>
      <c r="AT282" s="341"/>
      <c r="AU282" s="341"/>
      <c r="AV282" s="341"/>
      <c r="AW282" s="343"/>
    </row>
    <row r="283" spans="1:49" ht="14.45" customHeight="1">
      <c r="A283" s="735"/>
      <c r="B283" s="338">
        <v>13</v>
      </c>
      <c r="C283" s="338">
        <v>30</v>
      </c>
      <c r="D283" s="338"/>
      <c r="E283" s="339">
        <v>30</v>
      </c>
      <c r="F283" s="339"/>
      <c r="G283" s="339">
        <f>20+40+50</f>
        <v>110</v>
      </c>
      <c r="H283" s="339"/>
      <c r="I283" s="339">
        <f>40+1+29+2.1</f>
        <v>72.099999999999994</v>
      </c>
      <c r="J283" s="340"/>
      <c r="K283" s="340">
        <v>72</v>
      </c>
      <c r="L283" s="340"/>
      <c r="M283" s="340"/>
      <c r="N283" s="340"/>
      <c r="O283" s="731"/>
      <c r="P283" s="331"/>
      <c r="R283" s="338">
        <v>13</v>
      </c>
      <c r="S283" s="341"/>
      <c r="T283" s="341"/>
      <c r="U283" s="341"/>
      <c r="V283" s="341"/>
      <c r="W283" s="341"/>
      <c r="X283" s="480"/>
      <c r="AA283" s="338">
        <v>13</v>
      </c>
      <c r="AB283" s="341"/>
      <c r="AC283" s="341"/>
      <c r="AD283" s="341"/>
      <c r="AE283" s="341"/>
      <c r="AF283" s="341"/>
      <c r="AG283" s="341"/>
      <c r="AH283" s="341"/>
      <c r="AI283" s="480"/>
      <c r="AL283" s="338">
        <v>13</v>
      </c>
      <c r="AM283" s="341"/>
      <c r="AN283" s="341"/>
      <c r="AO283" s="341"/>
      <c r="AP283" s="341"/>
      <c r="AQ283" s="341"/>
      <c r="AR283" s="341"/>
      <c r="AS283" s="341"/>
      <c r="AT283" s="341"/>
      <c r="AU283" s="341"/>
      <c r="AV283" s="341"/>
      <c r="AW283" s="343"/>
    </row>
    <row r="284" spans="1:49" ht="14.45" customHeight="1">
      <c r="A284" s="735"/>
      <c r="B284" s="338">
        <v>14</v>
      </c>
      <c r="C284" s="338"/>
      <c r="D284" s="338"/>
      <c r="E284" s="339">
        <v>50</v>
      </c>
      <c r="F284" s="339"/>
      <c r="G284" s="339">
        <v>37</v>
      </c>
      <c r="H284" s="339"/>
      <c r="I284" s="339">
        <v>1</v>
      </c>
      <c r="J284" s="340"/>
      <c r="K284" s="340">
        <f>6</f>
        <v>6</v>
      </c>
      <c r="L284" s="340"/>
      <c r="M284" s="340">
        <v>86</v>
      </c>
      <c r="N284" s="340"/>
      <c r="O284" s="731"/>
      <c r="P284" s="331"/>
      <c r="R284" s="338">
        <v>14</v>
      </c>
      <c r="S284" s="341"/>
      <c r="T284" s="341"/>
      <c r="U284" s="341"/>
      <c r="V284" s="341"/>
      <c r="W284" s="341"/>
      <c r="X284" s="480"/>
      <c r="AA284" s="338">
        <v>14</v>
      </c>
      <c r="AB284" s="341"/>
      <c r="AC284" s="341"/>
      <c r="AD284" s="341"/>
      <c r="AE284" s="341"/>
      <c r="AF284" s="341"/>
      <c r="AG284" s="341"/>
      <c r="AH284" s="341"/>
      <c r="AI284" s="480"/>
      <c r="AL284" s="338">
        <v>14</v>
      </c>
      <c r="AM284" s="341"/>
      <c r="AN284" s="341"/>
      <c r="AO284" s="341"/>
      <c r="AP284" s="341"/>
      <c r="AQ284" s="341"/>
      <c r="AR284" s="341"/>
      <c r="AS284" s="341"/>
      <c r="AT284" s="341"/>
      <c r="AU284" s="341"/>
      <c r="AV284" s="341"/>
      <c r="AW284" s="343"/>
    </row>
    <row r="285" spans="1:49" ht="14.45" customHeight="1">
      <c r="A285" s="735"/>
      <c r="B285" s="338">
        <v>15</v>
      </c>
      <c r="C285" s="338">
        <v>30</v>
      </c>
      <c r="D285" s="338"/>
      <c r="E285" s="339"/>
      <c r="F285" s="339">
        <v>1</v>
      </c>
      <c r="G285" s="339"/>
      <c r="H285" s="339"/>
      <c r="I285" s="339">
        <f>30+40+20+37+5+20+14</f>
        <v>166</v>
      </c>
      <c r="J285" s="340"/>
      <c r="K285" s="340">
        <f>6+15+20+3</f>
        <v>44</v>
      </c>
      <c r="L285" s="340"/>
      <c r="M285" s="340">
        <f>25+10+20</f>
        <v>55</v>
      </c>
      <c r="N285" s="340"/>
      <c r="O285" s="731"/>
      <c r="P285" s="331"/>
      <c r="R285" s="338">
        <v>15</v>
      </c>
      <c r="S285" s="341"/>
      <c r="T285" s="341"/>
      <c r="U285" s="341"/>
      <c r="V285" s="341"/>
      <c r="W285" s="341"/>
      <c r="X285" s="480"/>
      <c r="AA285" s="338">
        <v>15</v>
      </c>
      <c r="AB285" s="341"/>
      <c r="AC285" s="341"/>
      <c r="AD285" s="341"/>
      <c r="AE285" s="341"/>
      <c r="AF285" s="341"/>
      <c r="AG285" s="341"/>
      <c r="AH285" s="341"/>
      <c r="AI285" s="480"/>
      <c r="AL285" s="338">
        <v>15</v>
      </c>
      <c r="AM285" s="341"/>
      <c r="AN285" s="341"/>
      <c r="AO285" s="341"/>
      <c r="AP285" s="341"/>
      <c r="AQ285" s="341"/>
      <c r="AR285" s="341"/>
      <c r="AS285" s="341"/>
      <c r="AT285" s="341"/>
      <c r="AU285" s="341"/>
      <c r="AV285" s="341"/>
      <c r="AW285" s="343"/>
    </row>
    <row r="286" spans="1:49" ht="14.45" customHeight="1">
      <c r="A286" s="735"/>
      <c r="B286" s="338">
        <v>16</v>
      </c>
      <c r="C286" s="338"/>
      <c r="D286" s="338"/>
      <c r="E286" s="339"/>
      <c r="F286" s="339"/>
      <c r="G286" s="339">
        <v>33.5</v>
      </c>
      <c r="H286" s="339"/>
      <c r="I286" s="339">
        <f>25+25+4+30+20+8+20</f>
        <v>132</v>
      </c>
      <c r="J286" s="340"/>
      <c r="K286" s="340">
        <v>94</v>
      </c>
      <c r="L286" s="340"/>
      <c r="M286" s="340">
        <v>40</v>
      </c>
      <c r="N286" s="340"/>
      <c r="O286" s="731"/>
      <c r="P286" s="331"/>
      <c r="R286" s="338">
        <v>16</v>
      </c>
      <c r="S286" s="341"/>
      <c r="T286" s="341"/>
      <c r="U286" s="341"/>
      <c r="V286" s="341"/>
      <c r="W286" s="341"/>
      <c r="X286" s="480"/>
      <c r="AA286" s="338">
        <v>16</v>
      </c>
      <c r="AB286" s="341"/>
      <c r="AC286" s="341"/>
      <c r="AD286" s="341"/>
      <c r="AE286" s="341"/>
      <c r="AF286" s="341"/>
      <c r="AG286" s="341"/>
      <c r="AH286" s="341"/>
      <c r="AI286" s="480"/>
      <c r="AL286" s="338">
        <v>16</v>
      </c>
      <c r="AM286" s="341"/>
      <c r="AN286" s="341"/>
      <c r="AO286" s="341"/>
      <c r="AP286" s="341"/>
      <c r="AQ286" s="341"/>
      <c r="AR286" s="341"/>
      <c r="AS286" s="341"/>
      <c r="AT286" s="341"/>
      <c r="AU286" s="341"/>
      <c r="AV286" s="341"/>
      <c r="AW286" s="343"/>
    </row>
    <row r="287" spans="1:49" ht="14.45" customHeight="1">
      <c r="A287" s="735"/>
      <c r="B287" s="338">
        <v>17</v>
      </c>
      <c r="C287" s="338"/>
      <c r="D287" s="338"/>
      <c r="E287" s="339"/>
      <c r="F287" s="339"/>
      <c r="G287" s="339">
        <v>58</v>
      </c>
      <c r="H287" s="339"/>
      <c r="I287" s="339">
        <v>44</v>
      </c>
      <c r="J287" s="340"/>
      <c r="K287" s="339">
        <v>82</v>
      </c>
      <c r="L287" s="362"/>
      <c r="M287" s="340">
        <v>20</v>
      </c>
      <c r="N287" s="340"/>
      <c r="O287" s="731"/>
      <c r="P287" s="331"/>
      <c r="R287" s="338">
        <v>17</v>
      </c>
      <c r="S287" s="341"/>
      <c r="T287" s="341"/>
      <c r="U287" s="341"/>
      <c r="V287" s="341"/>
      <c r="W287" s="341"/>
      <c r="X287" s="480"/>
      <c r="AA287" s="338">
        <v>17</v>
      </c>
      <c r="AB287" s="341"/>
      <c r="AC287" s="341"/>
      <c r="AD287" s="341">
        <v>1200</v>
      </c>
      <c r="AE287" s="341">
        <v>1000</v>
      </c>
      <c r="AF287" s="341"/>
      <c r="AG287" s="341"/>
      <c r="AH287" s="341"/>
      <c r="AI287" s="480"/>
      <c r="AL287" s="338">
        <v>17</v>
      </c>
      <c r="AM287" s="341"/>
      <c r="AN287" s="341">
        <v>2000</v>
      </c>
      <c r="AO287" s="341"/>
      <c r="AP287" s="341">
        <v>2500</v>
      </c>
      <c r="AQ287" s="341">
        <v>2000</v>
      </c>
      <c r="AR287" s="341">
        <v>3000</v>
      </c>
      <c r="AS287" s="341"/>
      <c r="AT287" s="341"/>
      <c r="AU287" s="341"/>
      <c r="AV287" s="341"/>
      <c r="AW287" s="343"/>
    </row>
    <row r="288" spans="1:49" ht="14.45" customHeight="1">
      <c r="A288" s="735"/>
      <c r="B288" s="338">
        <v>18</v>
      </c>
      <c r="C288" s="338"/>
      <c r="D288" s="338"/>
      <c r="E288" s="339"/>
      <c r="F288" s="339"/>
      <c r="G288" s="339">
        <f>1+30+20</f>
        <v>51</v>
      </c>
      <c r="H288" s="339"/>
      <c r="I288" s="338">
        <v>38</v>
      </c>
      <c r="J288" s="338"/>
      <c r="K288" s="338">
        <f>9+11+7+3+1+60</f>
        <v>91</v>
      </c>
      <c r="L288" s="338"/>
      <c r="M288" s="338">
        <v>60</v>
      </c>
      <c r="N288" s="340"/>
      <c r="O288" s="731"/>
      <c r="P288" s="331"/>
      <c r="R288" s="338">
        <v>18</v>
      </c>
      <c r="S288" s="341"/>
      <c r="T288" s="341"/>
      <c r="U288" s="341"/>
      <c r="V288" s="341"/>
      <c r="W288" s="341"/>
      <c r="X288" s="480"/>
      <c r="AA288" s="338">
        <v>18</v>
      </c>
      <c r="AB288" s="341"/>
      <c r="AC288" s="341"/>
      <c r="AD288" s="341"/>
      <c r="AE288" s="341">
        <v>7000</v>
      </c>
      <c r="AF288" s="341"/>
      <c r="AG288" s="341"/>
      <c r="AH288" s="341"/>
      <c r="AI288" s="480"/>
      <c r="AL288" s="338">
        <v>18</v>
      </c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3"/>
    </row>
    <row r="289" spans="1:49" ht="14.45" customHeight="1">
      <c r="A289" s="735"/>
      <c r="B289" s="338">
        <v>19</v>
      </c>
      <c r="C289" s="338"/>
      <c r="D289" s="338"/>
      <c r="E289" s="338">
        <v>4</v>
      </c>
      <c r="F289" s="338"/>
      <c r="G289" s="338">
        <v>1</v>
      </c>
      <c r="H289" s="338"/>
      <c r="I289" s="363">
        <f>119+30</f>
        <v>149</v>
      </c>
      <c r="J289" s="362"/>
      <c r="K289" s="362">
        <v>130</v>
      </c>
      <c r="L289" s="362">
        <f>6*2.7</f>
        <v>16.200000000000003</v>
      </c>
      <c r="M289" s="362"/>
      <c r="N289" s="338"/>
      <c r="O289" s="731"/>
      <c r="P289" s="331"/>
      <c r="R289" s="338">
        <v>19</v>
      </c>
      <c r="S289" s="341"/>
      <c r="T289" s="341"/>
      <c r="U289" s="341"/>
      <c r="V289" s="341"/>
      <c r="W289" s="341"/>
      <c r="X289" s="480"/>
      <c r="AA289" s="338">
        <v>19</v>
      </c>
      <c r="AB289" s="341"/>
      <c r="AC289" s="341"/>
      <c r="AD289" s="341"/>
      <c r="AE289" s="341">
        <v>2500</v>
      </c>
      <c r="AF289" s="341"/>
      <c r="AG289" s="341"/>
      <c r="AH289" s="341"/>
      <c r="AI289" s="480"/>
      <c r="AL289" s="338">
        <v>19</v>
      </c>
      <c r="AM289" s="341"/>
      <c r="AN289" s="341"/>
      <c r="AO289" s="341"/>
      <c r="AP289" s="341"/>
      <c r="AQ289" s="341"/>
      <c r="AR289" s="341"/>
      <c r="AS289" s="341"/>
      <c r="AT289" s="341"/>
      <c r="AU289" s="341"/>
      <c r="AV289" s="341"/>
      <c r="AW289" s="343"/>
    </row>
    <row r="290" spans="1:49" ht="14.45" customHeight="1">
      <c r="A290" s="735"/>
      <c r="B290" s="338">
        <v>20</v>
      </c>
      <c r="C290" s="338">
        <v>100</v>
      </c>
      <c r="D290" s="338">
        <v>100</v>
      </c>
      <c r="E290" s="338">
        <v>12</v>
      </c>
      <c r="F290" s="338"/>
      <c r="G290" s="338">
        <v>8</v>
      </c>
      <c r="H290" s="338"/>
      <c r="I290" s="338">
        <v>30</v>
      </c>
      <c r="J290" s="338"/>
      <c r="K290" s="338">
        <f>70+12</f>
        <v>82</v>
      </c>
      <c r="L290" s="338"/>
      <c r="M290" s="338">
        <v>180</v>
      </c>
      <c r="N290" s="338"/>
      <c r="O290" s="731"/>
      <c r="P290" s="331"/>
      <c r="R290" s="338">
        <v>20</v>
      </c>
      <c r="S290" s="341"/>
      <c r="T290" s="341"/>
      <c r="U290" s="341"/>
      <c r="V290" s="341"/>
      <c r="W290" s="341"/>
      <c r="X290" s="480"/>
      <c r="AA290" s="338">
        <v>20</v>
      </c>
      <c r="AB290" s="341"/>
      <c r="AC290" s="341"/>
      <c r="AD290" s="341"/>
      <c r="AE290" s="341"/>
      <c r="AF290" s="341"/>
      <c r="AG290" s="341"/>
      <c r="AH290" s="341"/>
      <c r="AI290" s="480"/>
      <c r="AL290" s="338">
        <v>20</v>
      </c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3"/>
    </row>
    <row r="291" spans="1:49" ht="14.45" customHeight="1">
      <c r="A291" s="735"/>
      <c r="B291" s="338">
        <v>21</v>
      </c>
      <c r="D291" s="338"/>
      <c r="E291" s="338"/>
      <c r="F291" s="338"/>
      <c r="G291" s="338"/>
      <c r="H291" s="338"/>
      <c r="I291" s="338">
        <f>0.8*4</f>
        <v>3.2</v>
      </c>
      <c r="J291" s="338"/>
      <c r="K291" s="338">
        <v>35</v>
      </c>
      <c r="L291" s="338"/>
      <c r="N291" s="338"/>
      <c r="O291" s="731"/>
      <c r="P291" s="331"/>
      <c r="R291" s="338">
        <v>21</v>
      </c>
      <c r="S291" s="341"/>
      <c r="T291" s="341"/>
      <c r="U291" s="341"/>
      <c r="V291" s="341"/>
      <c r="W291" s="341"/>
      <c r="X291" s="480"/>
      <c r="AA291" s="338">
        <v>21</v>
      </c>
      <c r="AB291" s="341"/>
      <c r="AC291" s="341"/>
      <c r="AD291" s="341"/>
      <c r="AE291" s="341"/>
      <c r="AF291" s="341"/>
      <c r="AG291" s="341"/>
      <c r="AH291" s="341"/>
      <c r="AI291" s="480"/>
      <c r="AL291" s="338">
        <v>21</v>
      </c>
      <c r="AM291" s="341"/>
      <c r="AN291" s="341"/>
      <c r="AO291" s="341"/>
      <c r="AP291" s="341"/>
      <c r="AQ291" s="341"/>
      <c r="AR291" s="341"/>
      <c r="AS291" s="341"/>
      <c r="AT291" s="341"/>
      <c r="AU291" s="341"/>
      <c r="AV291" s="341"/>
      <c r="AW291" s="343"/>
    </row>
    <row r="292" spans="1:49" ht="14.45" customHeight="1">
      <c r="A292" s="735"/>
      <c r="B292" s="338">
        <v>22</v>
      </c>
      <c r="C292" s="338">
        <f>150*1.654</f>
        <v>248.1</v>
      </c>
      <c r="E292" s="338"/>
      <c r="F292" s="338"/>
      <c r="G292" s="338">
        <v>40</v>
      </c>
      <c r="H292" s="338"/>
      <c r="I292" s="338">
        <v>40</v>
      </c>
      <c r="J292" s="338"/>
      <c r="K292" s="338"/>
      <c r="L292" s="338"/>
      <c r="M292" s="359">
        <v>40</v>
      </c>
      <c r="N292" s="338"/>
      <c r="O292" s="731"/>
      <c r="P292" s="331"/>
      <c r="R292" s="338">
        <v>22</v>
      </c>
      <c r="S292" s="341"/>
      <c r="T292" s="341"/>
      <c r="U292" s="341"/>
      <c r="V292" s="341"/>
      <c r="W292" s="341"/>
      <c r="X292" s="480"/>
      <c r="AA292" s="338">
        <v>22</v>
      </c>
      <c r="AB292" s="341"/>
      <c r="AC292" s="341"/>
      <c r="AD292" s="341"/>
      <c r="AE292" s="341"/>
      <c r="AF292" s="341"/>
      <c r="AG292" s="341"/>
      <c r="AH292" s="341"/>
      <c r="AI292" s="480"/>
      <c r="AL292" s="338">
        <v>22</v>
      </c>
      <c r="AM292" s="341"/>
      <c r="AN292" s="341"/>
      <c r="AO292" s="341"/>
      <c r="AP292" s="341"/>
      <c r="AQ292" s="341"/>
      <c r="AR292" s="341"/>
      <c r="AS292" s="341"/>
      <c r="AT292" s="341"/>
      <c r="AU292" s="341"/>
      <c r="AV292" s="341"/>
      <c r="AW292" s="343"/>
    </row>
    <row r="293" spans="1:49" ht="14.45" customHeight="1">
      <c r="A293" s="735"/>
      <c r="B293" s="338">
        <v>23</v>
      </c>
      <c r="C293" s="338"/>
      <c r="D293" s="338">
        <v>20</v>
      </c>
      <c r="E293" s="339"/>
      <c r="F293" s="339"/>
      <c r="G293" s="339">
        <v>23</v>
      </c>
      <c r="H293" s="339"/>
      <c r="I293" s="339">
        <v>56</v>
      </c>
      <c r="J293" s="340"/>
      <c r="K293" s="340">
        <v>71</v>
      </c>
      <c r="L293" s="340"/>
      <c r="M293" s="340"/>
      <c r="N293" s="340"/>
      <c r="O293" s="731"/>
      <c r="P293" s="331"/>
      <c r="R293" s="338">
        <v>23</v>
      </c>
      <c r="S293" s="341"/>
      <c r="T293" s="341"/>
      <c r="U293" s="341"/>
      <c r="V293" s="341"/>
      <c r="W293" s="341"/>
      <c r="X293" s="480"/>
      <c r="AA293" s="338">
        <v>23</v>
      </c>
      <c r="AB293" s="341"/>
      <c r="AC293" s="341"/>
      <c r="AD293" s="341"/>
      <c r="AE293" s="341"/>
      <c r="AF293" s="341"/>
      <c r="AG293" s="341"/>
      <c r="AH293" s="341"/>
      <c r="AI293" s="480"/>
      <c r="AL293" s="338">
        <v>23</v>
      </c>
      <c r="AM293" s="341"/>
      <c r="AN293" s="341"/>
      <c r="AO293" s="341"/>
      <c r="AP293" s="341"/>
      <c r="AQ293" s="341"/>
      <c r="AR293" s="341"/>
      <c r="AS293" s="341"/>
      <c r="AT293" s="341"/>
      <c r="AU293" s="341"/>
      <c r="AV293" s="341"/>
      <c r="AW293" s="343"/>
    </row>
    <row r="294" spans="1:49" ht="14.45" customHeight="1">
      <c r="A294" s="735"/>
      <c r="B294" s="338">
        <v>24</v>
      </c>
      <c r="D294" s="338"/>
      <c r="E294" s="339"/>
      <c r="F294" s="339"/>
      <c r="G294" s="366"/>
      <c r="H294" s="339"/>
      <c r="I294" s="339"/>
      <c r="J294" s="340"/>
      <c r="K294" s="340"/>
      <c r="L294" s="340"/>
      <c r="M294" s="340"/>
      <c r="N294" s="340"/>
      <c r="O294" s="731"/>
      <c r="P294" s="331"/>
      <c r="R294" s="338">
        <v>24</v>
      </c>
      <c r="S294" s="341"/>
      <c r="T294" s="341"/>
      <c r="U294" s="341"/>
      <c r="V294" s="341"/>
      <c r="W294" s="341"/>
      <c r="X294" s="480"/>
      <c r="AA294" s="338">
        <v>24</v>
      </c>
      <c r="AB294" s="341"/>
      <c r="AC294" s="341"/>
      <c r="AD294" s="341"/>
      <c r="AE294" s="341"/>
      <c r="AF294" s="341"/>
      <c r="AG294" s="341"/>
      <c r="AH294" s="341"/>
      <c r="AI294" s="480"/>
      <c r="AL294" s="338">
        <v>24</v>
      </c>
      <c r="AM294" s="341"/>
      <c r="AN294" s="341"/>
      <c r="AO294" s="341"/>
      <c r="AP294" s="341"/>
      <c r="AQ294" s="341"/>
      <c r="AR294" s="341"/>
      <c r="AS294" s="341"/>
      <c r="AT294" s="341"/>
      <c r="AU294" s="341"/>
      <c r="AV294" s="341"/>
      <c r="AW294" s="343"/>
    </row>
    <row r="295" spans="1:49" ht="14.45" customHeight="1">
      <c r="A295" s="735"/>
      <c r="B295" s="338">
        <v>25</v>
      </c>
      <c r="C295" s="338"/>
      <c r="D295" s="338">
        <v>5</v>
      </c>
      <c r="E295" s="339"/>
      <c r="F295" s="339"/>
      <c r="G295" s="339">
        <v>27</v>
      </c>
      <c r="H295" s="339"/>
      <c r="I295" s="339">
        <v>110</v>
      </c>
      <c r="J295" s="339"/>
      <c r="K295" s="325">
        <v>33</v>
      </c>
      <c r="L295" s="339"/>
      <c r="M295" s="339">
        <v>13</v>
      </c>
      <c r="N295" s="340"/>
      <c r="O295" s="731"/>
      <c r="P295" s="331"/>
      <c r="R295" s="338">
        <v>25</v>
      </c>
      <c r="S295" s="341"/>
      <c r="T295" s="341"/>
      <c r="U295" s="341"/>
      <c r="V295" s="341"/>
      <c r="W295" s="341"/>
      <c r="X295" s="480"/>
      <c r="AA295" s="338">
        <v>25</v>
      </c>
      <c r="AB295" s="341"/>
      <c r="AC295" s="341"/>
      <c r="AD295" s="341"/>
      <c r="AE295" s="341"/>
      <c r="AF295" s="341"/>
      <c r="AG295" s="341"/>
      <c r="AH295" s="341"/>
      <c r="AI295" s="480"/>
      <c r="AL295" s="338">
        <v>25</v>
      </c>
      <c r="AM295" s="341"/>
      <c r="AN295" s="341"/>
      <c r="AO295" s="341"/>
      <c r="AP295" s="341"/>
      <c r="AQ295" s="341"/>
      <c r="AR295" s="341"/>
      <c r="AS295" s="341"/>
      <c r="AT295" s="341"/>
      <c r="AU295" s="341"/>
      <c r="AV295" s="341"/>
      <c r="AW295" s="343"/>
    </row>
    <row r="296" spans="1:49" ht="14.45" customHeight="1">
      <c r="A296" s="735"/>
      <c r="B296" s="338">
        <v>26</v>
      </c>
      <c r="C296" s="338"/>
      <c r="D296" s="362">
        <v>1</v>
      </c>
      <c r="E296" s="362"/>
      <c r="F296" s="362">
        <v>10</v>
      </c>
      <c r="G296" s="362">
        <v>40</v>
      </c>
      <c r="H296" s="362"/>
      <c r="I296" s="363">
        <f>30+30+20+6</f>
        <v>86</v>
      </c>
      <c r="J296" s="362"/>
      <c r="K296" s="362">
        <v>64</v>
      </c>
      <c r="L296" s="362"/>
      <c r="M296" s="362"/>
      <c r="N296" s="339"/>
      <c r="O296" s="731"/>
      <c r="P296" s="331"/>
      <c r="R296" s="338">
        <v>26</v>
      </c>
      <c r="S296" s="341"/>
      <c r="T296" s="341"/>
      <c r="U296" s="341"/>
      <c r="V296" s="341"/>
      <c r="W296" s="341"/>
      <c r="X296" s="480"/>
      <c r="AA296" s="338">
        <v>26</v>
      </c>
      <c r="AB296" s="341"/>
      <c r="AC296" s="341"/>
      <c r="AD296" s="341"/>
      <c r="AE296" s="341"/>
      <c r="AF296" s="341"/>
      <c r="AG296" s="341"/>
      <c r="AH296" s="341"/>
      <c r="AI296" s="480"/>
      <c r="AL296" s="338">
        <v>26</v>
      </c>
      <c r="AM296" s="341"/>
      <c r="AN296" s="341"/>
      <c r="AO296" s="341"/>
      <c r="AP296" s="341"/>
      <c r="AQ296" s="341"/>
      <c r="AR296" s="341"/>
      <c r="AS296" s="341"/>
      <c r="AT296" s="341"/>
      <c r="AU296" s="341"/>
      <c r="AV296" s="341"/>
      <c r="AW296" s="343"/>
    </row>
    <row r="297" spans="1:49" ht="14.45" customHeight="1">
      <c r="A297" s="735"/>
      <c r="B297" s="338">
        <v>27</v>
      </c>
      <c r="C297" s="362"/>
      <c r="D297" s="362">
        <v>1.2</v>
      </c>
      <c r="E297" s="362">
        <v>52</v>
      </c>
      <c r="F297" s="362">
        <v>10</v>
      </c>
      <c r="G297" s="362">
        <v>3</v>
      </c>
      <c r="H297" s="362"/>
      <c r="I297" s="363">
        <v>90</v>
      </c>
      <c r="J297" s="362"/>
      <c r="K297" s="362">
        <v>16</v>
      </c>
      <c r="L297" s="362"/>
      <c r="M297" s="362">
        <v>18</v>
      </c>
      <c r="N297" s="339"/>
      <c r="O297" s="731"/>
      <c r="P297" s="331"/>
      <c r="R297" s="338">
        <v>27</v>
      </c>
      <c r="S297" s="341"/>
      <c r="T297" s="341"/>
      <c r="U297" s="341"/>
      <c r="V297" s="341"/>
      <c r="W297" s="341"/>
      <c r="X297" s="480"/>
      <c r="AA297" s="338">
        <v>27</v>
      </c>
      <c r="AB297" s="341"/>
      <c r="AC297" s="341"/>
      <c r="AD297" s="341"/>
      <c r="AE297" s="341"/>
      <c r="AF297" s="341"/>
      <c r="AG297" s="341"/>
      <c r="AH297" s="341"/>
      <c r="AI297" s="480"/>
      <c r="AL297" s="338">
        <v>27</v>
      </c>
      <c r="AM297" s="341"/>
      <c r="AN297" s="341"/>
      <c r="AO297" s="341"/>
      <c r="AP297" s="341"/>
      <c r="AQ297" s="341"/>
      <c r="AR297" s="341"/>
      <c r="AS297" s="341"/>
      <c r="AT297" s="341"/>
      <c r="AU297" s="341"/>
      <c r="AV297" s="341"/>
      <c r="AW297" s="343"/>
    </row>
    <row r="298" spans="1:49" ht="14.45" customHeight="1">
      <c r="A298" s="735"/>
      <c r="B298" s="338">
        <v>28</v>
      </c>
      <c r="C298" s="346"/>
      <c r="D298" s="346"/>
      <c r="E298" s="347">
        <v>2</v>
      </c>
      <c r="F298" s="347">
        <v>1</v>
      </c>
      <c r="G298" s="338">
        <v>2</v>
      </c>
      <c r="H298" s="339"/>
      <c r="I298" s="339">
        <v>19</v>
      </c>
      <c r="J298" s="340"/>
      <c r="K298" s="339">
        <f>140+1.5+1.5+10+8</f>
        <v>161</v>
      </c>
      <c r="L298" s="339"/>
      <c r="M298" s="340">
        <v>18</v>
      </c>
      <c r="N298" s="340"/>
      <c r="O298" s="731"/>
      <c r="P298" s="331"/>
      <c r="R298" s="338">
        <v>28</v>
      </c>
      <c r="S298" s="341"/>
      <c r="T298" s="341"/>
      <c r="U298" s="341"/>
      <c r="V298" s="341"/>
      <c r="W298" s="341"/>
      <c r="X298" s="480"/>
      <c r="AA298" s="338">
        <v>28</v>
      </c>
      <c r="AB298" s="341"/>
      <c r="AC298" s="341"/>
      <c r="AD298" s="341"/>
      <c r="AE298" s="341"/>
      <c r="AF298" s="341"/>
      <c r="AG298" s="341"/>
      <c r="AH298" s="341"/>
      <c r="AI298" s="480"/>
      <c r="AL298" s="338">
        <v>28</v>
      </c>
      <c r="AM298" s="341"/>
      <c r="AN298" s="341"/>
      <c r="AO298" s="341"/>
      <c r="AP298" s="341"/>
      <c r="AQ298" s="341"/>
      <c r="AR298" s="341"/>
      <c r="AS298" s="341"/>
      <c r="AT298" s="341"/>
      <c r="AU298" s="341"/>
      <c r="AV298" s="341"/>
      <c r="AW298" s="343"/>
    </row>
    <row r="299" spans="1:49" ht="14.45" customHeight="1">
      <c r="A299" s="735"/>
      <c r="B299" s="338">
        <v>29</v>
      </c>
      <c r="C299" s="338"/>
      <c r="D299" s="338"/>
      <c r="E299" s="339"/>
      <c r="F299" s="339"/>
      <c r="G299" s="339">
        <v>50</v>
      </c>
      <c r="H299" s="339"/>
      <c r="I299" s="339">
        <f>50</f>
        <v>50</v>
      </c>
      <c r="J299" s="340"/>
      <c r="K299" s="339">
        <f>160+32</f>
        <v>192</v>
      </c>
      <c r="L299" s="339"/>
      <c r="M299" s="340">
        <v>20</v>
      </c>
      <c r="N299" s="340"/>
      <c r="O299" s="731"/>
      <c r="P299" s="331"/>
      <c r="R299" s="338">
        <v>29</v>
      </c>
      <c r="S299" s="341"/>
      <c r="T299" s="341"/>
      <c r="U299" s="341"/>
      <c r="V299" s="341"/>
      <c r="W299" s="341"/>
      <c r="X299" s="480"/>
      <c r="AA299" s="338">
        <v>29</v>
      </c>
      <c r="AB299" s="341"/>
      <c r="AC299" s="341"/>
      <c r="AD299" s="341"/>
      <c r="AE299" s="341"/>
      <c r="AF299" s="341"/>
      <c r="AG299" s="341"/>
      <c r="AH299" s="341"/>
      <c r="AI299" s="480"/>
      <c r="AL299" s="338">
        <v>29</v>
      </c>
      <c r="AM299" s="341"/>
      <c r="AN299" s="341"/>
      <c r="AO299" s="341"/>
      <c r="AP299" s="341"/>
      <c r="AQ299" s="341"/>
      <c r="AR299" s="341"/>
      <c r="AS299" s="341"/>
      <c r="AT299" s="341"/>
      <c r="AU299" s="341"/>
      <c r="AV299" s="341"/>
      <c r="AW299" s="343"/>
    </row>
    <row r="300" spans="1:49" ht="14.45" customHeight="1">
      <c r="A300" s="735"/>
      <c r="B300" s="338">
        <v>30</v>
      </c>
      <c r="C300" s="349">
        <v>20</v>
      </c>
      <c r="D300" s="349">
        <v>1</v>
      </c>
      <c r="E300" s="350"/>
      <c r="F300" s="350"/>
      <c r="G300" s="338"/>
      <c r="H300" s="338"/>
      <c r="I300" s="339">
        <f>8+15+2+2+20</f>
        <v>47</v>
      </c>
      <c r="J300" s="339">
        <v>25</v>
      </c>
      <c r="K300" s="338">
        <f>100+18+18+2+2</f>
        <v>140</v>
      </c>
      <c r="L300" s="338"/>
      <c r="M300" s="350">
        <v>5</v>
      </c>
      <c r="N300" s="339"/>
      <c r="O300" s="731"/>
      <c r="P300" s="331"/>
      <c r="R300" s="338">
        <v>30</v>
      </c>
      <c r="S300" s="341"/>
      <c r="T300" s="341"/>
      <c r="U300" s="341"/>
      <c r="V300" s="341"/>
      <c r="W300" s="341"/>
      <c r="X300" s="480"/>
      <c r="AA300" s="338">
        <v>30</v>
      </c>
      <c r="AB300" s="341"/>
      <c r="AC300" s="341"/>
      <c r="AD300" s="341"/>
      <c r="AE300" s="341"/>
      <c r="AF300" s="341"/>
      <c r="AG300" s="341"/>
      <c r="AH300" s="341"/>
      <c r="AI300" s="480"/>
      <c r="AL300" s="338">
        <v>30</v>
      </c>
      <c r="AM300" s="341"/>
      <c r="AN300" s="341"/>
      <c r="AO300" s="341"/>
      <c r="AP300" s="341"/>
      <c r="AQ300" s="341"/>
      <c r="AR300" s="341"/>
      <c r="AS300" s="341"/>
      <c r="AT300" s="341"/>
      <c r="AU300" s="341"/>
      <c r="AV300" s="341"/>
      <c r="AW300" s="343"/>
    </row>
    <row r="301" spans="1:49" ht="14.45" customHeight="1">
      <c r="A301" s="735"/>
      <c r="B301" s="338">
        <v>31</v>
      </c>
      <c r="C301" s="362"/>
      <c r="D301" s="362"/>
      <c r="E301" s="362"/>
      <c r="F301" s="339"/>
      <c r="G301" s="339"/>
      <c r="H301" s="339"/>
      <c r="I301" s="339"/>
      <c r="J301" s="339"/>
      <c r="K301" s="338"/>
      <c r="L301" s="338"/>
      <c r="M301" s="362"/>
      <c r="N301" s="339"/>
      <c r="O301" s="731"/>
      <c r="P301" s="331"/>
      <c r="R301" s="338">
        <v>31</v>
      </c>
      <c r="S301" s="352"/>
      <c r="T301" s="352"/>
      <c r="U301" s="352"/>
      <c r="V301" s="352"/>
      <c r="W301" s="352"/>
      <c r="X301" s="480"/>
      <c r="AA301" s="338">
        <v>31</v>
      </c>
      <c r="AB301" s="352"/>
      <c r="AC301" s="352"/>
      <c r="AD301" s="352"/>
      <c r="AE301" s="352"/>
      <c r="AF301" s="352"/>
      <c r="AG301" s="352"/>
      <c r="AH301" s="352"/>
      <c r="AI301" s="480"/>
      <c r="AL301" s="338">
        <v>31</v>
      </c>
      <c r="AM301" s="352"/>
      <c r="AN301" s="352"/>
      <c r="AO301" s="352"/>
      <c r="AP301" s="352"/>
      <c r="AQ301" s="352"/>
      <c r="AR301" s="352"/>
      <c r="AS301" s="352"/>
      <c r="AT301" s="352"/>
      <c r="AU301" s="352"/>
      <c r="AV301" s="352"/>
      <c r="AW301" s="343"/>
    </row>
    <row r="302" spans="1:49" s="7" customFormat="1" ht="32.450000000000003" customHeight="1">
      <c r="A302" s="735"/>
      <c r="B302" s="353" t="s">
        <v>16</v>
      </c>
      <c r="C302" s="354">
        <f>+SUM(C271:C301)</f>
        <v>430.1</v>
      </c>
      <c r="D302" s="354">
        <f t="shared" ref="D302:N302" si="15">+SUM(D271:D301)</f>
        <v>400.2</v>
      </c>
      <c r="E302" s="354">
        <f t="shared" si="15"/>
        <v>313</v>
      </c>
      <c r="F302" s="354">
        <f t="shared" si="15"/>
        <v>41</v>
      </c>
      <c r="G302" s="354">
        <f t="shared" si="15"/>
        <v>794.5</v>
      </c>
      <c r="H302" s="354">
        <f t="shared" si="15"/>
        <v>0</v>
      </c>
      <c r="I302" s="354">
        <f t="shared" si="15"/>
        <v>1907.3</v>
      </c>
      <c r="J302" s="354">
        <f t="shared" si="15"/>
        <v>25</v>
      </c>
      <c r="K302" s="354">
        <f t="shared" si="15"/>
        <v>2127.6999999999998</v>
      </c>
      <c r="L302" s="354">
        <f t="shared" si="15"/>
        <v>16.200000000000003</v>
      </c>
      <c r="M302" s="354">
        <f t="shared" si="15"/>
        <v>853</v>
      </c>
      <c r="N302" s="354">
        <f t="shared" si="15"/>
        <v>8</v>
      </c>
      <c r="O302" s="731"/>
      <c r="P302" s="331"/>
      <c r="Q302" s="325"/>
      <c r="R302" s="353" t="s">
        <v>16</v>
      </c>
      <c r="S302" s="352">
        <f>SUM(S271:S301)</f>
        <v>0</v>
      </c>
      <c r="T302" s="352">
        <f>SUM(T271:T301)</f>
        <v>0</v>
      </c>
      <c r="U302" s="352">
        <f>SUM(U271:U301)</f>
        <v>0</v>
      </c>
      <c r="V302" s="352">
        <f>SUM(V271:V301)</f>
        <v>0</v>
      </c>
      <c r="W302" s="352">
        <f>SUM(W271:W301)</f>
        <v>0</v>
      </c>
      <c r="X302" s="482"/>
      <c r="Y302" s="493"/>
      <c r="Z302" s="325"/>
      <c r="AA302" s="353" t="s">
        <v>16</v>
      </c>
      <c r="AB302" s="352">
        <f>SUM(AB271:AB301)</f>
        <v>0</v>
      </c>
      <c r="AC302" s="352">
        <f>SUM(AC271:AC301)</f>
        <v>0</v>
      </c>
      <c r="AD302" s="352">
        <f>SUM(AD271:AD301)</f>
        <v>1200</v>
      </c>
      <c r="AE302" s="352">
        <f>SUM(AE271:AE301)</f>
        <v>10500</v>
      </c>
      <c r="AF302" s="352"/>
      <c r="AG302" s="352"/>
      <c r="AH302" s="352">
        <f>SUM(AH271:AH301)</f>
        <v>0</v>
      </c>
      <c r="AI302" s="482"/>
      <c r="AJ302" s="493"/>
      <c r="AK302" s="325"/>
      <c r="AL302" s="353" t="s">
        <v>16</v>
      </c>
      <c r="AM302" s="352">
        <f>SUM(AM271:AM301)</f>
        <v>0</v>
      </c>
      <c r="AN302" s="352">
        <f t="shared" ref="AN302:AS302" si="16">SUM(AN271:AN301)</f>
        <v>2000</v>
      </c>
      <c r="AO302" s="352">
        <f t="shared" si="16"/>
        <v>0</v>
      </c>
      <c r="AP302" s="352">
        <f t="shared" si="16"/>
        <v>2500</v>
      </c>
      <c r="AQ302" s="352">
        <f t="shared" si="16"/>
        <v>2000</v>
      </c>
      <c r="AR302" s="352">
        <f t="shared" si="16"/>
        <v>3000</v>
      </c>
      <c r="AS302" s="352">
        <f t="shared" si="16"/>
        <v>0</v>
      </c>
      <c r="AT302" s="352"/>
      <c r="AU302" s="352">
        <f>SUM(AU271:AU301)</f>
        <v>0</v>
      </c>
      <c r="AV302" s="352">
        <f>SUM(AV271:AV301)</f>
        <v>0</v>
      </c>
      <c r="AW302" s="356"/>
    </row>
    <row r="304" spans="1:49" ht="14.45" customHeight="1">
      <c r="A304" s="734">
        <v>46174</v>
      </c>
      <c r="B304" s="338">
        <v>1</v>
      </c>
      <c r="C304" s="338"/>
      <c r="D304" s="338"/>
      <c r="E304" s="339">
        <v>10</v>
      </c>
      <c r="F304" s="339"/>
      <c r="G304" s="339">
        <f>6*5.5</f>
        <v>33</v>
      </c>
      <c r="H304" s="339"/>
      <c r="I304" s="339">
        <f>40+50+8+100</f>
        <v>198</v>
      </c>
      <c r="J304" s="339"/>
      <c r="K304" s="341">
        <f>48+7.82+11.41</f>
        <v>67.23</v>
      </c>
      <c r="L304" s="339"/>
      <c r="M304" s="339">
        <v>6</v>
      </c>
      <c r="N304" s="339"/>
      <c r="O304" s="731">
        <f>+C335+D335+E335+F335+G335+H335+I335+J335+K335+L335+M335+N335</f>
        <v>7005.130000000001</v>
      </c>
      <c r="P304" s="331"/>
      <c r="R304" s="338">
        <v>1</v>
      </c>
      <c r="S304" s="341"/>
      <c r="T304" s="341"/>
      <c r="U304" s="341"/>
      <c r="V304" s="341"/>
      <c r="W304" s="341"/>
      <c r="X304" s="479">
        <f>SUM(S335:X335)</f>
        <v>0</v>
      </c>
      <c r="AA304" s="338">
        <v>1</v>
      </c>
      <c r="AB304" s="341"/>
      <c r="AC304" s="341"/>
      <c r="AD304" s="341"/>
      <c r="AE304" s="341"/>
      <c r="AF304" s="341"/>
      <c r="AG304" s="341"/>
      <c r="AH304" s="341"/>
      <c r="AI304" s="479">
        <f>SUM(AB335:AI335)</f>
        <v>11700</v>
      </c>
      <c r="AL304" s="338">
        <v>1</v>
      </c>
      <c r="AM304" s="341"/>
      <c r="AN304" s="341"/>
      <c r="AO304" s="341"/>
      <c r="AP304" s="341"/>
      <c r="AQ304" s="341"/>
      <c r="AR304" s="341"/>
      <c r="AS304" s="341"/>
      <c r="AT304" s="341"/>
      <c r="AU304" s="341"/>
      <c r="AV304" s="341"/>
      <c r="AW304" s="342">
        <f>SUM(AM335:AW335)</f>
        <v>9500</v>
      </c>
    </row>
    <row r="305" spans="1:49" ht="14.45" customHeight="1">
      <c r="A305" s="735"/>
      <c r="B305" s="338">
        <v>2</v>
      </c>
      <c r="C305" s="338"/>
      <c r="D305" s="338">
        <f>10*1.1</f>
        <v>11</v>
      </c>
      <c r="E305" s="339">
        <v>10</v>
      </c>
      <c r="F305" s="339">
        <v>10</v>
      </c>
      <c r="G305" s="339">
        <v>100</v>
      </c>
      <c r="H305" s="339"/>
      <c r="I305" s="339">
        <f>30+8+25</f>
        <v>63</v>
      </c>
      <c r="J305" s="339"/>
      <c r="K305" s="339">
        <f>12+20</f>
        <v>32</v>
      </c>
      <c r="L305" s="339"/>
      <c r="M305" s="339">
        <v>10</v>
      </c>
      <c r="N305" s="339"/>
      <c r="O305" s="731"/>
      <c r="P305" s="331"/>
      <c r="R305" s="338">
        <v>2</v>
      </c>
      <c r="S305" s="341"/>
      <c r="T305" s="341"/>
      <c r="U305" s="341"/>
      <c r="V305" s="341"/>
      <c r="W305" s="341"/>
      <c r="X305" s="480"/>
      <c r="AA305" s="338">
        <v>2</v>
      </c>
      <c r="AB305" s="341"/>
      <c r="AC305" s="341"/>
      <c r="AD305" s="341"/>
      <c r="AE305" s="341"/>
      <c r="AF305" s="341"/>
      <c r="AG305" s="341"/>
      <c r="AH305" s="341"/>
      <c r="AI305" s="480"/>
      <c r="AL305" s="338">
        <v>2</v>
      </c>
      <c r="AM305" s="341"/>
      <c r="AN305" s="341"/>
      <c r="AO305" s="341"/>
      <c r="AP305" s="341"/>
      <c r="AQ305" s="341"/>
      <c r="AR305" s="341"/>
      <c r="AS305" s="341"/>
      <c r="AT305" s="341"/>
      <c r="AU305" s="341"/>
      <c r="AV305" s="341"/>
      <c r="AW305" s="343"/>
    </row>
    <row r="306" spans="1:49" ht="14.45" customHeight="1">
      <c r="A306" s="735"/>
      <c r="B306" s="338">
        <v>3</v>
      </c>
      <c r="C306" s="338"/>
      <c r="D306" s="338"/>
      <c r="E306" s="339">
        <v>10</v>
      </c>
      <c r="F306" s="339">
        <v>20</v>
      </c>
      <c r="G306" s="339">
        <f>80+4</f>
        <v>84</v>
      </c>
      <c r="H306" s="339"/>
      <c r="I306" s="339">
        <f>71+20</f>
        <v>91</v>
      </c>
      <c r="J306" s="340"/>
      <c r="K306" s="340">
        <v>18</v>
      </c>
      <c r="L306" s="340"/>
      <c r="M306" s="340">
        <v>49</v>
      </c>
      <c r="N306" s="340"/>
      <c r="O306" s="731"/>
      <c r="P306" s="331"/>
      <c r="R306" s="338">
        <v>3</v>
      </c>
      <c r="S306" s="341"/>
      <c r="T306" s="341"/>
      <c r="U306" s="341"/>
      <c r="V306" s="341"/>
      <c r="W306" s="341"/>
      <c r="X306" s="480"/>
      <c r="AA306" s="338">
        <v>3</v>
      </c>
      <c r="AB306" s="341"/>
      <c r="AC306" s="341"/>
      <c r="AD306" s="341"/>
      <c r="AE306" s="341"/>
      <c r="AF306" s="341"/>
      <c r="AG306" s="341"/>
      <c r="AH306" s="341"/>
      <c r="AI306" s="480"/>
      <c r="AL306" s="338">
        <v>3</v>
      </c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3"/>
    </row>
    <row r="307" spans="1:49" ht="14.45" customHeight="1">
      <c r="A307" s="735"/>
      <c r="B307" s="338">
        <v>4</v>
      </c>
      <c r="C307" s="338"/>
      <c r="D307" s="338"/>
      <c r="E307" s="339">
        <v>30</v>
      </c>
      <c r="F307" s="339">
        <v>20</v>
      </c>
      <c r="G307" s="339">
        <v>4</v>
      </c>
      <c r="H307" s="339"/>
      <c r="I307" s="339">
        <v>18</v>
      </c>
      <c r="J307" s="340"/>
      <c r="K307" s="340">
        <v>155</v>
      </c>
      <c r="L307" s="340"/>
      <c r="M307" s="340">
        <v>30</v>
      </c>
      <c r="N307" s="340">
        <f>5.5*5</f>
        <v>27.5</v>
      </c>
      <c r="O307" s="731"/>
      <c r="P307" s="331"/>
      <c r="R307" s="338">
        <v>4</v>
      </c>
      <c r="S307" s="341"/>
      <c r="T307" s="341"/>
      <c r="U307" s="341"/>
      <c r="V307" s="341"/>
      <c r="W307" s="341"/>
      <c r="X307" s="480"/>
      <c r="AA307" s="338">
        <v>4</v>
      </c>
      <c r="AB307" s="341"/>
      <c r="AC307" s="341"/>
      <c r="AD307" s="341"/>
      <c r="AE307" s="341"/>
      <c r="AF307" s="341"/>
      <c r="AG307" s="341"/>
      <c r="AH307" s="341"/>
      <c r="AI307" s="480"/>
      <c r="AL307" s="338">
        <v>4</v>
      </c>
      <c r="AM307" s="341"/>
      <c r="AN307" s="341"/>
      <c r="AO307" s="341"/>
      <c r="AP307" s="341"/>
      <c r="AQ307" s="341"/>
      <c r="AR307" s="341"/>
      <c r="AS307" s="341"/>
      <c r="AT307" s="341"/>
      <c r="AU307" s="341"/>
      <c r="AV307" s="341"/>
      <c r="AW307" s="343"/>
    </row>
    <row r="308" spans="1:49" ht="14.45" customHeight="1">
      <c r="A308" s="735"/>
      <c r="B308" s="338">
        <v>5</v>
      </c>
      <c r="C308" s="338">
        <v>55</v>
      </c>
      <c r="D308" s="338">
        <f>75+50</f>
        <v>125</v>
      </c>
      <c r="E308" s="339">
        <v>5</v>
      </c>
      <c r="F308" s="339">
        <v>1</v>
      </c>
      <c r="G308" s="339">
        <f>4+4+2</f>
        <v>10</v>
      </c>
      <c r="H308" s="339"/>
      <c r="I308" s="339">
        <f>54+13.5</f>
        <v>67.5</v>
      </c>
      <c r="J308" s="340"/>
      <c r="K308" s="340">
        <v>38</v>
      </c>
      <c r="L308" s="340"/>
      <c r="M308" s="340">
        <f>30+3.6</f>
        <v>33.6</v>
      </c>
      <c r="N308" s="340"/>
      <c r="O308" s="731"/>
      <c r="P308" s="331"/>
      <c r="R308" s="338">
        <v>5</v>
      </c>
      <c r="S308" s="341"/>
      <c r="T308" s="341"/>
      <c r="U308" s="341"/>
      <c r="V308" s="341"/>
      <c r="W308" s="341"/>
      <c r="X308" s="480"/>
      <c r="AA308" s="338">
        <v>5</v>
      </c>
      <c r="AB308" s="341"/>
      <c r="AC308" s="341"/>
      <c r="AD308" s="341"/>
      <c r="AE308" s="341"/>
      <c r="AF308" s="341"/>
      <c r="AG308" s="341"/>
      <c r="AH308" s="341"/>
      <c r="AI308" s="480"/>
      <c r="AL308" s="338">
        <v>5</v>
      </c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3"/>
    </row>
    <row r="309" spans="1:49" ht="14.45" customHeight="1">
      <c r="A309" s="735"/>
      <c r="B309" s="338">
        <v>6</v>
      </c>
      <c r="C309" s="338"/>
      <c r="D309" s="338">
        <v>2</v>
      </c>
      <c r="E309" s="339">
        <v>13</v>
      </c>
      <c r="G309" s="339">
        <v>76</v>
      </c>
      <c r="H309" s="339"/>
      <c r="I309" s="339">
        <v>115</v>
      </c>
      <c r="J309" s="340"/>
      <c r="K309" s="340">
        <f>15+10+12</f>
        <v>37</v>
      </c>
      <c r="L309" s="340"/>
      <c r="M309" s="340"/>
      <c r="N309" s="340"/>
      <c r="O309" s="731"/>
      <c r="P309" s="331"/>
      <c r="R309" s="338">
        <v>6</v>
      </c>
      <c r="S309" s="341"/>
      <c r="T309" s="341"/>
      <c r="U309" s="341"/>
      <c r="V309" s="341"/>
      <c r="W309" s="341"/>
      <c r="X309" s="480"/>
      <c r="AA309" s="338">
        <v>6</v>
      </c>
      <c r="AB309" s="341"/>
      <c r="AC309" s="341"/>
      <c r="AD309" s="341"/>
      <c r="AE309" s="341"/>
      <c r="AF309" s="341"/>
      <c r="AG309" s="341"/>
      <c r="AH309" s="341"/>
      <c r="AI309" s="480"/>
      <c r="AL309" s="338">
        <v>6</v>
      </c>
      <c r="AM309" s="341"/>
      <c r="AN309" s="341"/>
      <c r="AO309" s="341"/>
      <c r="AP309" s="341"/>
      <c r="AQ309" s="341"/>
      <c r="AR309" s="341"/>
      <c r="AS309" s="341"/>
      <c r="AT309" s="341"/>
      <c r="AU309" s="341"/>
      <c r="AV309" s="341"/>
      <c r="AW309" s="343"/>
    </row>
    <row r="310" spans="1:49" ht="14.45" customHeight="1">
      <c r="A310" s="735"/>
      <c r="B310" s="338">
        <v>7</v>
      </c>
      <c r="C310" s="338"/>
      <c r="D310" s="338"/>
      <c r="E310" s="339"/>
      <c r="F310" s="339"/>
      <c r="G310" s="339"/>
      <c r="H310" s="339"/>
      <c r="J310" s="340"/>
      <c r="K310" s="340"/>
      <c r="L310" s="340"/>
      <c r="N310" s="340"/>
      <c r="O310" s="731"/>
      <c r="P310" s="331"/>
      <c r="R310" s="338">
        <v>7</v>
      </c>
      <c r="S310" s="341"/>
      <c r="T310" s="341"/>
      <c r="U310" s="341"/>
      <c r="V310" s="341"/>
      <c r="W310" s="341"/>
      <c r="X310" s="480"/>
      <c r="AA310" s="338">
        <v>7</v>
      </c>
      <c r="AB310" s="341"/>
      <c r="AC310" s="341"/>
      <c r="AD310" s="341"/>
      <c r="AE310" s="341"/>
      <c r="AF310" s="341"/>
      <c r="AG310" s="341"/>
      <c r="AH310" s="341"/>
      <c r="AI310" s="480"/>
      <c r="AL310" s="338">
        <v>7</v>
      </c>
      <c r="AM310" s="341"/>
      <c r="AN310" s="341"/>
      <c r="AO310" s="341"/>
      <c r="AP310" s="341"/>
      <c r="AQ310" s="341"/>
      <c r="AR310" s="341"/>
      <c r="AS310" s="341"/>
      <c r="AT310" s="341"/>
      <c r="AU310" s="341"/>
      <c r="AV310" s="341"/>
      <c r="AW310" s="343"/>
    </row>
    <row r="311" spans="1:49" ht="14.45" customHeight="1">
      <c r="A311" s="735"/>
      <c r="B311" s="338">
        <v>8</v>
      </c>
      <c r="C311" s="338">
        <v>100</v>
      </c>
      <c r="D311" s="338"/>
      <c r="E311" s="339">
        <v>55</v>
      </c>
      <c r="F311" s="339"/>
      <c r="G311" s="339">
        <v>60</v>
      </c>
      <c r="H311" s="339"/>
      <c r="I311" s="339">
        <f>20+100</f>
        <v>120</v>
      </c>
      <c r="J311" s="340"/>
      <c r="K311" s="340">
        <f>20+20+8</f>
        <v>48</v>
      </c>
      <c r="L311" s="340"/>
      <c r="M311" s="340"/>
      <c r="N311" s="340">
        <f>5.5+2.75+2.85</f>
        <v>11.1</v>
      </c>
      <c r="O311" s="731"/>
      <c r="P311" s="331"/>
      <c r="R311" s="338">
        <v>8</v>
      </c>
      <c r="S311" s="341"/>
      <c r="T311" s="341"/>
      <c r="U311" s="341"/>
      <c r="V311" s="341"/>
      <c r="W311" s="341"/>
      <c r="X311" s="480"/>
      <c r="AA311" s="338">
        <v>8</v>
      </c>
      <c r="AB311" s="341"/>
      <c r="AC311" s="341"/>
      <c r="AD311" s="341"/>
      <c r="AE311" s="341"/>
      <c r="AF311" s="341"/>
      <c r="AG311" s="341"/>
      <c r="AH311" s="341"/>
      <c r="AI311" s="480"/>
      <c r="AL311" s="338">
        <v>8</v>
      </c>
      <c r="AM311" s="341"/>
      <c r="AN311" s="341"/>
      <c r="AO311" s="341"/>
      <c r="AP311" s="341"/>
      <c r="AQ311" s="341"/>
      <c r="AR311" s="341"/>
      <c r="AS311" s="341"/>
      <c r="AT311" s="341"/>
      <c r="AU311" s="341"/>
      <c r="AV311" s="341"/>
      <c r="AW311" s="343"/>
    </row>
    <row r="312" spans="1:49" ht="14.45" customHeight="1">
      <c r="A312" s="735"/>
      <c r="B312" s="338">
        <v>9</v>
      </c>
      <c r="C312" s="338"/>
      <c r="D312" s="338">
        <v>50</v>
      </c>
      <c r="E312" s="339">
        <v>20</v>
      </c>
      <c r="F312" s="339"/>
      <c r="G312" s="339">
        <v>90</v>
      </c>
      <c r="H312" s="339"/>
      <c r="I312" s="339">
        <v>4</v>
      </c>
      <c r="J312" s="340"/>
      <c r="K312" s="340">
        <f>20+20+6</f>
        <v>46</v>
      </c>
      <c r="L312" s="340"/>
      <c r="M312" s="340">
        <f>90+6.5+5.5+4.5+5+20</f>
        <v>131.5</v>
      </c>
      <c r="N312" s="340"/>
      <c r="O312" s="731"/>
      <c r="P312" s="331"/>
      <c r="R312" s="338">
        <v>9</v>
      </c>
      <c r="S312" s="341"/>
      <c r="T312" s="341"/>
      <c r="U312" s="341"/>
      <c r="V312" s="341"/>
      <c r="W312" s="341"/>
      <c r="X312" s="480"/>
      <c r="AA312" s="338">
        <v>9</v>
      </c>
      <c r="AB312" s="341"/>
      <c r="AC312" s="341"/>
      <c r="AD312" s="341"/>
      <c r="AE312" s="341"/>
      <c r="AF312" s="341"/>
      <c r="AG312" s="341"/>
      <c r="AH312" s="341"/>
      <c r="AI312" s="480"/>
      <c r="AL312" s="338">
        <v>9</v>
      </c>
      <c r="AM312" s="341"/>
      <c r="AN312" s="341"/>
      <c r="AO312" s="341"/>
      <c r="AP312" s="341"/>
      <c r="AQ312" s="341"/>
      <c r="AR312" s="341"/>
      <c r="AS312" s="341"/>
      <c r="AT312" s="341"/>
      <c r="AU312" s="341"/>
      <c r="AV312" s="341"/>
      <c r="AW312" s="343"/>
    </row>
    <row r="313" spans="1:49" ht="14.45" customHeight="1">
      <c r="A313" s="735"/>
      <c r="B313" s="338">
        <v>10</v>
      </c>
      <c r="C313" s="338"/>
      <c r="D313" s="338"/>
      <c r="E313" s="339">
        <f>3+1+18</f>
        <v>22</v>
      </c>
      <c r="F313" s="339"/>
      <c r="G313" s="339">
        <f>6+12+40+10</f>
        <v>68</v>
      </c>
      <c r="H313" s="339"/>
      <c r="I313" s="339">
        <f>2+5+4+80+3</f>
        <v>94</v>
      </c>
      <c r="J313" s="340"/>
      <c r="K313" s="340">
        <f>20+7+20+3</f>
        <v>50</v>
      </c>
      <c r="L313" s="340"/>
      <c r="M313" s="340">
        <f>10+30</f>
        <v>40</v>
      </c>
      <c r="N313" s="340">
        <f>5+7</f>
        <v>12</v>
      </c>
      <c r="O313" s="731"/>
      <c r="P313" s="331"/>
      <c r="R313" s="338">
        <v>10</v>
      </c>
      <c r="S313" s="341"/>
      <c r="T313" s="341"/>
      <c r="U313" s="341"/>
      <c r="V313" s="364"/>
      <c r="W313" s="341"/>
      <c r="X313" s="480"/>
      <c r="AA313" s="338">
        <v>10</v>
      </c>
      <c r="AB313" s="341"/>
      <c r="AC313" s="341"/>
      <c r="AD313" s="341"/>
      <c r="AE313" s="341"/>
      <c r="AF313" s="341"/>
      <c r="AG313" s="341"/>
      <c r="AH313" s="341"/>
      <c r="AI313" s="480"/>
      <c r="AL313" s="338">
        <v>10</v>
      </c>
      <c r="AM313" s="341"/>
      <c r="AN313" s="341"/>
      <c r="AO313" s="341"/>
      <c r="AP313" s="341"/>
      <c r="AQ313" s="341"/>
      <c r="AR313" s="341"/>
      <c r="AS313" s="341"/>
      <c r="AT313" s="341"/>
      <c r="AU313" s="341"/>
      <c r="AV313" s="341"/>
      <c r="AW313" s="343"/>
    </row>
    <row r="314" spans="1:49" ht="14.45" customHeight="1">
      <c r="A314" s="735"/>
      <c r="B314" s="338">
        <v>11</v>
      </c>
      <c r="C314" s="362"/>
      <c r="D314" s="338"/>
      <c r="E314" s="339"/>
      <c r="F314" s="339"/>
      <c r="G314" s="339">
        <f>12+10+150</f>
        <v>172</v>
      </c>
      <c r="H314" s="339"/>
      <c r="I314" s="339">
        <v>30</v>
      </c>
      <c r="J314" s="339"/>
      <c r="K314" s="339">
        <f>64+40</f>
        <v>104</v>
      </c>
      <c r="L314" s="339"/>
      <c r="M314" s="339">
        <v>44</v>
      </c>
      <c r="N314" s="339">
        <v>30</v>
      </c>
      <c r="O314" s="731"/>
      <c r="P314" s="331"/>
      <c r="R314" s="338">
        <v>11</v>
      </c>
      <c r="S314" s="341"/>
      <c r="T314" s="341"/>
      <c r="U314" s="341"/>
      <c r="V314" s="341"/>
      <c r="W314" s="341"/>
      <c r="X314" s="480"/>
      <c r="AA314" s="338">
        <v>11</v>
      </c>
      <c r="AB314" s="341"/>
      <c r="AC314" s="341"/>
      <c r="AD314" s="341"/>
      <c r="AE314" s="341"/>
      <c r="AF314" s="341"/>
      <c r="AG314" s="341"/>
      <c r="AH314" s="341"/>
      <c r="AI314" s="480"/>
      <c r="AL314" s="338">
        <v>11</v>
      </c>
      <c r="AM314" s="341"/>
      <c r="AN314" s="341"/>
      <c r="AO314" s="341"/>
      <c r="AP314" s="341"/>
      <c r="AQ314" s="341"/>
      <c r="AR314" s="341"/>
      <c r="AS314" s="341"/>
      <c r="AT314" s="341"/>
      <c r="AU314" s="341"/>
      <c r="AV314" s="341"/>
      <c r="AW314" s="343"/>
    </row>
    <row r="315" spans="1:49" ht="15" customHeight="1">
      <c r="A315" s="735"/>
      <c r="B315" s="338">
        <v>12</v>
      </c>
      <c r="C315" s="362"/>
      <c r="D315" s="362">
        <v>10</v>
      </c>
      <c r="E315" s="362">
        <v>7</v>
      </c>
      <c r="F315" s="362">
        <v>3</v>
      </c>
      <c r="G315" s="362">
        <v>76</v>
      </c>
      <c r="H315" s="362"/>
      <c r="I315" s="363">
        <v>154</v>
      </c>
      <c r="J315" s="362"/>
      <c r="K315" s="362">
        <f>12+12</f>
        <v>24</v>
      </c>
      <c r="L315" s="362">
        <v>5.5</v>
      </c>
      <c r="M315" s="362">
        <v>4</v>
      </c>
      <c r="N315" s="339">
        <f>5+2.7</f>
        <v>7.7</v>
      </c>
      <c r="O315" s="731"/>
      <c r="P315" s="331"/>
      <c r="R315" s="338">
        <v>12</v>
      </c>
      <c r="S315" s="341"/>
      <c r="T315" s="341"/>
      <c r="U315" s="341"/>
      <c r="V315" s="341"/>
      <c r="W315" s="341"/>
      <c r="X315" s="480"/>
      <c r="AA315" s="338">
        <v>12</v>
      </c>
      <c r="AB315" s="341"/>
      <c r="AC315" s="341"/>
      <c r="AD315" s="341"/>
      <c r="AE315" s="341"/>
      <c r="AF315" s="341"/>
      <c r="AG315" s="341"/>
      <c r="AH315" s="341"/>
      <c r="AI315" s="480"/>
      <c r="AL315" s="338">
        <v>12</v>
      </c>
      <c r="AM315" s="341"/>
      <c r="AN315" s="341"/>
      <c r="AO315" s="341"/>
      <c r="AP315" s="341"/>
      <c r="AQ315" s="341"/>
      <c r="AR315" s="341"/>
      <c r="AS315" s="341"/>
      <c r="AT315" s="341"/>
      <c r="AU315" s="341"/>
      <c r="AV315" s="341"/>
      <c r="AW315" s="343"/>
    </row>
    <row r="316" spans="1:49" ht="14.45" customHeight="1">
      <c r="A316" s="735"/>
      <c r="B316" s="338">
        <v>13</v>
      </c>
      <c r="C316" s="338"/>
      <c r="D316" s="338"/>
      <c r="E316" s="339"/>
      <c r="F316" s="339">
        <v>10</v>
      </c>
      <c r="G316" s="339">
        <v>30</v>
      </c>
      <c r="H316" s="339"/>
      <c r="I316" s="339">
        <f>140+5</f>
        <v>145</v>
      </c>
      <c r="J316" s="340"/>
      <c r="K316" s="340">
        <v>40</v>
      </c>
      <c r="L316" s="340"/>
      <c r="M316" s="340">
        <v>5</v>
      </c>
      <c r="N316" s="340"/>
      <c r="O316" s="731"/>
      <c r="P316" s="331"/>
      <c r="R316" s="338">
        <v>13</v>
      </c>
      <c r="S316" s="341"/>
      <c r="T316" s="341"/>
      <c r="U316" s="341"/>
      <c r="V316" s="341"/>
      <c r="W316" s="341"/>
      <c r="X316" s="480"/>
      <c r="AA316" s="338">
        <v>13</v>
      </c>
      <c r="AB316" s="341"/>
      <c r="AC316" s="341"/>
      <c r="AD316" s="341"/>
      <c r="AE316" s="341"/>
      <c r="AF316" s="341"/>
      <c r="AG316" s="341"/>
      <c r="AH316" s="341"/>
      <c r="AI316" s="480"/>
      <c r="AL316" s="338">
        <v>13</v>
      </c>
      <c r="AM316" s="341"/>
      <c r="AN316" s="341"/>
      <c r="AO316" s="341"/>
      <c r="AP316" s="341"/>
      <c r="AQ316" s="341"/>
      <c r="AR316" s="341"/>
      <c r="AS316" s="341"/>
      <c r="AT316" s="341"/>
      <c r="AU316" s="341"/>
      <c r="AV316" s="341"/>
      <c r="AW316" s="343"/>
    </row>
    <row r="317" spans="1:49" ht="14.45" customHeight="1">
      <c r="A317" s="735"/>
      <c r="B317" s="338">
        <v>14</v>
      </c>
      <c r="C317" s="338"/>
      <c r="D317" s="338"/>
      <c r="E317" s="339"/>
      <c r="F317" s="362"/>
      <c r="G317" s="362"/>
      <c r="H317" s="362"/>
      <c r="I317" s="363"/>
      <c r="J317" s="362"/>
      <c r="K317" s="362"/>
      <c r="L317" s="362"/>
      <c r="M317" s="362"/>
      <c r="N317" s="339"/>
      <c r="O317" s="731"/>
      <c r="P317" s="331"/>
      <c r="R317" s="338">
        <v>14</v>
      </c>
      <c r="S317" s="341"/>
      <c r="T317" s="341"/>
      <c r="U317" s="341"/>
      <c r="V317" s="341"/>
      <c r="W317" s="341"/>
      <c r="X317" s="480"/>
      <c r="AA317" s="338">
        <v>14</v>
      </c>
      <c r="AB317" s="341"/>
      <c r="AC317" s="341"/>
      <c r="AD317" s="341"/>
      <c r="AE317" s="341"/>
      <c r="AF317" s="341"/>
      <c r="AG317" s="341"/>
      <c r="AH317" s="341"/>
      <c r="AI317" s="480"/>
      <c r="AL317" s="338">
        <v>14</v>
      </c>
      <c r="AM317" s="341"/>
      <c r="AN317" s="341"/>
      <c r="AO317" s="341"/>
      <c r="AP317" s="341"/>
      <c r="AQ317" s="341"/>
      <c r="AR317" s="341"/>
      <c r="AS317" s="341"/>
      <c r="AT317" s="341"/>
      <c r="AU317" s="341"/>
      <c r="AV317" s="341"/>
      <c r="AW317" s="343"/>
    </row>
    <row r="318" spans="1:49" ht="14.45" customHeight="1">
      <c r="A318" s="735"/>
      <c r="B318" s="338">
        <v>15</v>
      </c>
      <c r="C318" s="338">
        <v>2</v>
      </c>
      <c r="D318" s="338"/>
      <c r="E318" s="339">
        <v>55</v>
      </c>
      <c r="F318" s="339">
        <v>10</v>
      </c>
      <c r="G318" s="339">
        <v>63</v>
      </c>
      <c r="H318" s="339"/>
      <c r="I318" s="339">
        <f>81+25+20+10</f>
        <v>136</v>
      </c>
      <c r="J318" s="339"/>
      <c r="K318" s="339">
        <v>2</v>
      </c>
      <c r="L318" s="339"/>
      <c r="M318" s="339">
        <v>4</v>
      </c>
      <c r="N318" s="339"/>
      <c r="O318" s="731"/>
      <c r="P318" s="331"/>
      <c r="R318" s="338">
        <v>15</v>
      </c>
      <c r="S318" s="341"/>
      <c r="T318" s="341"/>
      <c r="U318" s="341"/>
      <c r="V318" s="341"/>
      <c r="W318" s="341"/>
      <c r="X318" s="480"/>
      <c r="AA318" s="338">
        <v>15</v>
      </c>
      <c r="AB318" s="341"/>
      <c r="AC318" s="341"/>
      <c r="AD318" s="341"/>
      <c r="AE318" s="341"/>
      <c r="AF318" s="341"/>
      <c r="AG318" s="341"/>
      <c r="AH318" s="341"/>
      <c r="AI318" s="480"/>
      <c r="AL318" s="338">
        <v>15</v>
      </c>
      <c r="AM318" s="341"/>
      <c r="AN318" s="341"/>
      <c r="AO318" s="341"/>
      <c r="AP318" s="341"/>
      <c r="AQ318" s="341"/>
      <c r="AR318" s="341"/>
      <c r="AS318" s="341"/>
      <c r="AT318" s="341"/>
      <c r="AU318" s="341"/>
      <c r="AV318" s="341"/>
      <c r="AW318" s="343"/>
    </row>
    <row r="319" spans="1:49" ht="14.45" customHeight="1">
      <c r="A319" s="735"/>
      <c r="B319" s="338">
        <v>16</v>
      </c>
      <c r="C319" s="362"/>
      <c r="D319" s="362"/>
      <c r="E319" s="362">
        <v>20</v>
      </c>
      <c r="F319" s="362"/>
      <c r="G319" s="362">
        <v>65</v>
      </c>
      <c r="H319" s="362"/>
      <c r="I319" s="363">
        <v>58</v>
      </c>
      <c r="J319" s="362"/>
      <c r="K319" s="362">
        <v>62</v>
      </c>
      <c r="L319" s="362"/>
      <c r="M319" s="362">
        <v>42</v>
      </c>
      <c r="N319" s="339"/>
      <c r="O319" s="731"/>
      <c r="P319" s="331"/>
      <c r="R319" s="338">
        <v>16</v>
      </c>
      <c r="S319" s="341"/>
      <c r="T319" s="341"/>
      <c r="U319" s="341"/>
      <c r="V319" s="341"/>
      <c r="W319" s="341"/>
      <c r="X319" s="480"/>
      <c r="AA319" s="338">
        <v>16</v>
      </c>
      <c r="AB319" s="341"/>
      <c r="AC319" s="341"/>
      <c r="AD319" s="341"/>
      <c r="AE319" s="341"/>
      <c r="AF319" s="341"/>
      <c r="AG319" s="341"/>
      <c r="AH319" s="341"/>
      <c r="AI319" s="480"/>
      <c r="AL319" s="338">
        <v>16</v>
      </c>
      <c r="AM319" s="341"/>
      <c r="AN319" s="341"/>
      <c r="AO319" s="341"/>
      <c r="AP319" s="341"/>
      <c r="AQ319" s="341"/>
      <c r="AR319" s="341"/>
      <c r="AS319" s="341"/>
      <c r="AT319" s="341"/>
      <c r="AU319" s="341"/>
      <c r="AV319" s="341"/>
      <c r="AW319" s="343"/>
    </row>
    <row r="320" spans="1:49" ht="14.45" customHeight="1">
      <c r="A320" s="735"/>
      <c r="B320" s="338">
        <v>17</v>
      </c>
      <c r="C320" s="338"/>
      <c r="D320" s="338"/>
      <c r="E320" s="339"/>
      <c r="F320" s="339"/>
      <c r="G320" s="339">
        <v>7</v>
      </c>
      <c r="H320" s="339"/>
      <c r="I320" s="339">
        <f>4+10+10+6+10</f>
        <v>40</v>
      </c>
      <c r="J320" s="340"/>
      <c r="K320" s="339">
        <v>70</v>
      </c>
      <c r="L320" s="362">
        <v>2</v>
      </c>
      <c r="M320" s="340">
        <v>14</v>
      </c>
      <c r="N320" s="340"/>
      <c r="O320" s="731"/>
      <c r="P320" s="331"/>
      <c r="R320" s="338">
        <v>17</v>
      </c>
      <c r="S320" s="341"/>
      <c r="T320" s="341"/>
      <c r="U320" s="341"/>
      <c r="V320" s="341"/>
      <c r="W320" s="341"/>
      <c r="X320" s="480"/>
      <c r="AA320" s="338">
        <v>17</v>
      </c>
      <c r="AB320" s="341"/>
      <c r="AC320" s="341"/>
      <c r="AD320" s="341">
        <v>1200</v>
      </c>
      <c r="AE320" s="341">
        <v>1000</v>
      </c>
      <c r="AF320" s="341"/>
      <c r="AG320" s="341"/>
      <c r="AH320" s="341"/>
      <c r="AI320" s="480"/>
      <c r="AL320" s="338">
        <v>17</v>
      </c>
      <c r="AM320" s="341"/>
      <c r="AN320" s="341">
        <v>2000</v>
      </c>
      <c r="AO320" s="341"/>
      <c r="AP320" s="341">
        <v>2500</v>
      </c>
      <c r="AQ320" s="341">
        <v>2000</v>
      </c>
      <c r="AR320" s="341">
        <v>3000</v>
      </c>
      <c r="AS320" s="341"/>
      <c r="AT320" s="341"/>
      <c r="AU320" s="341"/>
      <c r="AV320" s="341"/>
      <c r="AW320" s="343"/>
    </row>
    <row r="321" spans="1:49" ht="14.45" customHeight="1">
      <c r="A321" s="735"/>
      <c r="B321" s="338">
        <v>18</v>
      </c>
      <c r="C321" s="338"/>
      <c r="D321" s="338"/>
      <c r="E321" s="339">
        <v>45</v>
      </c>
      <c r="F321" s="339">
        <v>3</v>
      </c>
      <c r="G321" s="339">
        <v>32</v>
      </c>
      <c r="H321" s="339"/>
      <c r="I321" s="338">
        <v>90</v>
      </c>
      <c r="J321" s="338"/>
      <c r="K321" s="338">
        <v>30</v>
      </c>
      <c r="L321" s="338"/>
      <c r="M321" s="338"/>
      <c r="N321" s="340"/>
      <c r="O321" s="731"/>
      <c r="P321" s="331"/>
      <c r="R321" s="338">
        <v>18</v>
      </c>
      <c r="S321" s="341"/>
      <c r="T321" s="341"/>
      <c r="U321" s="341"/>
      <c r="V321" s="341"/>
      <c r="W321" s="341"/>
      <c r="X321" s="480"/>
      <c r="AA321" s="338">
        <v>18</v>
      </c>
      <c r="AB321" s="341"/>
      <c r="AC321" s="341"/>
      <c r="AD321" s="341"/>
      <c r="AE321" s="341">
        <v>7000</v>
      </c>
      <c r="AF321" s="341"/>
      <c r="AG321" s="341"/>
      <c r="AH321" s="341"/>
      <c r="AI321" s="480"/>
      <c r="AL321" s="338">
        <v>18</v>
      </c>
      <c r="AM321" s="341"/>
      <c r="AN321" s="341"/>
      <c r="AO321" s="341"/>
      <c r="AP321" s="341"/>
      <c r="AQ321" s="341"/>
      <c r="AR321" s="341"/>
      <c r="AS321" s="341"/>
      <c r="AT321" s="341"/>
      <c r="AU321" s="341"/>
      <c r="AV321" s="341"/>
      <c r="AW321" s="343"/>
    </row>
    <row r="322" spans="1:49" ht="14.45" customHeight="1">
      <c r="A322" s="735"/>
      <c r="B322" s="338">
        <v>19</v>
      </c>
      <c r="C322" s="338"/>
      <c r="D322" s="338"/>
      <c r="E322" s="338">
        <v>12</v>
      </c>
      <c r="F322" s="338"/>
      <c r="G322" s="338">
        <v>20</v>
      </c>
      <c r="H322" s="338"/>
      <c r="I322" s="363"/>
      <c r="J322" s="362"/>
      <c r="K322" s="362"/>
      <c r="L322" s="362"/>
      <c r="M322" s="362"/>
      <c r="N322" s="338"/>
      <c r="O322" s="731"/>
      <c r="P322" s="331"/>
      <c r="R322" s="338">
        <v>19</v>
      </c>
      <c r="S322" s="341"/>
      <c r="T322" s="341"/>
      <c r="U322" s="341"/>
      <c r="V322" s="341"/>
      <c r="W322" s="341"/>
      <c r="X322" s="480"/>
      <c r="AA322" s="338">
        <v>19</v>
      </c>
      <c r="AB322" s="341"/>
      <c r="AC322" s="341"/>
      <c r="AD322" s="341"/>
      <c r="AE322" s="341">
        <v>2500</v>
      </c>
      <c r="AF322" s="341"/>
      <c r="AG322" s="341"/>
      <c r="AH322" s="341"/>
      <c r="AI322" s="480"/>
      <c r="AL322" s="338">
        <v>19</v>
      </c>
      <c r="AM322" s="341"/>
      <c r="AN322" s="341"/>
      <c r="AO322" s="341"/>
      <c r="AP322" s="341"/>
      <c r="AQ322" s="341"/>
      <c r="AR322" s="341"/>
      <c r="AS322" s="341"/>
      <c r="AT322" s="341"/>
      <c r="AU322" s="341"/>
      <c r="AV322" s="341"/>
      <c r="AW322" s="343"/>
    </row>
    <row r="323" spans="1:49" ht="14.45" customHeight="1">
      <c r="A323" s="735"/>
      <c r="B323" s="338">
        <v>20</v>
      </c>
      <c r="C323" s="338"/>
      <c r="D323" s="338"/>
      <c r="E323" s="338">
        <v>20</v>
      </c>
      <c r="F323" s="338"/>
      <c r="G323" s="338">
        <f>2+20</f>
        <v>22</v>
      </c>
      <c r="H323" s="338"/>
      <c r="I323" s="338">
        <f>30</f>
        <v>30</v>
      </c>
      <c r="J323" s="338"/>
      <c r="K323" s="338">
        <f>112+2+2</f>
        <v>116</v>
      </c>
      <c r="L323" s="338"/>
      <c r="M323" s="338">
        <v>3</v>
      </c>
      <c r="N323" s="338"/>
      <c r="O323" s="731"/>
      <c r="P323" s="331"/>
      <c r="R323" s="338">
        <v>20</v>
      </c>
      <c r="S323" s="341"/>
      <c r="T323" s="341"/>
      <c r="U323" s="341"/>
      <c r="V323" s="341"/>
      <c r="W323" s="341"/>
      <c r="X323" s="480"/>
      <c r="AA323" s="338">
        <v>20</v>
      </c>
      <c r="AB323" s="341"/>
      <c r="AC323" s="341"/>
      <c r="AD323" s="341"/>
      <c r="AE323" s="341"/>
      <c r="AF323" s="341"/>
      <c r="AG323" s="341"/>
      <c r="AH323" s="341"/>
      <c r="AI323" s="480"/>
      <c r="AL323" s="338">
        <v>20</v>
      </c>
      <c r="AM323" s="341"/>
      <c r="AN323" s="341"/>
      <c r="AO323" s="341"/>
      <c r="AP323" s="341"/>
      <c r="AQ323" s="341"/>
      <c r="AR323" s="341"/>
      <c r="AS323" s="341"/>
      <c r="AT323" s="341"/>
      <c r="AU323" s="341"/>
      <c r="AV323" s="341"/>
      <c r="AW323" s="343"/>
    </row>
    <row r="324" spans="1:49" ht="14.45" customHeight="1">
      <c r="A324" s="735"/>
      <c r="B324" s="338">
        <v>21</v>
      </c>
      <c r="C324" s="362"/>
      <c r="D324" s="362"/>
      <c r="E324" s="362"/>
      <c r="F324" s="362"/>
      <c r="G324" s="362"/>
      <c r="H324" s="362"/>
      <c r="I324" s="363"/>
      <c r="J324" s="362"/>
      <c r="K324" s="362"/>
      <c r="L324" s="362"/>
      <c r="M324" s="362"/>
      <c r="N324" s="338"/>
      <c r="O324" s="731"/>
      <c r="P324" s="331"/>
      <c r="R324" s="338">
        <v>21</v>
      </c>
      <c r="S324" s="341"/>
      <c r="T324" s="341"/>
      <c r="U324" s="341"/>
      <c r="V324" s="341"/>
      <c r="W324" s="341"/>
      <c r="X324" s="480"/>
      <c r="AA324" s="338">
        <v>21</v>
      </c>
      <c r="AB324" s="341"/>
      <c r="AC324" s="341"/>
      <c r="AD324" s="341"/>
      <c r="AE324" s="341"/>
      <c r="AF324" s="341"/>
      <c r="AG324" s="341"/>
      <c r="AH324" s="341"/>
      <c r="AI324" s="480"/>
      <c r="AL324" s="338">
        <v>21</v>
      </c>
      <c r="AM324" s="341"/>
      <c r="AN324" s="341"/>
      <c r="AO324" s="341"/>
      <c r="AP324" s="341"/>
      <c r="AQ324" s="341"/>
      <c r="AR324" s="341"/>
      <c r="AS324" s="341"/>
      <c r="AT324" s="341"/>
      <c r="AU324" s="341"/>
      <c r="AV324" s="341"/>
      <c r="AW324" s="343"/>
    </row>
    <row r="325" spans="1:49" ht="14.45" customHeight="1">
      <c r="A325" s="735"/>
      <c r="B325" s="338">
        <v>22</v>
      </c>
      <c r="C325" s="325">
        <v>51</v>
      </c>
      <c r="D325" s="349">
        <v>30</v>
      </c>
      <c r="E325" s="349">
        <v>108</v>
      </c>
      <c r="F325" s="349"/>
      <c r="G325" s="349">
        <v>23</v>
      </c>
      <c r="H325" s="349"/>
      <c r="I325" s="349">
        <f>85+30+4</f>
        <v>119</v>
      </c>
      <c r="J325" s="349"/>
      <c r="K325" s="349">
        <f>10+10+10+5</f>
        <v>35</v>
      </c>
      <c r="L325" s="349">
        <v>6</v>
      </c>
      <c r="M325" s="510">
        <v>3</v>
      </c>
      <c r="N325" s="338"/>
      <c r="O325" s="731"/>
      <c r="P325" s="331"/>
      <c r="R325" s="338">
        <v>22</v>
      </c>
      <c r="S325" s="341"/>
      <c r="T325" s="341"/>
      <c r="U325" s="341"/>
      <c r="V325" s="341"/>
      <c r="W325" s="341"/>
      <c r="X325" s="480"/>
      <c r="AA325" s="338">
        <v>22</v>
      </c>
      <c r="AB325" s="341"/>
      <c r="AC325" s="341"/>
      <c r="AD325" s="341"/>
      <c r="AE325" s="341"/>
      <c r="AF325" s="341"/>
      <c r="AG325" s="341"/>
      <c r="AH325" s="341"/>
      <c r="AI325" s="480"/>
      <c r="AL325" s="338">
        <v>22</v>
      </c>
      <c r="AM325" s="341"/>
      <c r="AN325" s="341"/>
      <c r="AO325" s="341"/>
      <c r="AP325" s="341"/>
      <c r="AQ325" s="341"/>
      <c r="AR325" s="341"/>
      <c r="AS325" s="341"/>
      <c r="AT325" s="341"/>
      <c r="AU325" s="341"/>
      <c r="AV325" s="341"/>
      <c r="AW325" s="343"/>
    </row>
    <row r="326" spans="1:49" ht="14.45" customHeight="1">
      <c r="A326" s="735"/>
      <c r="B326" s="338">
        <v>23</v>
      </c>
      <c r="C326" s="338"/>
      <c r="D326" s="338"/>
      <c r="E326" s="339"/>
      <c r="F326" s="339">
        <v>6</v>
      </c>
      <c r="G326" s="339">
        <f>10+1.5+30</f>
        <v>41.5</v>
      </c>
      <c r="H326" s="339"/>
      <c r="I326" s="339">
        <f>30</f>
        <v>30</v>
      </c>
      <c r="J326" s="340"/>
      <c r="K326" s="340">
        <f>60+40+30+2+2</f>
        <v>134</v>
      </c>
      <c r="L326" s="340"/>
      <c r="M326" s="340">
        <f>12</f>
        <v>12</v>
      </c>
      <c r="N326" s="340"/>
      <c r="O326" s="731"/>
      <c r="P326" s="331"/>
      <c r="R326" s="338">
        <v>23</v>
      </c>
      <c r="S326" s="341"/>
      <c r="T326" s="341"/>
      <c r="U326" s="341"/>
      <c r="V326" s="341"/>
      <c r="W326" s="341"/>
      <c r="X326" s="480"/>
      <c r="AA326" s="338">
        <v>23</v>
      </c>
      <c r="AB326" s="341"/>
      <c r="AC326" s="341"/>
      <c r="AD326" s="341"/>
      <c r="AE326" s="341"/>
      <c r="AF326" s="341"/>
      <c r="AG326" s="341"/>
      <c r="AH326" s="341"/>
      <c r="AI326" s="480"/>
      <c r="AL326" s="338">
        <v>23</v>
      </c>
      <c r="AM326" s="341"/>
      <c r="AN326" s="341"/>
      <c r="AO326" s="341"/>
      <c r="AP326" s="341"/>
      <c r="AQ326" s="341"/>
      <c r="AR326" s="341"/>
      <c r="AS326" s="341"/>
      <c r="AT326" s="341"/>
      <c r="AU326" s="341"/>
      <c r="AV326" s="341"/>
      <c r="AW326" s="343"/>
    </row>
    <row r="327" spans="1:49" ht="14.45" customHeight="1">
      <c r="A327" s="735"/>
      <c r="B327" s="338">
        <v>24</v>
      </c>
      <c r="D327" s="338">
        <v>4</v>
      </c>
      <c r="E327" s="339">
        <v>20</v>
      </c>
      <c r="F327" s="339"/>
      <c r="G327" s="366">
        <v>53</v>
      </c>
      <c r="H327" s="339"/>
      <c r="I327" s="339">
        <v>23</v>
      </c>
      <c r="J327" s="340"/>
      <c r="K327" s="340">
        <v>65</v>
      </c>
      <c r="L327" s="340"/>
      <c r="M327" s="340">
        <f>70+6</f>
        <v>76</v>
      </c>
      <c r="N327" s="340"/>
      <c r="O327" s="731"/>
      <c r="P327" s="331"/>
      <c r="R327" s="338">
        <v>24</v>
      </c>
      <c r="S327" s="341"/>
      <c r="T327" s="341"/>
      <c r="U327" s="341"/>
      <c r="V327" s="341"/>
      <c r="W327" s="341"/>
      <c r="X327" s="480"/>
      <c r="AA327" s="338">
        <v>24</v>
      </c>
      <c r="AB327" s="341"/>
      <c r="AC327" s="341"/>
      <c r="AD327" s="341"/>
      <c r="AE327" s="341"/>
      <c r="AF327" s="341"/>
      <c r="AG327" s="341"/>
      <c r="AH327" s="341"/>
      <c r="AI327" s="480"/>
      <c r="AL327" s="338">
        <v>24</v>
      </c>
      <c r="AM327" s="341"/>
      <c r="AN327" s="341"/>
      <c r="AO327" s="341"/>
      <c r="AP327" s="341"/>
      <c r="AQ327" s="341"/>
      <c r="AR327" s="341"/>
      <c r="AS327" s="341"/>
      <c r="AT327" s="341"/>
      <c r="AU327" s="341"/>
      <c r="AV327" s="341"/>
      <c r="AW327" s="343"/>
    </row>
    <row r="328" spans="1:49" ht="14.45" customHeight="1">
      <c r="A328" s="735"/>
      <c r="B328" s="338">
        <v>25</v>
      </c>
      <c r="C328" s="338">
        <v>1.5</v>
      </c>
      <c r="D328" s="338"/>
      <c r="E328" s="339">
        <f>100+10+10+24</f>
        <v>144</v>
      </c>
      <c r="F328" s="362"/>
      <c r="G328" s="325">
        <f>20+1.5+3+3+6+2</f>
        <v>35.5</v>
      </c>
      <c r="H328" s="339"/>
      <c r="I328" s="339">
        <f>15+27+1.3+6</f>
        <v>49.3</v>
      </c>
      <c r="J328" s="339"/>
      <c r="K328" s="325">
        <f>24+3+1.5+3.5+135+1.5+4+9</f>
        <v>181.5</v>
      </c>
      <c r="L328" s="339"/>
      <c r="M328" s="339">
        <v>3</v>
      </c>
      <c r="N328" s="340"/>
      <c r="O328" s="731"/>
      <c r="P328" s="331"/>
      <c r="R328" s="338">
        <v>25</v>
      </c>
      <c r="S328" s="341"/>
      <c r="T328" s="341"/>
      <c r="U328" s="341"/>
      <c r="V328" s="341"/>
      <c r="W328" s="341"/>
      <c r="X328" s="480"/>
      <c r="AA328" s="338">
        <v>25</v>
      </c>
      <c r="AB328" s="341"/>
      <c r="AC328" s="341"/>
      <c r="AD328" s="341"/>
      <c r="AE328" s="341"/>
      <c r="AF328" s="341"/>
      <c r="AG328" s="341"/>
      <c r="AH328" s="341"/>
      <c r="AI328" s="480"/>
      <c r="AL328" s="338">
        <v>25</v>
      </c>
      <c r="AM328" s="341"/>
      <c r="AN328" s="341"/>
      <c r="AO328" s="341"/>
      <c r="AP328" s="341"/>
      <c r="AQ328" s="341"/>
      <c r="AR328" s="341"/>
      <c r="AS328" s="341"/>
      <c r="AT328" s="341"/>
      <c r="AU328" s="341"/>
      <c r="AV328" s="341"/>
      <c r="AW328" s="343"/>
    </row>
    <row r="329" spans="1:49" ht="14.45" customHeight="1">
      <c r="A329" s="735"/>
      <c r="B329" s="338">
        <v>26</v>
      </c>
      <c r="C329" s="338"/>
      <c r="D329" s="362"/>
      <c r="E329" s="362"/>
      <c r="F329" s="362"/>
      <c r="G329" s="362">
        <v>50</v>
      </c>
      <c r="H329" s="362"/>
      <c r="I329" s="363">
        <v>72</v>
      </c>
      <c r="J329" s="362"/>
      <c r="K329" s="362">
        <v>150</v>
      </c>
      <c r="L329" s="362"/>
      <c r="M329" s="362"/>
      <c r="N329" s="339"/>
      <c r="O329" s="731"/>
      <c r="P329" s="331"/>
      <c r="R329" s="338">
        <v>26</v>
      </c>
      <c r="S329" s="341"/>
      <c r="T329" s="341"/>
      <c r="U329" s="341"/>
      <c r="V329" s="341"/>
      <c r="W329" s="341"/>
      <c r="X329" s="480"/>
      <c r="AA329" s="338">
        <v>26</v>
      </c>
      <c r="AB329" s="341"/>
      <c r="AC329" s="341"/>
      <c r="AD329" s="341"/>
      <c r="AE329" s="341"/>
      <c r="AF329" s="341"/>
      <c r="AG329" s="341"/>
      <c r="AH329" s="341"/>
      <c r="AI329" s="480"/>
      <c r="AL329" s="338">
        <v>26</v>
      </c>
      <c r="AM329" s="341"/>
      <c r="AN329" s="341"/>
      <c r="AO329" s="341"/>
      <c r="AP329" s="341"/>
      <c r="AQ329" s="341"/>
      <c r="AR329" s="341"/>
      <c r="AS329" s="341"/>
      <c r="AT329" s="341"/>
      <c r="AU329" s="341"/>
      <c r="AV329" s="341"/>
      <c r="AW329" s="343"/>
    </row>
    <row r="330" spans="1:49" ht="14.45" customHeight="1">
      <c r="A330" s="735"/>
      <c r="B330" s="338">
        <v>27</v>
      </c>
      <c r="C330" s="362"/>
      <c r="D330" s="362"/>
      <c r="E330" s="362">
        <v>1</v>
      </c>
      <c r="F330" s="347"/>
      <c r="G330" s="339"/>
      <c r="H330" s="362"/>
      <c r="I330" s="363">
        <v>90</v>
      </c>
      <c r="J330" s="362"/>
      <c r="K330" s="362">
        <v>85</v>
      </c>
      <c r="L330" s="362"/>
      <c r="M330" s="362">
        <v>4.2</v>
      </c>
      <c r="N330" s="339"/>
      <c r="O330" s="731"/>
      <c r="P330" s="331"/>
      <c r="R330" s="338">
        <v>27</v>
      </c>
      <c r="S330" s="341"/>
      <c r="T330" s="341"/>
      <c r="U330" s="341"/>
      <c r="V330" s="341"/>
      <c r="W330" s="341"/>
      <c r="X330" s="480"/>
      <c r="AA330" s="338">
        <v>27</v>
      </c>
      <c r="AB330" s="341"/>
      <c r="AC330" s="341"/>
      <c r="AD330" s="341"/>
      <c r="AE330" s="341"/>
      <c r="AF330" s="341"/>
      <c r="AG330" s="341"/>
      <c r="AH330" s="341"/>
      <c r="AI330" s="480"/>
      <c r="AL330" s="338">
        <v>27</v>
      </c>
      <c r="AM330" s="341"/>
      <c r="AN330" s="341"/>
      <c r="AO330" s="341"/>
      <c r="AP330" s="341"/>
      <c r="AQ330" s="341"/>
      <c r="AR330" s="341"/>
      <c r="AS330" s="341"/>
      <c r="AT330" s="341"/>
      <c r="AU330" s="341"/>
      <c r="AV330" s="341"/>
      <c r="AW330" s="343"/>
    </row>
    <row r="331" spans="1:49" ht="14.45" customHeight="1">
      <c r="A331" s="735"/>
      <c r="B331" s="338">
        <v>28</v>
      </c>
      <c r="C331" s="346"/>
      <c r="D331" s="346"/>
      <c r="E331" s="362"/>
      <c r="F331" s="339"/>
      <c r="G331" s="338"/>
      <c r="H331" s="339"/>
      <c r="I331" s="339"/>
      <c r="J331" s="340"/>
      <c r="K331" s="339"/>
      <c r="L331" s="339"/>
      <c r="M331" s="340"/>
      <c r="N331" s="340"/>
      <c r="O331" s="731"/>
      <c r="P331" s="331"/>
      <c r="R331" s="338">
        <v>28</v>
      </c>
      <c r="S331" s="341"/>
      <c r="T331" s="341"/>
      <c r="U331" s="341"/>
      <c r="V331" s="341"/>
      <c r="W331" s="341"/>
      <c r="X331" s="480"/>
      <c r="AA331" s="338">
        <v>28</v>
      </c>
      <c r="AB331" s="341"/>
      <c r="AC331" s="341"/>
      <c r="AD331" s="341"/>
      <c r="AE331" s="341"/>
      <c r="AF331" s="341"/>
      <c r="AG331" s="341"/>
      <c r="AH331" s="341"/>
      <c r="AI331" s="480"/>
      <c r="AL331" s="338">
        <v>28</v>
      </c>
      <c r="AM331" s="341"/>
      <c r="AN331" s="341"/>
      <c r="AO331" s="341"/>
      <c r="AP331" s="341"/>
      <c r="AQ331" s="341"/>
      <c r="AR331" s="341"/>
      <c r="AS331" s="341"/>
      <c r="AT331" s="341"/>
      <c r="AU331" s="341"/>
      <c r="AV331" s="341"/>
      <c r="AW331" s="343"/>
    </row>
    <row r="332" spans="1:49" ht="14.45" customHeight="1">
      <c r="A332" s="735"/>
      <c r="B332" s="338">
        <v>29</v>
      </c>
      <c r="C332" s="338"/>
      <c r="D332" s="338"/>
      <c r="E332" s="362">
        <v>56</v>
      </c>
      <c r="F332" s="350"/>
      <c r="G332" s="339">
        <f>25+2+10</f>
        <v>37</v>
      </c>
      <c r="H332" s="339"/>
      <c r="I332" s="339">
        <f>75+3</f>
        <v>78</v>
      </c>
      <c r="J332" s="340"/>
      <c r="K332" s="339">
        <f>60</f>
        <v>60</v>
      </c>
      <c r="L332" s="339"/>
      <c r="M332" s="340"/>
      <c r="N332" s="340"/>
      <c r="O332" s="731"/>
      <c r="P332" s="331"/>
      <c r="R332" s="338">
        <v>29</v>
      </c>
      <c r="S332" s="341"/>
      <c r="T332" s="341"/>
      <c r="U332" s="341"/>
      <c r="V332" s="341"/>
      <c r="W332" s="341"/>
      <c r="X332" s="480"/>
      <c r="AA332" s="338">
        <v>29</v>
      </c>
      <c r="AB332" s="341"/>
      <c r="AC332" s="341"/>
      <c r="AD332" s="341"/>
      <c r="AE332" s="341"/>
      <c r="AF332" s="341"/>
      <c r="AG332" s="341"/>
      <c r="AH332" s="341"/>
      <c r="AI332" s="480"/>
      <c r="AL332" s="338">
        <v>29</v>
      </c>
      <c r="AM332" s="341"/>
      <c r="AN332" s="341"/>
      <c r="AO332" s="341"/>
      <c r="AP332" s="341"/>
      <c r="AQ332" s="341"/>
      <c r="AR332" s="341"/>
      <c r="AS332" s="341"/>
      <c r="AT332" s="341"/>
      <c r="AU332" s="341"/>
      <c r="AV332" s="341"/>
      <c r="AW332" s="343"/>
    </row>
    <row r="333" spans="1:49" ht="14.45" customHeight="1">
      <c r="A333" s="735"/>
      <c r="B333" s="338">
        <v>30</v>
      </c>
      <c r="C333" s="349">
        <v>30</v>
      </c>
      <c r="D333" s="349">
        <v>150</v>
      </c>
      <c r="E333" s="362">
        <v>10</v>
      </c>
      <c r="F333" s="362"/>
      <c r="G333" s="338">
        <v>70</v>
      </c>
      <c r="H333" s="338"/>
      <c r="I333" s="339">
        <v>100</v>
      </c>
      <c r="J333" s="339"/>
      <c r="K333" s="338">
        <v>20</v>
      </c>
      <c r="L333" s="338"/>
      <c r="N333" s="350">
        <v>5</v>
      </c>
      <c r="O333" s="731"/>
      <c r="P333" s="331"/>
      <c r="R333" s="338">
        <v>30</v>
      </c>
      <c r="S333" s="341"/>
      <c r="T333" s="341"/>
      <c r="U333" s="341"/>
      <c r="V333" s="341"/>
      <c r="W333" s="341"/>
      <c r="X333" s="480"/>
      <c r="AA333" s="338">
        <v>30</v>
      </c>
      <c r="AB333" s="341"/>
      <c r="AC333" s="341"/>
      <c r="AD333" s="341"/>
      <c r="AE333" s="341"/>
      <c r="AF333" s="341"/>
      <c r="AG333" s="341"/>
      <c r="AH333" s="341"/>
      <c r="AI333" s="480"/>
      <c r="AL333" s="338">
        <v>30</v>
      </c>
      <c r="AM333" s="341"/>
      <c r="AN333" s="341"/>
      <c r="AO333" s="341"/>
      <c r="AP333" s="341"/>
      <c r="AQ333" s="341"/>
      <c r="AR333" s="341"/>
      <c r="AS333" s="341"/>
      <c r="AT333" s="341"/>
      <c r="AU333" s="341"/>
      <c r="AV333" s="341"/>
      <c r="AW333" s="343"/>
    </row>
    <row r="334" spans="1:49" ht="14.45" customHeight="1">
      <c r="A334" s="735"/>
      <c r="B334" s="338">
        <v>31</v>
      </c>
      <c r="C334" s="362"/>
      <c r="D334" s="362"/>
      <c r="E334" s="362"/>
      <c r="F334" s="339"/>
      <c r="G334" s="339"/>
      <c r="H334" s="339"/>
      <c r="I334" s="339"/>
      <c r="J334" s="339"/>
      <c r="K334" s="338"/>
      <c r="L334" s="338"/>
      <c r="M334" s="362"/>
      <c r="N334" s="339"/>
      <c r="O334" s="731"/>
      <c r="P334" s="331"/>
      <c r="R334" s="338">
        <v>31</v>
      </c>
      <c r="S334" s="352"/>
      <c r="T334" s="352"/>
      <c r="U334" s="352"/>
      <c r="V334" s="352"/>
      <c r="W334" s="352"/>
      <c r="X334" s="480"/>
      <c r="AA334" s="338">
        <v>31</v>
      </c>
      <c r="AB334" s="352"/>
      <c r="AC334" s="352"/>
      <c r="AD334" s="352"/>
      <c r="AE334" s="352"/>
      <c r="AF334" s="352"/>
      <c r="AG334" s="352"/>
      <c r="AH334" s="352"/>
      <c r="AI334" s="480"/>
      <c r="AL334" s="338">
        <v>31</v>
      </c>
      <c r="AM334" s="352"/>
      <c r="AN334" s="352"/>
      <c r="AO334" s="352"/>
      <c r="AP334" s="352"/>
      <c r="AQ334" s="352"/>
      <c r="AR334" s="352"/>
      <c r="AS334" s="352"/>
      <c r="AT334" s="352"/>
      <c r="AU334" s="352"/>
      <c r="AV334" s="352"/>
      <c r="AW334" s="343"/>
    </row>
    <row r="335" spans="1:49" s="7" customFormat="1" ht="32.450000000000003" customHeight="1">
      <c r="A335" s="735"/>
      <c r="B335" s="353" t="s">
        <v>16</v>
      </c>
      <c r="C335" s="354">
        <f>+SUM(C304:C334)</f>
        <v>239.5</v>
      </c>
      <c r="D335" s="354">
        <f t="shared" ref="D335:N335" si="17">+SUM(D304:D334)</f>
        <v>382</v>
      </c>
      <c r="E335" s="354">
        <f t="shared" si="17"/>
        <v>673</v>
      </c>
      <c r="F335" s="354">
        <f t="shared" si="17"/>
        <v>83</v>
      </c>
      <c r="G335" s="354">
        <f t="shared" si="17"/>
        <v>1322</v>
      </c>
      <c r="H335" s="354">
        <f t="shared" si="17"/>
        <v>0</v>
      </c>
      <c r="I335" s="354">
        <f t="shared" si="17"/>
        <v>2014.8</v>
      </c>
      <c r="J335" s="354">
        <f t="shared" si="17"/>
        <v>0</v>
      </c>
      <c r="K335" s="354">
        <f t="shared" si="17"/>
        <v>1669.73</v>
      </c>
      <c r="L335" s="354">
        <f t="shared" si="17"/>
        <v>13.5</v>
      </c>
      <c r="M335" s="354">
        <f t="shared" si="17"/>
        <v>514.30000000000007</v>
      </c>
      <c r="N335" s="354">
        <f t="shared" si="17"/>
        <v>93.3</v>
      </c>
      <c r="O335" s="731"/>
      <c r="P335" s="331"/>
      <c r="Q335" s="325"/>
      <c r="R335" s="353" t="s">
        <v>16</v>
      </c>
      <c r="S335" s="352">
        <f>SUM(S304:S334)</f>
        <v>0</v>
      </c>
      <c r="T335" s="352">
        <f>SUM(T304:T334)</f>
        <v>0</v>
      </c>
      <c r="U335" s="352">
        <f>SUM(U304:U334)</f>
        <v>0</v>
      </c>
      <c r="V335" s="352">
        <f>SUM(V304:V334)</f>
        <v>0</v>
      </c>
      <c r="W335" s="352">
        <f>SUM(W304:W334)</f>
        <v>0</v>
      </c>
      <c r="X335" s="482"/>
      <c r="Y335" s="493"/>
      <c r="Z335" s="325"/>
      <c r="AA335" s="353" t="s">
        <v>16</v>
      </c>
      <c r="AB335" s="352">
        <f>SUM(AB304:AB334)</f>
        <v>0</v>
      </c>
      <c r="AC335" s="352">
        <f>SUM(AC304:AC334)</f>
        <v>0</v>
      </c>
      <c r="AD335" s="352">
        <f>SUM(AD304:AD334)</f>
        <v>1200</v>
      </c>
      <c r="AE335" s="352">
        <f>SUM(AE304:AE334)</f>
        <v>10500</v>
      </c>
      <c r="AF335" s="352"/>
      <c r="AG335" s="352"/>
      <c r="AH335" s="352">
        <f>SUM(AH304:AH334)</f>
        <v>0</v>
      </c>
      <c r="AI335" s="482"/>
      <c r="AJ335" s="493"/>
      <c r="AK335" s="325"/>
      <c r="AL335" s="353" t="s">
        <v>16</v>
      </c>
      <c r="AM335" s="352">
        <f>SUM(AM304:AM334)</f>
        <v>0</v>
      </c>
      <c r="AN335" s="352">
        <f t="shared" ref="AN335:AS335" si="18">SUM(AN304:AN334)</f>
        <v>2000</v>
      </c>
      <c r="AO335" s="352">
        <f t="shared" si="18"/>
        <v>0</v>
      </c>
      <c r="AP335" s="352">
        <f t="shared" si="18"/>
        <v>2500</v>
      </c>
      <c r="AQ335" s="352">
        <f t="shared" si="18"/>
        <v>2000</v>
      </c>
      <c r="AR335" s="352">
        <f t="shared" si="18"/>
        <v>3000</v>
      </c>
      <c r="AS335" s="352">
        <f t="shared" si="18"/>
        <v>0</v>
      </c>
      <c r="AT335" s="352"/>
      <c r="AU335" s="352">
        <f>SUM(AU304:AU334)</f>
        <v>0</v>
      </c>
      <c r="AV335" s="352">
        <f>SUM(AV304:AV334)</f>
        <v>0</v>
      </c>
      <c r="AW335" s="356"/>
    </row>
    <row r="337" spans="1:49" ht="14.45" customHeight="1">
      <c r="A337" s="734">
        <v>46204</v>
      </c>
      <c r="B337" s="338">
        <v>1</v>
      </c>
      <c r="C337" s="338"/>
      <c r="D337" s="338">
        <v>73</v>
      </c>
      <c r="E337" s="339">
        <v>24</v>
      </c>
      <c r="F337" s="339"/>
      <c r="G337" s="339">
        <v>24</v>
      </c>
      <c r="H337" s="339"/>
      <c r="I337" s="339">
        <v>126</v>
      </c>
      <c r="J337" s="339"/>
      <c r="K337" s="341">
        <f>10</f>
        <v>10</v>
      </c>
      <c r="L337" s="339"/>
      <c r="M337" s="339">
        <v>5</v>
      </c>
      <c r="N337" s="339">
        <v>5</v>
      </c>
      <c r="O337" s="731">
        <f>+C368+D368+E368+F368+G368+H368+I368+J368+K368+L368+M368+N368</f>
        <v>3349.9999999999995</v>
      </c>
      <c r="P337" s="331"/>
      <c r="R337" s="338">
        <v>1</v>
      </c>
      <c r="S337" s="341"/>
      <c r="T337" s="341"/>
      <c r="U337" s="341"/>
      <c r="V337" s="341"/>
      <c r="W337" s="341"/>
      <c r="X337" s="479">
        <f>SUM(S368:X368)</f>
        <v>0</v>
      </c>
      <c r="AA337" s="338">
        <v>1</v>
      </c>
      <c r="AB337" s="341"/>
      <c r="AC337" s="341"/>
      <c r="AD337" s="341"/>
      <c r="AE337" s="341"/>
      <c r="AF337" s="341"/>
      <c r="AG337" s="341"/>
      <c r="AH337" s="341"/>
      <c r="AI337" s="479">
        <f>SUM(AB368:AI368)</f>
        <v>11700</v>
      </c>
      <c r="AL337" s="338">
        <v>1</v>
      </c>
      <c r="AM337" s="341"/>
      <c r="AN337" s="341"/>
      <c r="AO337" s="341"/>
      <c r="AP337" s="341"/>
      <c r="AQ337" s="341"/>
      <c r="AR337" s="341"/>
      <c r="AS337" s="341"/>
      <c r="AT337" s="341"/>
      <c r="AU337" s="341"/>
      <c r="AV337" s="341"/>
      <c r="AW337" s="342">
        <f>SUM(AM368:AW368)</f>
        <v>9500</v>
      </c>
    </row>
    <row r="338" spans="1:49" ht="14.45" customHeight="1">
      <c r="A338" s="735"/>
      <c r="B338" s="338">
        <v>2</v>
      </c>
      <c r="C338" s="338"/>
      <c r="D338" s="338"/>
      <c r="E338" s="339"/>
      <c r="F338" s="339"/>
      <c r="G338" s="339">
        <v>55</v>
      </c>
      <c r="H338" s="339"/>
      <c r="I338" s="339">
        <f>50+50+40</f>
        <v>140</v>
      </c>
      <c r="J338" s="339"/>
      <c r="K338" s="339">
        <v>76</v>
      </c>
      <c r="L338" s="339"/>
      <c r="M338" s="339">
        <f>4+5</f>
        <v>9</v>
      </c>
      <c r="N338" s="339"/>
      <c r="O338" s="731"/>
      <c r="P338" s="331"/>
      <c r="R338" s="338">
        <v>2</v>
      </c>
      <c r="S338" s="341"/>
      <c r="T338" s="341"/>
      <c r="U338" s="341"/>
      <c r="V338" s="341"/>
      <c r="W338" s="341"/>
      <c r="X338" s="480"/>
      <c r="AA338" s="338">
        <v>2</v>
      </c>
      <c r="AB338" s="341"/>
      <c r="AC338" s="341"/>
      <c r="AD338" s="341"/>
      <c r="AE338" s="341"/>
      <c r="AF338" s="341"/>
      <c r="AG338" s="341"/>
      <c r="AH338" s="341"/>
      <c r="AI338" s="480"/>
      <c r="AL338" s="338">
        <v>2</v>
      </c>
      <c r="AM338" s="341"/>
      <c r="AN338" s="341"/>
      <c r="AO338" s="341"/>
      <c r="AP338" s="341"/>
      <c r="AQ338" s="341"/>
      <c r="AR338" s="341"/>
      <c r="AS338" s="341"/>
      <c r="AT338" s="341"/>
      <c r="AU338" s="341"/>
      <c r="AV338" s="341"/>
      <c r="AW338" s="343"/>
    </row>
    <row r="339" spans="1:49" ht="14.45" customHeight="1">
      <c r="A339" s="735"/>
      <c r="B339" s="338">
        <v>3</v>
      </c>
      <c r="C339" s="338"/>
      <c r="D339" s="338"/>
      <c r="E339" s="339">
        <v>35</v>
      </c>
      <c r="F339" s="339">
        <v>5</v>
      </c>
      <c r="G339" s="339">
        <v>50</v>
      </c>
      <c r="H339" s="339"/>
      <c r="I339" s="339">
        <v>30</v>
      </c>
      <c r="J339" s="340"/>
      <c r="K339" s="340">
        <v>74</v>
      </c>
      <c r="L339" s="340"/>
      <c r="M339" s="340">
        <v>40</v>
      </c>
      <c r="N339" s="340"/>
      <c r="O339" s="731"/>
      <c r="P339" s="331"/>
      <c r="R339" s="338">
        <v>3</v>
      </c>
      <c r="S339" s="341"/>
      <c r="T339" s="341"/>
      <c r="U339" s="341"/>
      <c r="V339" s="341"/>
      <c r="W339" s="341"/>
      <c r="X339" s="480"/>
      <c r="AA339" s="338">
        <v>3</v>
      </c>
      <c r="AB339" s="341"/>
      <c r="AC339" s="341"/>
      <c r="AD339" s="341"/>
      <c r="AE339" s="341"/>
      <c r="AF339" s="341"/>
      <c r="AG339" s="341"/>
      <c r="AH339" s="341"/>
      <c r="AI339" s="480"/>
      <c r="AL339" s="338">
        <v>3</v>
      </c>
      <c r="AM339" s="341"/>
      <c r="AN339" s="341"/>
      <c r="AO339" s="341"/>
      <c r="AP339" s="341"/>
      <c r="AQ339" s="341"/>
      <c r="AR339" s="341"/>
      <c r="AS339" s="341"/>
      <c r="AT339" s="341"/>
      <c r="AU339" s="341"/>
      <c r="AV339" s="341"/>
      <c r="AW339" s="343"/>
    </row>
    <row r="340" spans="1:49" ht="14.45" customHeight="1">
      <c r="A340" s="735"/>
      <c r="B340" s="338">
        <v>4</v>
      </c>
      <c r="C340" s="338"/>
      <c r="D340" s="338">
        <v>2</v>
      </c>
      <c r="E340" s="339">
        <v>176</v>
      </c>
      <c r="F340" s="339"/>
      <c r="G340" s="339">
        <f>5+20+2+9+6+20+25</f>
        <v>87</v>
      </c>
      <c r="H340" s="339"/>
      <c r="I340" s="339">
        <f>25+1.2</f>
        <v>26.2</v>
      </c>
      <c r="J340" s="340"/>
      <c r="K340" s="340">
        <f>24+10+8</f>
        <v>42</v>
      </c>
      <c r="L340" s="340">
        <v>6.1</v>
      </c>
      <c r="M340" s="340"/>
      <c r="N340" s="340"/>
      <c r="O340" s="731"/>
      <c r="P340" s="331"/>
      <c r="R340" s="338">
        <v>4</v>
      </c>
      <c r="S340" s="341"/>
      <c r="T340" s="341"/>
      <c r="U340" s="341"/>
      <c r="V340" s="341"/>
      <c r="W340" s="341"/>
      <c r="X340" s="480"/>
      <c r="AA340" s="338">
        <v>4</v>
      </c>
      <c r="AB340" s="341"/>
      <c r="AC340" s="341"/>
      <c r="AD340" s="341"/>
      <c r="AE340" s="341"/>
      <c r="AF340" s="341"/>
      <c r="AG340" s="341"/>
      <c r="AH340" s="341"/>
      <c r="AI340" s="480"/>
      <c r="AL340" s="338">
        <v>4</v>
      </c>
      <c r="AM340" s="341"/>
      <c r="AN340" s="341"/>
      <c r="AO340" s="341"/>
      <c r="AP340" s="341"/>
      <c r="AQ340" s="341"/>
      <c r="AR340" s="341"/>
      <c r="AS340" s="341"/>
      <c r="AT340" s="341"/>
      <c r="AU340" s="341"/>
      <c r="AV340" s="341"/>
      <c r="AW340" s="343"/>
    </row>
    <row r="341" spans="1:49" ht="14.45" customHeight="1">
      <c r="A341" s="735"/>
      <c r="B341" s="338">
        <v>5</v>
      </c>
      <c r="C341" s="338"/>
      <c r="D341" s="338"/>
      <c r="E341" s="339"/>
      <c r="F341" s="339"/>
      <c r="G341" s="339"/>
      <c r="H341" s="339"/>
      <c r="I341" s="339"/>
      <c r="J341" s="340"/>
      <c r="K341" s="340"/>
      <c r="L341" s="340"/>
      <c r="M341" s="340"/>
      <c r="N341" s="340"/>
      <c r="O341" s="731"/>
      <c r="P341" s="331"/>
      <c r="R341" s="338">
        <v>5</v>
      </c>
      <c r="S341" s="341"/>
      <c r="T341" s="341"/>
      <c r="U341" s="341"/>
      <c r="V341" s="341"/>
      <c r="W341" s="341"/>
      <c r="X341" s="480"/>
      <c r="AA341" s="338">
        <v>5</v>
      </c>
      <c r="AB341" s="341"/>
      <c r="AC341" s="341"/>
      <c r="AD341" s="341"/>
      <c r="AE341" s="341"/>
      <c r="AF341" s="341"/>
      <c r="AG341" s="341"/>
      <c r="AH341" s="341"/>
      <c r="AI341" s="480"/>
      <c r="AL341" s="338">
        <v>5</v>
      </c>
      <c r="AM341" s="341"/>
      <c r="AN341" s="341"/>
      <c r="AO341" s="341"/>
      <c r="AP341" s="341"/>
      <c r="AQ341" s="341"/>
      <c r="AR341" s="341"/>
      <c r="AS341" s="341"/>
      <c r="AT341" s="341"/>
      <c r="AU341" s="341"/>
      <c r="AV341" s="341"/>
      <c r="AW341" s="343"/>
    </row>
    <row r="342" spans="1:49" ht="14.45" customHeight="1">
      <c r="A342" s="735"/>
      <c r="B342" s="338">
        <v>6</v>
      </c>
      <c r="C342" s="338">
        <f>70+130</f>
        <v>200</v>
      </c>
      <c r="D342" s="338"/>
      <c r="E342" s="339">
        <f>20+19+15</f>
        <v>54</v>
      </c>
      <c r="F342" s="325">
        <v>15.5</v>
      </c>
      <c r="G342" s="339">
        <v>3.6</v>
      </c>
      <c r="H342" s="339"/>
      <c r="I342" s="339">
        <f>20+18+3.6+10+42</f>
        <v>93.6</v>
      </c>
      <c r="J342" s="340"/>
      <c r="K342" s="340">
        <v>24</v>
      </c>
      <c r="L342" s="340"/>
      <c r="M342" s="340"/>
      <c r="N342" s="340"/>
      <c r="O342" s="731"/>
      <c r="P342" s="331"/>
      <c r="R342" s="338">
        <v>6</v>
      </c>
      <c r="S342" s="341"/>
      <c r="T342" s="341"/>
      <c r="U342" s="341"/>
      <c r="V342" s="341"/>
      <c r="W342" s="341"/>
      <c r="X342" s="480"/>
      <c r="AA342" s="338">
        <v>6</v>
      </c>
      <c r="AB342" s="341"/>
      <c r="AC342" s="341"/>
      <c r="AD342" s="341"/>
      <c r="AE342" s="341"/>
      <c r="AF342" s="341"/>
      <c r="AG342" s="341"/>
      <c r="AH342" s="341"/>
      <c r="AI342" s="480"/>
      <c r="AL342" s="338">
        <v>6</v>
      </c>
      <c r="AM342" s="341"/>
      <c r="AN342" s="341"/>
      <c r="AO342" s="341"/>
      <c r="AP342" s="341"/>
      <c r="AQ342" s="341"/>
      <c r="AR342" s="341"/>
      <c r="AS342" s="341"/>
      <c r="AT342" s="341"/>
      <c r="AU342" s="341"/>
      <c r="AV342" s="341"/>
      <c r="AW342" s="343"/>
    </row>
    <row r="343" spans="1:49" ht="14.45" customHeight="1">
      <c r="A343" s="735"/>
      <c r="B343" s="338">
        <v>7</v>
      </c>
      <c r="C343" s="338">
        <v>12</v>
      </c>
      <c r="D343" s="338">
        <v>20</v>
      </c>
      <c r="E343" s="339">
        <f>10+12+10</f>
        <v>32</v>
      </c>
      <c r="F343" s="339"/>
      <c r="G343" s="339">
        <f>2+30+2+5+2</f>
        <v>41</v>
      </c>
      <c r="H343" s="339"/>
      <c r="I343" s="358">
        <f>16</f>
        <v>16</v>
      </c>
      <c r="J343" s="340">
        <v>6</v>
      </c>
      <c r="K343" s="340">
        <f>43+5+4+50+2+50</f>
        <v>154</v>
      </c>
      <c r="L343" s="340">
        <f>14</f>
        <v>14</v>
      </c>
      <c r="N343" s="340"/>
      <c r="O343" s="731"/>
      <c r="P343" s="331"/>
      <c r="R343" s="338">
        <v>7</v>
      </c>
      <c r="S343" s="341"/>
      <c r="T343" s="341"/>
      <c r="U343" s="341"/>
      <c r="V343" s="341"/>
      <c r="W343" s="341"/>
      <c r="X343" s="480"/>
      <c r="AA343" s="338">
        <v>7</v>
      </c>
      <c r="AB343" s="341"/>
      <c r="AC343" s="341"/>
      <c r="AD343" s="341"/>
      <c r="AE343" s="341"/>
      <c r="AF343" s="341"/>
      <c r="AG343" s="341"/>
      <c r="AH343" s="341"/>
      <c r="AI343" s="480"/>
      <c r="AL343" s="338">
        <v>7</v>
      </c>
      <c r="AM343" s="341"/>
      <c r="AN343" s="341"/>
      <c r="AO343" s="341"/>
      <c r="AP343" s="341"/>
      <c r="AQ343" s="341"/>
      <c r="AR343" s="341"/>
      <c r="AS343" s="341"/>
      <c r="AT343" s="341"/>
      <c r="AU343" s="341"/>
      <c r="AV343" s="341"/>
      <c r="AW343" s="343"/>
    </row>
    <row r="344" spans="1:49" ht="14.45" customHeight="1">
      <c r="A344" s="735"/>
      <c r="B344" s="338">
        <v>8</v>
      </c>
      <c r="C344" s="338">
        <f>25+2</f>
        <v>27</v>
      </c>
      <c r="D344" s="338">
        <f>5+3+25</f>
        <v>33</v>
      </c>
      <c r="E344" s="339">
        <f>30+30+40</f>
        <v>100</v>
      </c>
      <c r="F344" s="339">
        <v>3</v>
      </c>
      <c r="G344" s="339">
        <f>21+10+2</f>
        <v>33</v>
      </c>
      <c r="H344" s="339"/>
      <c r="I344" s="339"/>
      <c r="J344" s="339">
        <f>10+18</f>
        <v>28</v>
      </c>
      <c r="K344" s="339">
        <f>15+8+3+10+4+15+7+15+6</f>
        <v>83</v>
      </c>
      <c r="L344" s="362"/>
      <c r="M344" s="340">
        <v>9</v>
      </c>
      <c r="N344" s="340"/>
      <c r="O344" s="731"/>
      <c r="P344" s="331"/>
      <c r="R344" s="338">
        <v>8</v>
      </c>
      <c r="S344" s="341"/>
      <c r="T344" s="341"/>
      <c r="U344" s="341"/>
      <c r="V344" s="341"/>
      <c r="W344" s="341"/>
      <c r="X344" s="480"/>
      <c r="AA344" s="338">
        <v>8</v>
      </c>
      <c r="AB344" s="341"/>
      <c r="AC344" s="341"/>
      <c r="AD344" s="341"/>
      <c r="AE344" s="341"/>
      <c r="AF344" s="341"/>
      <c r="AG344" s="341"/>
      <c r="AH344" s="341"/>
      <c r="AI344" s="480"/>
      <c r="AL344" s="338">
        <v>8</v>
      </c>
      <c r="AM344" s="341"/>
      <c r="AN344" s="341"/>
      <c r="AO344" s="341"/>
      <c r="AP344" s="341"/>
      <c r="AQ344" s="341"/>
      <c r="AR344" s="341"/>
      <c r="AS344" s="341"/>
      <c r="AT344" s="341"/>
      <c r="AU344" s="341"/>
      <c r="AV344" s="341"/>
      <c r="AW344" s="343"/>
    </row>
    <row r="345" spans="1:49" ht="14.45" customHeight="1">
      <c r="A345" s="735"/>
      <c r="B345" s="338">
        <v>9</v>
      </c>
      <c r="C345" s="338"/>
      <c r="D345" s="338">
        <f>70+30+25</f>
        <v>125</v>
      </c>
      <c r="E345" s="339">
        <f>10+10+30+14</f>
        <v>64</v>
      </c>
      <c r="F345" s="339"/>
      <c r="G345" s="339"/>
      <c r="H345" s="339"/>
      <c r="K345" s="362">
        <f>30+20+10+30+28+8</f>
        <v>126</v>
      </c>
      <c r="L345" s="362"/>
      <c r="M345" s="340"/>
      <c r="N345" s="340"/>
      <c r="O345" s="731"/>
      <c r="P345" s="331"/>
      <c r="R345" s="338">
        <v>9</v>
      </c>
      <c r="S345" s="341"/>
      <c r="T345" s="341"/>
      <c r="U345" s="341"/>
      <c r="V345" s="341"/>
      <c r="W345" s="341"/>
      <c r="X345" s="480"/>
      <c r="AA345" s="338">
        <v>9</v>
      </c>
      <c r="AB345" s="341"/>
      <c r="AC345" s="341"/>
      <c r="AD345" s="341"/>
      <c r="AE345" s="341"/>
      <c r="AF345" s="341"/>
      <c r="AG345" s="341"/>
      <c r="AH345" s="341"/>
      <c r="AI345" s="480"/>
      <c r="AL345" s="338">
        <v>9</v>
      </c>
      <c r="AM345" s="341"/>
      <c r="AN345" s="341"/>
      <c r="AO345" s="341"/>
      <c r="AP345" s="341"/>
      <c r="AQ345" s="341"/>
      <c r="AR345" s="341"/>
      <c r="AS345" s="341"/>
      <c r="AT345" s="341"/>
      <c r="AU345" s="341"/>
      <c r="AV345" s="341"/>
      <c r="AW345" s="343"/>
    </row>
    <row r="346" spans="1:49" ht="14.45" customHeight="1">
      <c r="A346" s="735"/>
      <c r="B346" s="338">
        <v>10</v>
      </c>
      <c r="C346" s="338"/>
      <c r="D346" s="338">
        <v>91</v>
      </c>
      <c r="E346" s="339">
        <f>18+20+1+6</f>
        <v>45</v>
      </c>
      <c r="F346" s="339"/>
      <c r="G346" s="339">
        <f>22+20+5+8+30</f>
        <v>85</v>
      </c>
      <c r="H346" s="339"/>
      <c r="I346" s="339">
        <f>50+3+56</f>
        <v>109</v>
      </c>
      <c r="J346" s="340"/>
      <c r="K346" s="340">
        <f>2</f>
        <v>2</v>
      </c>
      <c r="L346" s="340"/>
      <c r="M346" s="340"/>
      <c r="N346" s="340"/>
      <c r="O346" s="731"/>
      <c r="P346" s="331"/>
      <c r="R346" s="338">
        <v>10</v>
      </c>
      <c r="S346" s="341"/>
      <c r="T346" s="341"/>
      <c r="U346" s="341"/>
      <c r="V346" s="364"/>
      <c r="W346" s="341"/>
      <c r="X346" s="480"/>
      <c r="AA346" s="338">
        <v>10</v>
      </c>
      <c r="AB346" s="341"/>
      <c r="AC346" s="341"/>
      <c r="AD346" s="341"/>
      <c r="AE346" s="341"/>
      <c r="AF346" s="341"/>
      <c r="AG346" s="341"/>
      <c r="AH346" s="341"/>
      <c r="AI346" s="480"/>
      <c r="AL346" s="338">
        <v>10</v>
      </c>
      <c r="AM346" s="341"/>
      <c r="AN346" s="341"/>
      <c r="AO346" s="341"/>
      <c r="AP346" s="341"/>
      <c r="AQ346" s="341"/>
      <c r="AR346" s="341"/>
      <c r="AS346" s="341"/>
      <c r="AT346" s="341"/>
      <c r="AU346" s="341"/>
      <c r="AV346" s="341"/>
      <c r="AW346" s="343"/>
    </row>
    <row r="347" spans="1:49" ht="14.45" customHeight="1">
      <c r="A347" s="735"/>
      <c r="B347" s="338">
        <v>11</v>
      </c>
      <c r="C347" s="362">
        <v>50</v>
      </c>
      <c r="D347" s="338">
        <v>26</v>
      </c>
      <c r="E347" s="339">
        <f>15</f>
        <v>15</v>
      </c>
      <c r="F347" s="339"/>
      <c r="G347" s="339">
        <v>84</v>
      </c>
      <c r="H347" s="339"/>
      <c r="I347" s="363">
        <v>98</v>
      </c>
      <c r="J347" s="362"/>
      <c r="K347" s="362">
        <v>46</v>
      </c>
      <c r="L347" s="339"/>
      <c r="M347" s="339"/>
      <c r="N347" s="339"/>
      <c r="O347" s="731"/>
      <c r="P347" s="331"/>
      <c r="R347" s="338">
        <v>11</v>
      </c>
      <c r="S347" s="341"/>
      <c r="T347" s="341"/>
      <c r="U347" s="341"/>
      <c r="V347" s="341"/>
      <c r="W347" s="341"/>
      <c r="X347" s="480"/>
      <c r="AA347" s="338">
        <v>11</v>
      </c>
      <c r="AB347" s="341"/>
      <c r="AC347" s="341"/>
      <c r="AD347" s="341"/>
      <c r="AE347" s="341"/>
      <c r="AF347" s="341"/>
      <c r="AG347" s="341"/>
      <c r="AH347" s="341"/>
      <c r="AI347" s="480"/>
      <c r="AL347" s="338">
        <v>11</v>
      </c>
      <c r="AM347" s="341"/>
      <c r="AN347" s="341"/>
      <c r="AO347" s="341"/>
      <c r="AP347" s="341"/>
      <c r="AQ347" s="341"/>
      <c r="AR347" s="341"/>
      <c r="AS347" s="341"/>
      <c r="AT347" s="341"/>
      <c r="AU347" s="341"/>
      <c r="AV347" s="341"/>
      <c r="AW347" s="343"/>
    </row>
    <row r="348" spans="1:49" ht="15" customHeight="1">
      <c r="A348" s="735"/>
      <c r="B348" s="338">
        <v>12</v>
      </c>
      <c r="C348" s="362"/>
      <c r="D348" s="362"/>
      <c r="E348" s="362"/>
      <c r="F348" s="362"/>
      <c r="G348" s="362"/>
      <c r="H348" s="362"/>
      <c r="I348" s="363"/>
      <c r="J348" s="362"/>
      <c r="K348" s="362"/>
      <c r="L348" s="362"/>
      <c r="M348" s="362"/>
      <c r="N348" s="339"/>
      <c r="O348" s="731"/>
      <c r="P348" s="331"/>
      <c r="R348" s="338">
        <v>12</v>
      </c>
      <c r="S348" s="341"/>
      <c r="T348" s="341"/>
      <c r="U348" s="341"/>
      <c r="V348" s="341"/>
      <c r="W348" s="341"/>
      <c r="X348" s="480"/>
      <c r="AA348" s="338">
        <v>12</v>
      </c>
      <c r="AB348" s="341"/>
      <c r="AC348" s="341"/>
      <c r="AD348" s="341"/>
      <c r="AE348" s="341"/>
      <c r="AF348" s="341"/>
      <c r="AG348" s="341"/>
      <c r="AH348" s="341"/>
      <c r="AI348" s="480"/>
      <c r="AL348" s="338">
        <v>12</v>
      </c>
      <c r="AM348" s="341"/>
      <c r="AN348" s="341"/>
      <c r="AO348" s="341"/>
      <c r="AP348" s="341"/>
      <c r="AQ348" s="341"/>
      <c r="AR348" s="341"/>
      <c r="AS348" s="341"/>
      <c r="AT348" s="341"/>
      <c r="AU348" s="341"/>
      <c r="AV348" s="341"/>
      <c r="AW348" s="343"/>
    </row>
    <row r="349" spans="1:49" ht="14.45" customHeight="1">
      <c r="A349" s="735"/>
      <c r="B349" s="338">
        <v>13</v>
      </c>
      <c r="C349" s="338"/>
      <c r="D349" s="338"/>
      <c r="E349" s="339">
        <f>36+95+6</f>
        <v>137</v>
      </c>
      <c r="F349" s="339"/>
      <c r="G349" s="339">
        <f>22+9+23+21</f>
        <v>75</v>
      </c>
      <c r="H349" s="339"/>
      <c r="I349" s="339">
        <f>15+4</f>
        <v>19</v>
      </c>
      <c r="J349" s="340"/>
      <c r="K349" s="340">
        <f>25+6</f>
        <v>31</v>
      </c>
      <c r="L349" s="340"/>
      <c r="M349" s="340"/>
      <c r="N349" s="340"/>
      <c r="O349" s="731"/>
      <c r="P349" s="331"/>
      <c r="R349" s="338">
        <v>13</v>
      </c>
      <c r="S349" s="341"/>
      <c r="T349" s="341"/>
      <c r="U349" s="341"/>
      <c r="V349" s="341"/>
      <c r="W349" s="341"/>
      <c r="X349" s="480"/>
      <c r="AA349" s="338">
        <v>13</v>
      </c>
      <c r="AB349" s="341"/>
      <c r="AC349" s="341"/>
      <c r="AD349" s="341"/>
      <c r="AE349" s="341"/>
      <c r="AF349" s="341"/>
      <c r="AG349" s="341"/>
      <c r="AH349" s="341"/>
      <c r="AI349" s="480"/>
      <c r="AL349" s="338">
        <v>13</v>
      </c>
      <c r="AM349" s="341"/>
      <c r="AN349" s="341"/>
      <c r="AO349" s="341"/>
      <c r="AP349" s="341"/>
      <c r="AQ349" s="341"/>
      <c r="AR349" s="341"/>
      <c r="AS349" s="341"/>
      <c r="AT349" s="341"/>
      <c r="AU349" s="341"/>
      <c r="AV349" s="341"/>
      <c r="AW349" s="343"/>
    </row>
    <row r="350" spans="1:49" ht="14.45" customHeight="1">
      <c r="A350" s="735"/>
      <c r="B350" s="338">
        <v>14</v>
      </c>
      <c r="C350" s="338"/>
      <c r="D350" s="338"/>
      <c r="E350" s="339"/>
      <c r="F350" s="362"/>
      <c r="G350" s="362"/>
      <c r="H350" s="362"/>
      <c r="I350" s="363"/>
      <c r="J350" s="362"/>
      <c r="K350" s="362"/>
      <c r="L350" s="362"/>
      <c r="M350" s="362"/>
      <c r="N350" s="339"/>
      <c r="O350" s="731"/>
      <c r="P350" s="331"/>
      <c r="R350" s="338">
        <v>14</v>
      </c>
      <c r="S350" s="341"/>
      <c r="T350" s="341"/>
      <c r="U350" s="341"/>
      <c r="V350" s="341"/>
      <c r="W350" s="341"/>
      <c r="X350" s="480"/>
      <c r="AA350" s="338">
        <v>14</v>
      </c>
      <c r="AB350" s="341"/>
      <c r="AC350" s="341"/>
      <c r="AD350" s="341"/>
      <c r="AE350" s="341"/>
      <c r="AF350" s="341"/>
      <c r="AG350" s="341"/>
      <c r="AH350" s="341"/>
      <c r="AI350" s="480"/>
      <c r="AL350" s="338">
        <v>14</v>
      </c>
      <c r="AM350" s="341"/>
      <c r="AN350" s="341"/>
      <c r="AO350" s="341"/>
      <c r="AP350" s="341"/>
      <c r="AQ350" s="341"/>
      <c r="AR350" s="341"/>
      <c r="AS350" s="341"/>
      <c r="AT350" s="341"/>
      <c r="AU350" s="341"/>
      <c r="AV350" s="341"/>
      <c r="AW350" s="343"/>
    </row>
    <row r="351" spans="1:49" ht="14.45" customHeight="1">
      <c r="A351" s="735"/>
      <c r="B351" s="338">
        <v>15</v>
      </c>
      <c r="C351" s="338"/>
      <c r="D351" s="338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731"/>
      <c r="P351" s="331"/>
      <c r="R351" s="338">
        <v>15</v>
      </c>
      <c r="S351" s="341"/>
      <c r="T351" s="341"/>
      <c r="U351" s="341"/>
      <c r="V351" s="341"/>
      <c r="W351" s="341"/>
      <c r="X351" s="480"/>
      <c r="AA351" s="338">
        <v>15</v>
      </c>
      <c r="AB351" s="341"/>
      <c r="AC351" s="341"/>
      <c r="AD351" s="341"/>
      <c r="AE351" s="341"/>
      <c r="AF351" s="341"/>
      <c r="AG351" s="341"/>
      <c r="AH351" s="341"/>
      <c r="AI351" s="480"/>
      <c r="AL351" s="338">
        <v>15</v>
      </c>
      <c r="AM351" s="341"/>
      <c r="AN351" s="341"/>
      <c r="AO351" s="341"/>
      <c r="AP351" s="341"/>
      <c r="AQ351" s="341"/>
      <c r="AR351" s="341"/>
      <c r="AS351" s="341"/>
      <c r="AT351" s="341"/>
      <c r="AU351" s="341"/>
      <c r="AV351" s="341"/>
      <c r="AW351" s="343"/>
    </row>
    <row r="352" spans="1:49" ht="14.45" customHeight="1">
      <c r="A352" s="735"/>
      <c r="B352" s="338">
        <v>16</v>
      </c>
      <c r="C352" s="362"/>
      <c r="D352" s="362"/>
      <c r="E352" s="362"/>
      <c r="F352" s="362"/>
      <c r="G352" s="362"/>
      <c r="H352" s="362"/>
      <c r="I352" s="363"/>
      <c r="J352" s="362"/>
      <c r="K352" s="362"/>
      <c r="L352" s="362"/>
      <c r="M352" s="362"/>
      <c r="N352" s="339"/>
      <c r="O352" s="731"/>
      <c r="P352" s="331"/>
      <c r="R352" s="338">
        <v>16</v>
      </c>
      <c r="S352" s="341"/>
      <c r="T352" s="341"/>
      <c r="U352" s="341"/>
      <c r="V352" s="341"/>
      <c r="W352" s="341"/>
      <c r="X352" s="480"/>
      <c r="AA352" s="338">
        <v>16</v>
      </c>
      <c r="AB352" s="341"/>
      <c r="AC352" s="341"/>
      <c r="AD352" s="341"/>
      <c r="AE352" s="341"/>
      <c r="AF352" s="341"/>
      <c r="AG352" s="341"/>
      <c r="AH352" s="341"/>
      <c r="AI352" s="480"/>
      <c r="AL352" s="338">
        <v>16</v>
      </c>
      <c r="AM352" s="341"/>
      <c r="AN352" s="341"/>
      <c r="AO352" s="341"/>
      <c r="AP352" s="341"/>
      <c r="AQ352" s="341"/>
      <c r="AR352" s="341"/>
      <c r="AS352" s="341"/>
      <c r="AT352" s="341"/>
      <c r="AU352" s="341"/>
      <c r="AV352" s="341"/>
      <c r="AW352" s="343"/>
    </row>
    <row r="353" spans="1:49" ht="14.45" customHeight="1">
      <c r="A353" s="735"/>
      <c r="B353" s="338">
        <v>17</v>
      </c>
      <c r="C353" s="338"/>
      <c r="D353" s="338"/>
      <c r="E353" s="339"/>
      <c r="F353" s="339"/>
      <c r="G353" s="339"/>
      <c r="H353" s="339"/>
      <c r="I353" s="339"/>
      <c r="J353" s="340"/>
      <c r="K353" s="339"/>
      <c r="L353" s="362"/>
      <c r="M353" s="340"/>
      <c r="N353" s="340"/>
      <c r="O353" s="731"/>
      <c r="P353" s="331"/>
      <c r="R353" s="338">
        <v>17</v>
      </c>
      <c r="S353" s="341"/>
      <c r="T353" s="341"/>
      <c r="U353" s="341"/>
      <c r="V353" s="341"/>
      <c r="W353" s="341"/>
      <c r="X353" s="480"/>
      <c r="AA353" s="338">
        <v>17</v>
      </c>
      <c r="AB353" s="341"/>
      <c r="AC353" s="341"/>
      <c r="AD353" s="341">
        <v>1200</v>
      </c>
      <c r="AE353" s="341">
        <v>1000</v>
      </c>
      <c r="AF353" s="341"/>
      <c r="AG353" s="341"/>
      <c r="AH353" s="341"/>
      <c r="AI353" s="480"/>
      <c r="AL353" s="338">
        <v>17</v>
      </c>
      <c r="AM353" s="341"/>
      <c r="AN353" s="341">
        <v>2000</v>
      </c>
      <c r="AO353" s="341"/>
      <c r="AP353" s="341">
        <v>2500</v>
      </c>
      <c r="AQ353" s="341">
        <v>2000</v>
      </c>
      <c r="AR353" s="341">
        <v>3000</v>
      </c>
      <c r="AS353" s="341"/>
      <c r="AT353" s="341"/>
      <c r="AU353" s="341"/>
      <c r="AV353" s="341"/>
      <c r="AW353" s="343"/>
    </row>
    <row r="354" spans="1:49" ht="14.45" customHeight="1">
      <c r="A354" s="735"/>
      <c r="B354" s="338">
        <v>18</v>
      </c>
      <c r="C354" s="338"/>
      <c r="D354" s="338"/>
      <c r="E354" s="339"/>
      <c r="F354" s="339"/>
      <c r="G354" s="339"/>
      <c r="H354" s="339"/>
      <c r="I354" s="338"/>
      <c r="J354" s="338"/>
      <c r="K354" s="338"/>
      <c r="L354" s="338"/>
      <c r="M354" s="338"/>
      <c r="N354" s="340"/>
      <c r="O354" s="731"/>
      <c r="P354" s="331"/>
      <c r="R354" s="338">
        <v>18</v>
      </c>
      <c r="S354" s="341"/>
      <c r="T354" s="341"/>
      <c r="U354" s="341"/>
      <c r="V354" s="341"/>
      <c r="W354" s="341"/>
      <c r="X354" s="480"/>
      <c r="AA354" s="338">
        <v>18</v>
      </c>
      <c r="AB354" s="341"/>
      <c r="AC354" s="341"/>
      <c r="AD354" s="341"/>
      <c r="AE354" s="341">
        <v>7000</v>
      </c>
      <c r="AF354" s="341"/>
      <c r="AG354" s="341"/>
      <c r="AH354" s="341"/>
      <c r="AI354" s="480"/>
      <c r="AL354" s="338">
        <v>18</v>
      </c>
      <c r="AM354" s="341"/>
      <c r="AN354" s="341"/>
      <c r="AO354" s="341"/>
      <c r="AP354" s="341"/>
      <c r="AQ354" s="341"/>
      <c r="AR354" s="341"/>
      <c r="AS354" s="341"/>
      <c r="AT354" s="341"/>
      <c r="AU354" s="341"/>
      <c r="AV354" s="341"/>
      <c r="AW354" s="343"/>
    </row>
    <row r="355" spans="1:49" ht="14.45" customHeight="1">
      <c r="A355" s="735"/>
      <c r="B355" s="338">
        <v>19</v>
      </c>
      <c r="C355" s="338"/>
      <c r="D355" s="338"/>
      <c r="E355" s="338"/>
      <c r="F355" s="338"/>
      <c r="G355" s="338"/>
      <c r="H355" s="338"/>
      <c r="I355" s="363"/>
      <c r="J355" s="362"/>
      <c r="K355" s="362"/>
      <c r="L355" s="362"/>
      <c r="M355" s="362"/>
      <c r="N355" s="338"/>
      <c r="O355" s="731"/>
      <c r="P355" s="331"/>
      <c r="R355" s="338">
        <v>19</v>
      </c>
      <c r="S355" s="341"/>
      <c r="T355" s="341"/>
      <c r="U355" s="341"/>
      <c r="V355" s="341"/>
      <c r="W355" s="341"/>
      <c r="X355" s="480"/>
      <c r="AA355" s="338">
        <v>19</v>
      </c>
      <c r="AB355" s="341"/>
      <c r="AC355" s="341"/>
      <c r="AD355" s="341"/>
      <c r="AE355" s="341">
        <v>2500</v>
      </c>
      <c r="AF355" s="341"/>
      <c r="AG355" s="341"/>
      <c r="AH355" s="341"/>
      <c r="AI355" s="480"/>
      <c r="AL355" s="338">
        <v>19</v>
      </c>
      <c r="AM355" s="341"/>
      <c r="AN355" s="341"/>
      <c r="AO355" s="341"/>
      <c r="AP355" s="341"/>
      <c r="AQ355" s="341"/>
      <c r="AR355" s="341"/>
      <c r="AS355" s="341"/>
      <c r="AT355" s="341"/>
      <c r="AU355" s="341"/>
      <c r="AV355" s="341"/>
      <c r="AW355" s="343"/>
    </row>
    <row r="356" spans="1:49" ht="14.45" customHeight="1">
      <c r="A356" s="735"/>
      <c r="B356" s="338">
        <v>20</v>
      </c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731"/>
      <c r="P356" s="331"/>
      <c r="R356" s="338">
        <v>20</v>
      </c>
      <c r="S356" s="341"/>
      <c r="T356" s="341"/>
      <c r="U356" s="341"/>
      <c r="V356" s="341"/>
      <c r="W356" s="341"/>
      <c r="X356" s="480"/>
      <c r="AA356" s="338">
        <v>20</v>
      </c>
      <c r="AB356" s="341"/>
      <c r="AC356" s="341"/>
      <c r="AD356" s="341"/>
      <c r="AE356" s="341"/>
      <c r="AF356" s="341"/>
      <c r="AG356" s="341"/>
      <c r="AH356" s="341"/>
      <c r="AI356" s="480"/>
      <c r="AL356" s="338">
        <v>20</v>
      </c>
      <c r="AM356" s="341"/>
      <c r="AN356" s="341"/>
      <c r="AO356" s="341"/>
      <c r="AP356" s="341"/>
      <c r="AQ356" s="341"/>
      <c r="AR356" s="341"/>
      <c r="AS356" s="341"/>
      <c r="AT356" s="341"/>
      <c r="AU356" s="341"/>
      <c r="AV356" s="341"/>
      <c r="AW356" s="343"/>
    </row>
    <row r="357" spans="1:49" ht="14.45" customHeight="1">
      <c r="A357" s="735"/>
      <c r="B357" s="338">
        <v>21</v>
      </c>
      <c r="C357" s="362"/>
      <c r="D357" s="362"/>
      <c r="E357" s="362"/>
      <c r="F357" s="362"/>
      <c r="G357" s="362"/>
      <c r="H357" s="362"/>
      <c r="I357" s="363"/>
      <c r="J357" s="362"/>
      <c r="K357" s="362"/>
      <c r="L357" s="362"/>
      <c r="M357" s="362"/>
      <c r="N357" s="338"/>
      <c r="O357" s="731"/>
      <c r="P357" s="331"/>
      <c r="R357" s="338">
        <v>21</v>
      </c>
      <c r="S357" s="341"/>
      <c r="T357" s="341"/>
      <c r="U357" s="341"/>
      <c r="V357" s="341"/>
      <c r="W357" s="341"/>
      <c r="X357" s="480"/>
      <c r="AA357" s="338">
        <v>21</v>
      </c>
      <c r="AB357" s="341"/>
      <c r="AC357" s="341"/>
      <c r="AD357" s="341"/>
      <c r="AE357" s="341"/>
      <c r="AF357" s="341"/>
      <c r="AG357" s="341"/>
      <c r="AH357" s="341"/>
      <c r="AI357" s="480"/>
      <c r="AL357" s="338">
        <v>21</v>
      </c>
      <c r="AM357" s="341"/>
      <c r="AN357" s="341"/>
      <c r="AO357" s="341"/>
      <c r="AP357" s="341"/>
      <c r="AQ357" s="341"/>
      <c r="AR357" s="341"/>
      <c r="AS357" s="341"/>
      <c r="AT357" s="341"/>
      <c r="AU357" s="341"/>
      <c r="AV357" s="341"/>
      <c r="AW357" s="343"/>
    </row>
    <row r="358" spans="1:49" ht="14.45" customHeight="1">
      <c r="A358" s="735"/>
      <c r="B358" s="338">
        <v>22</v>
      </c>
      <c r="D358" s="349"/>
      <c r="E358" s="349"/>
      <c r="F358" s="349"/>
      <c r="G358" s="349"/>
      <c r="H358" s="349"/>
      <c r="I358" s="349"/>
      <c r="J358" s="349"/>
      <c r="K358" s="349"/>
      <c r="L358" s="349"/>
      <c r="M358" s="510"/>
      <c r="N358" s="338"/>
      <c r="O358" s="731"/>
      <c r="P358" s="331"/>
      <c r="R358" s="338">
        <v>22</v>
      </c>
      <c r="S358" s="341"/>
      <c r="T358" s="341"/>
      <c r="U358" s="341"/>
      <c r="V358" s="341"/>
      <c r="W358" s="341"/>
      <c r="X358" s="480"/>
      <c r="AA358" s="338">
        <v>22</v>
      </c>
      <c r="AB358" s="341"/>
      <c r="AC358" s="341"/>
      <c r="AD358" s="341"/>
      <c r="AE358" s="341"/>
      <c r="AF358" s="341"/>
      <c r="AG358" s="341"/>
      <c r="AH358" s="341"/>
      <c r="AI358" s="480"/>
      <c r="AL358" s="338">
        <v>22</v>
      </c>
      <c r="AM358" s="341"/>
      <c r="AN358" s="341"/>
      <c r="AO358" s="341"/>
      <c r="AP358" s="341"/>
      <c r="AQ358" s="341"/>
      <c r="AR358" s="341"/>
      <c r="AS358" s="341"/>
      <c r="AT358" s="341"/>
      <c r="AU358" s="341"/>
      <c r="AV358" s="341"/>
      <c r="AW358" s="343"/>
    </row>
    <row r="359" spans="1:49" ht="14.45" customHeight="1">
      <c r="A359" s="735"/>
      <c r="B359" s="338">
        <v>23</v>
      </c>
      <c r="C359" s="338"/>
      <c r="D359" s="338"/>
      <c r="E359" s="339"/>
      <c r="F359" s="339"/>
      <c r="G359" s="339"/>
      <c r="H359" s="339"/>
      <c r="I359" s="339"/>
      <c r="J359" s="340"/>
      <c r="K359" s="340"/>
      <c r="L359" s="340"/>
      <c r="M359" s="340"/>
      <c r="N359" s="340"/>
      <c r="O359" s="731"/>
      <c r="P359" s="331"/>
      <c r="R359" s="338">
        <v>23</v>
      </c>
      <c r="S359" s="341"/>
      <c r="T359" s="341"/>
      <c r="U359" s="341"/>
      <c r="V359" s="341"/>
      <c r="W359" s="341"/>
      <c r="X359" s="480"/>
      <c r="AA359" s="338">
        <v>23</v>
      </c>
      <c r="AB359" s="341"/>
      <c r="AC359" s="341"/>
      <c r="AD359" s="341"/>
      <c r="AE359" s="341"/>
      <c r="AF359" s="341"/>
      <c r="AG359" s="341"/>
      <c r="AH359" s="341"/>
      <c r="AI359" s="480"/>
      <c r="AL359" s="338">
        <v>23</v>
      </c>
      <c r="AM359" s="341"/>
      <c r="AN359" s="341"/>
      <c r="AO359" s="341"/>
      <c r="AP359" s="341"/>
      <c r="AQ359" s="341"/>
      <c r="AR359" s="341"/>
      <c r="AS359" s="341"/>
      <c r="AT359" s="341"/>
      <c r="AU359" s="341"/>
      <c r="AV359" s="341"/>
      <c r="AW359" s="343"/>
    </row>
    <row r="360" spans="1:49" ht="14.45" customHeight="1">
      <c r="A360" s="735"/>
      <c r="B360" s="338">
        <v>24</v>
      </c>
      <c r="D360" s="338"/>
      <c r="E360" s="339"/>
      <c r="F360" s="339"/>
      <c r="G360" s="366"/>
      <c r="H360" s="339"/>
      <c r="I360" s="339"/>
      <c r="J360" s="340"/>
      <c r="K360" s="340"/>
      <c r="L360" s="340"/>
      <c r="M360" s="340"/>
      <c r="N360" s="340"/>
      <c r="O360" s="731"/>
      <c r="P360" s="331"/>
      <c r="R360" s="338">
        <v>24</v>
      </c>
      <c r="S360" s="341"/>
      <c r="T360" s="341"/>
      <c r="U360" s="341"/>
      <c r="V360" s="341"/>
      <c r="W360" s="341"/>
      <c r="X360" s="480"/>
      <c r="AA360" s="338">
        <v>24</v>
      </c>
      <c r="AB360" s="341"/>
      <c r="AC360" s="341"/>
      <c r="AD360" s="341"/>
      <c r="AE360" s="341"/>
      <c r="AF360" s="341"/>
      <c r="AG360" s="341"/>
      <c r="AH360" s="341"/>
      <c r="AI360" s="480"/>
      <c r="AL360" s="338">
        <v>24</v>
      </c>
      <c r="AM360" s="341"/>
      <c r="AN360" s="341"/>
      <c r="AO360" s="341"/>
      <c r="AP360" s="341"/>
      <c r="AQ360" s="341"/>
      <c r="AR360" s="341"/>
      <c r="AS360" s="341"/>
      <c r="AT360" s="341"/>
      <c r="AU360" s="341"/>
      <c r="AV360" s="341"/>
      <c r="AW360" s="343"/>
    </row>
    <row r="361" spans="1:49" ht="14.45" customHeight="1">
      <c r="A361" s="735"/>
      <c r="B361" s="338">
        <v>25</v>
      </c>
      <c r="C361" s="338"/>
      <c r="D361" s="338"/>
      <c r="E361" s="339"/>
      <c r="F361" s="362"/>
      <c r="H361" s="339"/>
      <c r="I361" s="339"/>
      <c r="J361" s="339"/>
      <c r="L361" s="339"/>
      <c r="M361" s="339"/>
      <c r="N361" s="340"/>
      <c r="O361" s="731"/>
      <c r="P361" s="331"/>
      <c r="R361" s="338">
        <v>25</v>
      </c>
      <c r="S361" s="341"/>
      <c r="T361" s="341"/>
      <c r="U361" s="341"/>
      <c r="V361" s="341"/>
      <c r="W361" s="341"/>
      <c r="X361" s="480"/>
      <c r="AA361" s="338">
        <v>25</v>
      </c>
      <c r="AB361" s="341"/>
      <c r="AC361" s="341"/>
      <c r="AD361" s="341"/>
      <c r="AE361" s="341"/>
      <c r="AF361" s="341"/>
      <c r="AG361" s="341"/>
      <c r="AH361" s="341"/>
      <c r="AI361" s="480"/>
      <c r="AL361" s="338">
        <v>25</v>
      </c>
      <c r="AM361" s="341"/>
      <c r="AN361" s="341"/>
      <c r="AO361" s="341"/>
      <c r="AP361" s="341"/>
      <c r="AQ361" s="341"/>
      <c r="AR361" s="341"/>
      <c r="AS361" s="341"/>
      <c r="AT361" s="341"/>
      <c r="AU361" s="341"/>
      <c r="AV361" s="341"/>
      <c r="AW361" s="343"/>
    </row>
    <row r="362" spans="1:49" ht="14.45" customHeight="1">
      <c r="A362" s="735"/>
      <c r="B362" s="338">
        <v>26</v>
      </c>
      <c r="C362" s="338"/>
      <c r="D362" s="362"/>
      <c r="E362" s="362"/>
      <c r="F362" s="362"/>
      <c r="G362" s="362"/>
      <c r="H362" s="362"/>
      <c r="I362" s="363"/>
      <c r="J362" s="362"/>
      <c r="K362" s="362"/>
      <c r="L362" s="362"/>
      <c r="M362" s="362"/>
      <c r="N362" s="339"/>
      <c r="O362" s="731"/>
      <c r="P362" s="331"/>
      <c r="R362" s="338">
        <v>26</v>
      </c>
      <c r="S362" s="341"/>
      <c r="T362" s="341"/>
      <c r="U362" s="341"/>
      <c r="V362" s="341"/>
      <c r="W362" s="341"/>
      <c r="X362" s="480"/>
      <c r="AA362" s="338">
        <v>26</v>
      </c>
      <c r="AB362" s="341"/>
      <c r="AC362" s="341"/>
      <c r="AD362" s="341"/>
      <c r="AE362" s="341"/>
      <c r="AF362" s="341"/>
      <c r="AG362" s="341"/>
      <c r="AH362" s="341"/>
      <c r="AI362" s="480"/>
      <c r="AL362" s="338">
        <v>26</v>
      </c>
      <c r="AM362" s="341"/>
      <c r="AN362" s="341"/>
      <c r="AO362" s="341"/>
      <c r="AP362" s="341"/>
      <c r="AQ362" s="341"/>
      <c r="AR362" s="341"/>
      <c r="AS362" s="341"/>
      <c r="AT362" s="341"/>
      <c r="AU362" s="341"/>
      <c r="AV362" s="341"/>
      <c r="AW362" s="343"/>
    </row>
    <row r="363" spans="1:49" ht="14.45" customHeight="1">
      <c r="A363" s="735"/>
      <c r="B363" s="338">
        <v>27</v>
      </c>
      <c r="C363" s="362"/>
      <c r="D363" s="362"/>
      <c r="E363" s="362"/>
      <c r="F363" s="347"/>
      <c r="G363" s="339"/>
      <c r="H363" s="362"/>
      <c r="I363" s="363"/>
      <c r="J363" s="362"/>
      <c r="K363" s="362"/>
      <c r="L363" s="362"/>
      <c r="M363" s="362"/>
      <c r="N363" s="339"/>
      <c r="O363" s="731"/>
      <c r="P363" s="331"/>
      <c r="R363" s="338">
        <v>27</v>
      </c>
      <c r="S363" s="341"/>
      <c r="T363" s="341"/>
      <c r="U363" s="341"/>
      <c r="V363" s="341"/>
      <c r="W363" s="341"/>
      <c r="X363" s="480"/>
      <c r="AA363" s="338">
        <v>27</v>
      </c>
      <c r="AB363" s="341"/>
      <c r="AC363" s="341"/>
      <c r="AD363" s="341"/>
      <c r="AE363" s="341"/>
      <c r="AF363" s="341"/>
      <c r="AG363" s="341"/>
      <c r="AH363" s="341"/>
      <c r="AI363" s="480"/>
      <c r="AL363" s="338">
        <v>27</v>
      </c>
      <c r="AM363" s="341"/>
      <c r="AN363" s="341"/>
      <c r="AO363" s="341"/>
      <c r="AP363" s="341"/>
      <c r="AQ363" s="341"/>
      <c r="AR363" s="341"/>
      <c r="AS363" s="341"/>
      <c r="AT363" s="341"/>
      <c r="AU363" s="341"/>
      <c r="AV363" s="341"/>
      <c r="AW363" s="343"/>
    </row>
    <row r="364" spans="1:49" ht="14.45" customHeight="1">
      <c r="A364" s="735"/>
      <c r="B364" s="338">
        <v>28</v>
      </c>
      <c r="C364" s="346"/>
      <c r="D364" s="346"/>
      <c r="E364" s="362"/>
      <c r="F364" s="339"/>
      <c r="G364" s="338"/>
      <c r="H364" s="339"/>
      <c r="I364" s="339"/>
      <c r="J364" s="340"/>
      <c r="K364" s="339"/>
      <c r="L364" s="339"/>
      <c r="M364" s="340"/>
      <c r="N364" s="340"/>
      <c r="O364" s="731"/>
      <c r="P364" s="331"/>
      <c r="R364" s="338">
        <v>28</v>
      </c>
      <c r="S364" s="341"/>
      <c r="T364" s="341"/>
      <c r="U364" s="341"/>
      <c r="V364" s="341"/>
      <c r="W364" s="341"/>
      <c r="X364" s="480"/>
      <c r="AA364" s="338">
        <v>28</v>
      </c>
      <c r="AB364" s="341"/>
      <c r="AC364" s="341"/>
      <c r="AD364" s="341"/>
      <c r="AE364" s="341"/>
      <c r="AF364" s="341"/>
      <c r="AG364" s="341"/>
      <c r="AH364" s="341"/>
      <c r="AI364" s="480"/>
      <c r="AL364" s="338">
        <v>28</v>
      </c>
      <c r="AM364" s="341"/>
      <c r="AN364" s="341"/>
      <c r="AO364" s="341"/>
      <c r="AP364" s="341"/>
      <c r="AQ364" s="341"/>
      <c r="AR364" s="341"/>
      <c r="AS364" s="341"/>
      <c r="AT364" s="341"/>
      <c r="AU364" s="341"/>
      <c r="AV364" s="341"/>
      <c r="AW364" s="343"/>
    </row>
    <row r="365" spans="1:49" ht="14.45" customHeight="1">
      <c r="A365" s="735"/>
      <c r="B365" s="338">
        <v>29</v>
      </c>
      <c r="C365" s="338"/>
      <c r="D365" s="338"/>
      <c r="E365" s="362"/>
      <c r="F365" s="350"/>
      <c r="G365" s="339"/>
      <c r="H365" s="339"/>
      <c r="I365" s="339"/>
      <c r="J365" s="340"/>
      <c r="K365" s="339"/>
      <c r="L365" s="339"/>
      <c r="M365" s="340"/>
      <c r="N365" s="340"/>
      <c r="O365" s="731"/>
      <c r="P365" s="331"/>
      <c r="R365" s="338">
        <v>29</v>
      </c>
      <c r="S365" s="341"/>
      <c r="T365" s="341"/>
      <c r="U365" s="341"/>
      <c r="V365" s="341"/>
      <c r="W365" s="341"/>
      <c r="X365" s="480"/>
      <c r="AA365" s="338">
        <v>29</v>
      </c>
      <c r="AB365" s="341"/>
      <c r="AC365" s="341"/>
      <c r="AD365" s="341"/>
      <c r="AE365" s="341"/>
      <c r="AF365" s="341"/>
      <c r="AG365" s="341"/>
      <c r="AH365" s="341"/>
      <c r="AI365" s="480"/>
      <c r="AL365" s="338">
        <v>29</v>
      </c>
      <c r="AM365" s="341"/>
      <c r="AN365" s="341"/>
      <c r="AO365" s="341"/>
      <c r="AP365" s="341"/>
      <c r="AQ365" s="341"/>
      <c r="AR365" s="341"/>
      <c r="AS365" s="341"/>
      <c r="AT365" s="341"/>
      <c r="AU365" s="341"/>
      <c r="AV365" s="341"/>
      <c r="AW365" s="343"/>
    </row>
    <row r="366" spans="1:49" ht="14.45" customHeight="1">
      <c r="A366" s="735"/>
      <c r="B366" s="338">
        <v>30</v>
      </c>
      <c r="C366" s="349"/>
      <c r="D366" s="349"/>
      <c r="E366" s="362"/>
      <c r="F366" s="362"/>
      <c r="G366" s="338"/>
      <c r="H366" s="338"/>
      <c r="I366" s="339"/>
      <c r="J366" s="339"/>
      <c r="K366" s="338"/>
      <c r="L366" s="338"/>
      <c r="N366" s="350"/>
      <c r="O366" s="731"/>
      <c r="P366" s="331"/>
      <c r="R366" s="338">
        <v>30</v>
      </c>
      <c r="S366" s="341"/>
      <c r="T366" s="341"/>
      <c r="U366" s="341"/>
      <c r="V366" s="341"/>
      <c r="W366" s="341"/>
      <c r="X366" s="480"/>
      <c r="AA366" s="338">
        <v>30</v>
      </c>
      <c r="AB366" s="341"/>
      <c r="AC366" s="341"/>
      <c r="AD366" s="341"/>
      <c r="AE366" s="341"/>
      <c r="AF366" s="341"/>
      <c r="AG366" s="341"/>
      <c r="AH366" s="341"/>
      <c r="AI366" s="480"/>
      <c r="AL366" s="338">
        <v>30</v>
      </c>
      <c r="AM366" s="341"/>
      <c r="AN366" s="341"/>
      <c r="AO366" s="341"/>
      <c r="AP366" s="341"/>
      <c r="AQ366" s="341"/>
      <c r="AR366" s="341"/>
      <c r="AS366" s="341"/>
      <c r="AT366" s="341"/>
      <c r="AU366" s="341"/>
      <c r="AV366" s="341"/>
      <c r="AW366" s="343"/>
    </row>
    <row r="367" spans="1:49" ht="14.45" customHeight="1">
      <c r="A367" s="735"/>
      <c r="B367" s="338">
        <v>31</v>
      </c>
      <c r="C367" s="362"/>
      <c r="D367" s="362"/>
      <c r="E367" s="362"/>
      <c r="F367" s="339"/>
      <c r="G367" s="339"/>
      <c r="H367" s="339"/>
      <c r="I367" s="339"/>
      <c r="J367" s="339"/>
      <c r="K367" s="338"/>
      <c r="L367" s="338"/>
      <c r="M367" s="362"/>
      <c r="N367" s="339"/>
      <c r="O367" s="731"/>
      <c r="P367" s="331"/>
      <c r="R367" s="338">
        <v>31</v>
      </c>
      <c r="S367" s="352"/>
      <c r="T367" s="352"/>
      <c r="U367" s="352"/>
      <c r="V367" s="352"/>
      <c r="W367" s="352"/>
      <c r="X367" s="480"/>
      <c r="AA367" s="338">
        <v>31</v>
      </c>
      <c r="AB367" s="352"/>
      <c r="AC367" s="352"/>
      <c r="AD367" s="352"/>
      <c r="AE367" s="352"/>
      <c r="AF367" s="352"/>
      <c r="AG367" s="352"/>
      <c r="AH367" s="352"/>
      <c r="AI367" s="480"/>
      <c r="AL367" s="338">
        <v>31</v>
      </c>
      <c r="AM367" s="352"/>
      <c r="AN367" s="352"/>
      <c r="AO367" s="352"/>
      <c r="AP367" s="352"/>
      <c r="AQ367" s="352"/>
      <c r="AR367" s="352"/>
      <c r="AS367" s="352"/>
      <c r="AT367" s="352"/>
      <c r="AU367" s="352"/>
      <c r="AV367" s="352"/>
      <c r="AW367" s="343"/>
    </row>
    <row r="368" spans="1:49" s="7" customFormat="1" ht="32.450000000000003" customHeight="1">
      <c r="A368" s="735"/>
      <c r="B368" s="353" t="s">
        <v>16</v>
      </c>
      <c r="C368" s="354">
        <f>+SUM(C337:C367)</f>
        <v>289</v>
      </c>
      <c r="D368" s="354">
        <f t="shared" ref="D368:N368" si="19">+SUM(D337:D367)</f>
        <v>370</v>
      </c>
      <c r="E368" s="354">
        <f t="shared" si="19"/>
        <v>682</v>
      </c>
      <c r="F368" s="354">
        <f t="shared" si="19"/>
        <v>23.5</v>
      </c>
      <c r="G368" s="354">
        <f t="shared" si="19"/>
        <v>537.6</v>
      </c>
      <c r="H368" s="354">
        <f t="shared" si="19"/>
        <v>0</v>
      </c>
      <c r="I368" s="354">
        <f t="shared" si="19"/>
        <v>657.8</v>
      </c>
      <c r="J368" s="354">
        <f t="shared" si="19"/>
        <v>34</v>
      </c>
      <c r="K368" s="354">
        <f t="shared" si="19"/>
        <v>668</v>
      </c>
      <c r="L368" s="354">
        <f t="shared" si="19"/>
        <v>20.100000000000001</v>
      </c>
      <c r="M368" s="354">
        <f t="shared" si="19"/>
        <v>63</v>
      </c>
      <c r="N368" s="354">
        <f t="shared" si="19"/>
        <v>5</v>
      </c>
      <c r="O368" s="731"/>
      <c r="P368" s="331"/>
      <c r="Q368" s="325"/>
      <c r="R368" s="353" t="s">
        <v>16</v>
      </c>
      <c r="S368" s="352">
        <f>SUM(S337:S367)</f>
        <v>0</v>
      </c>
      <c r="T368" s="352">
        <f>SUM(T337:T367)</f>
        <v>0</v>
      </c>
      <c r="U368" s="352">
        <f>SUM(U337:U367)</f>
        <v>0</v>
      </c>
      <c r="V368" s="352">
        <f>SUM(V337:V367)</f>
        <v>0</v>
      </c>
      <c r="W368" s="352">
        <f>SUM(W337:W367)</f>
        <v>0</v>
      </c>
      <c r="X368" s="482"/>
      <c r="Y368" s="493"/>
      <c r="Z368" s="325"/>
      <c r="AA368" s="353" t="s">
        <v>16</v>
      </c>
      <c r="AB368" s="352">
        <f>SUM(AB337:AB367)</f>
        <v>0</v>
      </c>
      <c r="AC368" s="352">
        <f>SUM(AC337:AC367)</f>
        <v>0</v>
      </c>
      <c r="AD368" s="352">
        <f>SUM(AD337:AD367)</f>
        <v>1200</v>
      </c>
      <c r="AE368" s="352">
        <f>SUM(AE337:AE367)</f>
        <v>10500</v>
      </c>
      <c r="AF368" s="352"/>
      <c r="AG368" s="352"/>
      <c r="AH368" s="352">
        <f>SUM(AH337:AH367)</f>
        <v>0</v>
      </c>
      <c r="AI368" s="482"/>
      <c r="AJ368" s="493"/>
      <c r="AK368" s="325"/>
      <c r="AL368" s="353" t="s">
        <v>16</v>
      </c>
      <c r="AM368" s="352">
        <f>SUM(AM337:AM367)</f>
        <v>0</v>
      </c>
      <c r="AN368" s="352">
        <f t="shared" ref="AN368:AS368" si="20">SUM(AN337:AN367)</f>
        <v>2000</v>
      </c>
      <c r="AO368" s="352">
        <f t="shared" si="20"/>
        <v>0</v>
      </c>
      <c r="AP368" s="352">
        <f t="shared" si="20"/>
        <v>2500</v>
      </c>
      <c r="AQ368" s="352">
        <f t="shared" si="20"/>
        <v>2000</v>
      </c>
      <c r="AR368" s="352">
        <f t="shared" si="20"/>
        <v>3000</v>
      </c>
      <c r="AS368" s="352">
        <f t="shared" si="20"/>
        <v>0</v>
      </c>
      <c r="AT368" s="352"/>
      <c r="AU368" s="352">
        <f>SUM(AU337:AU367)</f>
        <v>0</v>
      </c>
      <c r="AV368" s="352">
        <f>SUM(AV337:AV367)</f>
        <v>0</v>
      </c>
      <c r="AW368" s="356"/>
    </row>
  </sheetData>
  <mergeCells count="11">
    <mergeCell ref="A337:A368"/>
    <mergeCell ref="O337:O368"/>
    <mergeCell ref="A304:A335"/>
    <mergeCell ref="O304:O335"/>
    <mergeCell ref="A271:A302"/>
    <mergeCell ref="O271:O302"/>
    <mergeCell ref="O3:O34"/>
    <mergeCell ref="O204:O235"/>
    <mergeCell ref="A204:A235"/>
    <mergeCell ref="A237:A268"/>
    <mergeCell ref="O237:O268"/>
  </mergeCells>
  <pageMargins left="0.75" right="0.75" top="0.75" bottom="0.75" header="0.3" footer="0.3"/>
  <pageSetup scale="47" orientation="portrait" r:id="rId1"/>
  <rowBreaks count="2" manualBreakCount="2">
    <brk id="209" max="48" man="1"/>
    <brk id="235" max="16383" man="1"/>
  </rowBreaks>
  <colBreaks count="1" manualBreakCount="1">
    <brk id="1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33CC33"/>
  </sheetPr>
  <dimension ref="A1:T32"/>
  <sheetViews>
    <sheetView topLeftCell="B1" workbookViewId="0">
      <selection activeCell="S11" sqref="S11"/>
    </sheetView>
  </sheetViews>
  <sheetFormatPr defaultRowHeight="21"/>
  <cols>
    <col min="2" max="2" width="5" customWidth="1"/>
    <col min="3" max="4" width="4.85546875" style="288" customWidth="1"/>
    <col min="5" max="5" width="5" style="288" customWidth="1"/>
    <col min="6" max="6" width="3.7109375" style="288" customWidth="1"/>
    <col min="7" max="7" width="0" hidden="1" customWidth="1"/>
    <col min="8" max="8" width="5" customWidth="1"/>
    <col min="9" max="9" width="4.140625" style="288" customWidth="1"/>
    <col min="10" max="10" width="3.7109375" style="288" customWidth="1"/>
    <col min="11" max="11" width="4.28515625" style="288" customWidth="1"/>
    <col min="12" max="12" width="4.5703125" style="288" customWidth="1"/>
    <col min="13" max="13" width="2.7109375"/>
    <col min="14" max="14" width="2.7109375" hidden="1" customWidth="1"/>
    <col min="15" max="17" width="2.7109375"/>
    <col min="18" max="18" width="3" customWidth="1"/>
  </cols>
  <sheetData>
    <row r="1" spans="3:18" ht="23.25">
      <c r="D1" s="736" t="s">
        <v>229</v>
      </c>
      <c r="E1" s="736"/>
      <c r="J1" s="737" t="s">
        <v>33</v>
      </c>
      <c r="K1" s="738"/>
      <c r="P1" s="739"/>
      <c r="Q1" s="739"/>
    </row>
    <row r="2" spans="3:18">
      <c r="C2" s="284" t="s">
        <v>32</v>
      </c>
      <c r="D2" s="285" t="s">
        <v>0</v>
      </c>
      <c r="E2" s="285" t="s">
        <v>1</v>
      </c>
      <c r="F2" s="284" t="s">
        <v>16</v>
      </c>
      <c r="I2" s="284" t="s">
        <v>32</v>
      </c>
      <c r="J2" s="285" t="s">
        <v>0</v>
      </c>
      <c r="K2" s="285" t="s">
        <v>1</v>
      </c>
      <c r="L2" s="284" t="s">
        <v>16</v>
      </c>
      <c r="O2" s="296"/>
      <c r="P2" s="297"/>
      <c r="Q2" s="297"/>
      <c r="R2" s="296"/>
    </row>
    <row r="3" spans="3:18">
      <c r="C3" s="289" t="s">
        <v>34</v>
      </c>
      <c r="D3" s="290"/>
      <c r="E3" s="291"/>
      <c r="F3" s="291">
        <f>D3-E3</f>
        <v>0</v>
      </c>
      <c r="I3" s="289" t="s">
        <v>34</v>
      </c>
      <c r="J3" s="290"/>
      <c r="K3" s="291"/>
      <c r="L3" s="291">
        <f>J3-K3</f>
        <v>0</v>
      </c>
      <c r="P3" s="4"/>
      <c r="Q3" s="4"/>
      <c r="R3" s="4"/>
    </row>
    <row r="4" spans="3:18">
      <c r="C4" s="289" t="s">
        <v>23</v>
      </c>
      <c r="D4" s="290"/>
      <c r="E4" s="291"/>
      <c r="F4" s="291">
        <f t="shared" ref="F4:F11" si="0">D4-E4</f>
        <v>0</v>
      </c>
      <c r="H4" s="14"/>
      <c r="I4" s="289" t="s">
        <v>23</v>
      </c>
      <c r="J4" s="290"/>
      <c r="K4" s="291"/>
      <c r="L4" s="291">
        <f t="shared" ref="L4:L10" si="1">J4-K4</f>
        <v>0</v>
      </c>
      <c r="P4" s="4"/>
      <c r="Q4" s="4"/>
      <c r="R4" s="4"/>
    </row>
    <row r="5" spans="3:18">
      <c r="C5" s="289" t="s">
        <v>24</v>
      </c>
      <c r="D5" s="290"/>
      <c r="E5" s="291"/>
      <c r="F5" s="291">
        <f t="shared" si="0"/>
        <v>0</v>
      </c>
      <c r="H5" s="14"/>
      <c r="I5" s="289" t="s">
        <v>24</v>
      </c>
      <c r="J5" s="290"/>
      <c r="K5" s="291"/>
      <c r="L5" s="291">
        <f t="shared" si="1"/>
        <v>0</v>
      </c>
      <c r="P5" s="4"/>
      <c r="Q5" s="4"/>
      <c r="R5" s="4"/>
    </row>
    <row r="6" spans="3:18">
      <c r="C6" s="289" t="s">
        <v>26</v>
      </c>
      <c r="D6" s="290"/>
      <c r="E6" s="291"/>
      <c r="F6" s="291">
        <f t="shared" si="0"/>
        <v>0</v>
      </c>
      <c r="H6" s="14"/>
      <c r="I6" s="289" t="s">
        <v>26</v>
      </c>
      <c r="J6" s="290"/>
      <c r="K6" s="291"/>
      <c r="L6" s="291">
        <f t="shared" si="1"/>
        <v>0</v>
      </c>
      <c r="P6" s="4"/>
      <c r="Q6" s="4"/>
      <c r="R6" s="4"/>
    </row>
    <row r="7" spans="3:18">
      <c r="C7" s="289" t="s">
        <v>22</v>
      </c>
      <c r="D7" s="290"/>
      <c r="E7" s="291"/>
      <c r="F7" s="291">
        <f t="shared" si="0"/>
        <v>0</v>
      </c>
      <c r="H7" s="14"/>
      <c r="I7" s="289" t="s">
        <v>22</v>
      </c>
      <c r="J7" s="290"/>
      <c r="K7" s="291"/>
      <c r="L7" s="291">
        <f>J7-K7</f>
        <v>0</v>
      </c>
      <c r="P7" s="4"/>
      <c r="Q7" s="4"/>
      <c r="R7" s="4"/>
    </row>
    <row r="8" spans="3:18">
      <c r="C8" s="289" t="s">
        <v>25</v>
      </c>
      <c r="D8" s="290"/>
      <c r="E8" s="291"/>
      <c r="F8" s="291">
        <f t="shared" si="0"/>
        <v>0</v>
      </c>
      <c r="H8" s="14"/>
      <c r="I8" s="289" t="s">
        <v>25</v>
      </c>
      <c r="J8" s="290"/>
      <c r="K8" s="291"/>
      <c r="L8" s="291">
        <f>J8-K8</f>
        <v>0</v>
      </c>
      <c r="P8" s="4"/>
      <c r="Q8" s="4"/>
      <c r="R8" s="4"/>
    </row>
    <row r="9" spans="3:18">
      <c r="C9" s="289" t="s">
        <v>27</v>
      </c>
      <c r="D9" s="290"/>
      <c r="E9" s="291"/>
      <c r="F9" s="291">
        <f t="shared" si="0"/>
        <v>0</v>
      </c>
      <c r="H9" s="14"/>
      <c r="I9" s="289" t="s">
        <v>27</v>
      </c>
      <c r="J9" s="290"/>
      <c r="K9" s="291"/>
      <c r="L9" s="291">
        <f>J9-K9</f>
        <v>0</v>
      </c>
      <c r="P9" s="4"/>
      <c r="Q9" s="4"/>
      <c r="R9" s="4"/>
    </row>
    <row r="10" spans="3:18">
      <c r="C10" s="289" t="s">
        <v>28</v>
      </c>
      <c r="D10" s="290"/>
      <c r="E10" s="291"/>
      <c r="F10" s="291">
        <f t="shared" si="0"/>
        <v>0</v>
      </c>
      <c r="H10" s="14"/>
      <c r="I10" s="289" t="s">
        <v>28</v>
      </c>
      <c r="J10" s="290"/>
      <c r="K10" s="291"/>
      <c r="L10" s="291">
        <f t="shared" si="1"/>
        <v>0</v>
      </c>
      <c r="P10" s="4"/>
      <c r="Q10" s="4"/>
      <c r="R10" s="4"/>
    </row>
    <row r="11" spans="3:18">
      <c r="C11" s="289" t="s">
        <v>29</v>
      </c>
      <c r="D11" s="290"/>
      <c r="E11" s="291"/>
      <c r="F11" s="291">
        <f t="shared" si="0"/>
        <v>0</v>
      </c>
      <c r="H11" s="14"/>
      <c r="I11" s="289" t="s">
        <v>29</v>
      </c>
      <c r="J11" s="290"/>
      <c r="K11" s="291"/>
      <c r="L11" s="291">
        <f>J11-K11</f>
        <v>0</v>
      </c>
      <c r="P11" s="4"/>
      <c r="Q11" s="4"/>
      <c r="R11" s="4"/>
    </row>
    <row r="13" spans="3:18">
      <c r="C13" s="288" t="s">
        <v>18</v>
      </c>
    </row>
    <row r="14" spans="3:18" ht="15.75" customHeight="1">
      <c r="I14" s="288" t="s">
        <v>36</v>
      </c>
    </row>
    <row r="15" spans="3:18" ht="15.75" customHeight="1">
      <c r="G15" s="12"/>
    </row>
    <row r="16" spans="3:18" ht="15.75" customHeight="1"/>
    <row r="17" spans="1:20" ht="15.75" customHeight="1">
      <c r="D17" s="286"/>
      <c r="E17" s="286"/>
      <c r="F17" s="286"/>
      <c r="G17" s="11"/>
      <c r="I17" s="294"/>
    </row>
    <row r="18" spans="1:20" ht="15.75" customHeight="1">
      <c r="J18" s="288" t="s">
        <v>5</v>
      </c>
    </row>
    <row r="19" spans="1:20" ht="15.75" customHeight="1">
      <c r="N19" t="s">
        <v>6</v>
      </c>
    </row>
    <row r="20" spans="1:20" ht="15.75" customHeight="1">
      <c r="L20" s="288" t="s">
        <v>35</v>
      </c>
    </row>
    <row r="21" spans="1:20" ht="15.75" customHeight="1">
      <c r="I21" s="295"/>
    </row>
    <row r="22" spans="1:20" ht="15.75" customHeight="1">
      <c r="C22" s="292"/>
      <c r="D22" s="292"/>
      <c r="E22" s="292"/>
    </row>
    <row r="23" spans="1:20" ht="15.75" customHeight="1">
      <c r="A23" s="17"/>
      <c r="B23" s="17"/>
      <c r="C23" s="287"/>
      <c r="D23" s="287"/>
      <c r="E23" s="287"/>
      <c r="F23" s="287"/>
      <c r="G23" s="17"/>
      <c r="H23" s="17"/>
      <c r="I23" s="287"/>
      <c r="T23" t="s">
        <v>5</v>
      </c>
    </row>
    <row r="24" spans="1:20" ht="15.75" customHeight="1">
      <c r="A24" s="17"/>
      <c r="B24" s="17"/>
      <c r="C24" s="287"/>
      <c r="D24" s="287"/>
      <c r="E24" s="287"/>
      <c r="F24" s="287"/>
      <c r="G24" s="17"/>
      <c r="H24" s="17"/>
      <c r="I24" s="287"/>
    </row>
    <row r="25" spans="1:20" ht="15.75" customHeight="1">
      <c r="A25" s="17"/>
      <c r="B25" s="17"/>
      <c r="C25" s="287"/>
      <c r="D25" s="287"/>
      <c r="E25" s="287"/>
      <c r="F25" s="287"/>
      <c r="G25" s="17"/>
      <c r="H25" s="17"/>
      <c r="I25" s="287"/>
    </row>
    <row r="26" spans="1:20" ht="15.75" customHeight="1">
      <c r="A26" s="17"/>
      <c r="B26" s="17"/>
      <c r="C26" s="287"/>
      <c r="D26" s="287"/>
      <c r="E26" s="287"/>
      <c r="F26" s="287"/>
      <c r="G26" s="17"/>
      <c r="H26" s="17"/>
      <c r="I26" s="287"/>
    </row>
    <row r="27" spans="1:20" ht="15.75" customHeight="1">
      <c r="A27" s="17"/>
      <c r="B27" s="17"/>
      <c r="C27" s="287"/>
      <c r="D27" s="287"/>
      <c r="E27" s="287"/>
      <c r="F27" s="287"/>
      <c r="G27" s="17"/>
      <c r="H27" s="17"/>
      <c r="I27" s="287"/>
    </row>
    <row r="28" spans="1:20" ht="15" customHeight="1">
      <c r="A28" s="17"/>
      <c r="B28" s="17"/>
      <c r="C28" s="287"/>
      <c r="D28" s="287"/>
      <c r="E28" s="287"/>
      <c r="F28" s="287"/>
      <c r="G28" s="17"/>
      <c r="H28" s="17"/>
      <c r="I28" s="287"/>
    </row>
    <row r="29" spans="1:20" ht="15" customHeight="1">
      <c r="A29" s="17"/>
      <c r="B29" s="17"/>
      <c r="C29" s="287"/>
      <c r="D29" s="287"/>
      <c r="E29" s="287"/>
      <c r="F29" s="287"/>
      <c r="G29" s="17"/>
      <c r="H29" s="17"/>
      <c r="I29" s="287"/>
    </row>
    <row r="30" spans="1:20" ht="15" customHeight="1">
      <c r="A30" s="17"/>
      <c r="B30" s="17"/>
      <c r="C30" s="287"/>
      <c r="D30" s="287"/>
      <c r="E30" s="287"/>
      <c r="F30" s="287"/>
      <c r="G30" s="17"/>
      <c r="H30" s="17"/>
      <c r="I30" s="287"/>
    </row>
    <row r="31" spans="1:20" ht="15" customHeight="1">
      <c r="A31" s="17"/>
      <c r="B31" s="17"/>
      <c r="C31" s="287"/>
      <c r="D31" s="287"/>
      <c r="E31" s="287"/>
      <c r="F31" s="287"/>
      <c r="G31" s="17"/>
      <c r="H31" s="17"/>
      <c r="I31" s="287"/>
    </row>
    <row r="32" spans="1:20">
      <c r="E32" s="293"/>
    </row>
  </sheetData>
  <mergeCells count="3">
    <mergeCell ref="D1:E1"/>
    <mergeCell ref="J1:K1"/>
    <mergeCell ref="P1:Q1"/>
  </mergeCells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46"/>
  <sheetViews>
    <sheetView topLeftCell="A46" zoomScale="70" zoomScaleNormal="70" workbookViewId="0">
      <selection activeCell="E15" sqref="E15"/>
    </sheetView>
  </sheetViews>
  <sheetFormatPr defaultRowHeight="15"/>
  <cols>
    <col min="1" max="1" width="6.5703125" style="5" customWidth="1"/>
    <col min="2" max="2" width="19.28515625" style="5" customWidth="1"/>
    <col min="3" max="3" width="10.140625" style="10" hidden="1" customWidth="1"/>
    <col min="4" max="6" width="10.140625" style="10" customWidth="1"/>
    <col min="7" max="7" width="3.140625" customWidth="1"/>
    <col min="8" max="8" width="3.140625" bestFit="1" customWidth="1"/>
    <col min="9" max="10" width="2.7109375"/>
    <col min="11" max="11" width="3.140625" bestFit="1" customWidth="1"/>
  </cols>
  <sheetData>
    <row r="1" spans="1:6" ht="40.5" customHeight="1">
      <c r="A1" s="23" t="s">
        <v>58</v>
      </c>
      <c r="B1" s="23" t="s">
        <v>59</v>
      </c>
      <c r="C1" s="23" t="s">
        <v>0</v>
      </c>
      <c r="D1" s="23" t="s">
        <v>0</v>
      </c>
      <c r="E1" s="23" t="s">
        <v>1</v>
      </c>
      <c r="F1" s="23" t="s">
        <v>2</v>
      </c>
    </row>
    <row r="3" spans="1:6" s="159" customFormat="1" ht="45" customHeight="1">
      <c r="A3" s="165">
        <v>1</v>
      </c>
      <c r="B3" s="166" t="s">
        <v>197</v>
      </c>
      <c r="C3" s="165">
        <v>494</v>
      </c>
      <c r="D3" s="165">
        <v>494</v>
      </c>
      <c r="E3" s="165"/>
      <c r="F3" s="165">
        <f>SUM(D3-E3)</f>
        <v>494</v>
      </c>
    </row>
    <row r="4" spans="1:6" s="159" customFormat="1" ht="45" customHeight="1">
      <c r="A4" s="165">
        <v>2</v>
      </c>
      <c r="B4" s="166" t="s">
        <v>174</v>
      </c>
      <c r="C4" s="165">
        <v>515</v>
      </c>
      <c r="D4" s="165">
        <v>515</v>
      </c>
      <c r="E4" s="165"/>
      <c r="F4" s="165">
        <f t="shared" ref="F4:F67" si="0">SUM(D4-E4)</f>
        <v>515</v>
      </c>
    </row>
    <row r="5" spans="1:6" s="159" customFormat="1" ht="45" customHeight="1">
      <c r="A5" s="165">
        <v>3</v>
      </c>
      <c r="B5" s="166" t="s">
        <v>175</v>
      </c>
      <c r="C5" s="165">
        <v>138</v>
      </c>
      <c r="D5" s="165">
        <v>1500</v>
      </c>
      <c r="E5" s="165">
        <v>200</v>
      </c>
      <c r="F5" s="165">
        <f t="shared" si="0"/>
        <v>1300</v>
      </c>
    </row>
    <row r="6" spans="1:6" s="159" customFormat="1" ht="45" customHeight="1">
      <c r="A6" s="165">
        <v>3</v>
      </c>
      <c r="B6" s="166" t="s">
        <v>174</v>
      </c>
      <c r="C6" s="165">
        <v>65</v>
      </c>
      <c r="D6" s="165">
        <v>1000</v>
      </c>
      <c r="E6" s="165">
        <v>200</v>
      </c>
      <c r="F6" s="165">
        <f t="shared" si="0"/>
        <v>800</v>
      </c>
    </row>
    <row r="7" spans="1:6" s="159" customFormat="1" ht="45" customHeight="1">
      <c r="A7" s="165">
        <v>4</v>
      </c>
      <c r="B7" s="166" t="s">
        <v>202</v>
      </c>
      <c r="C7" s="165">
        <v>468</v>
      </c>
      <c r="D7" s="165">
        <v>300</v>
      </c>
      <c r="E7" s="165"/>
      <c r="F7" s="165">
        <f t="shared" si="0"/>
        <v>300</v>
      </c>
    </row>
    <row r="8" spans="1:6" s="159" customFormat="1" ht="45" customHeight="1">
      <c r="A8" s="165">
        <v>5</v>
      </c>
      <c r="B8" s="166" t="s">
        <v>67</v>
      </c>
      <c r="C8" s="165">
        <v>600</v>
      </c>
      <c r="D8" s="165">
        <v>600</v>
      </c>
      <c r="E8" s="165"/>
      <c r="F8" s="165">
        <f t="shared" si="0"/>
        <v>600</v>
      </c>
    </row>
    <row r="9" spans="1:6" s="159" customFormat="1" ht="45" customHeight="1">
      <c r="A9" s="165">
        <v>6</v>
      </c>
      <c r="B9" s="166" t="s">
        <v>68</v>
      </c>
      <c r="C9" s="165">
        <v>636</v>
      </c>
      <c r="D9" s="165">
        <v>636</v>
      </c>
      <c r="E9" s="165"/>
      <c r="F9" s="165">
        <f t="shared" si="0"/>
        <v>636</v>
      </c>
    </row>
    <row r="10" spans="1:6" s="159" customFormat="1" ht="45" customHeight="1">
      <c r="A10" s="165">
        <v>7</v>
      </c>
      <c r="B10" s="166" t="s">
        <v>65</v>
      </c>
      <c r="C10" s="165">
        <v>930</v>
      </c>
      <c r="D10" s="165">
        <v>930</v>
      </c>
      <c r="E10" s="165">
        <v>930</v>
      </c>
      <c r="F10" s="165">
        <f t="shared" si="0"/>
        <v>0</v>
      </c>
    </row>
    <row r="11" spans="1:6" s="159" customFormat="1" ht="45" customHeight="1">
      <c r="A11" s="165">
        <v>8</v>
      </c>
      <c r="B11" s="166" t="s">
        <v>66</v>
      </c>
      <c r="C11" s="165">
        <v>1270</v>
      </c>
      <c r="D11" s="165">
        <v>1270</v>
      </c>
      <c r="E11" s="165">
        <v>1270</v>
      </c>
      <c r="F11" s="165">
        <f t="shared" si="0"/>
        <v>0</v>
      </c>
    </row>
    <row r="12" spans="1:6" s="159" customFormat="1" ht="45" customHeight="1">
      <c r="A12" s="165">
        <v>9</v>
      </c>
      <c r="B12" s="166" t="s">
        <v>201</v>
      </c>
      <c r="C12" s="165">
        <v>700</v>
      </c>
      <c r="D12" s="165">
        <v>700</v>
      </c>
      <c r="E12" s="165">
        <v>100</v>
      </c>
      <c r="F12" s="165">
        <f t="shared" si="0"/>
        <v>600</v>
      </c>
    </row>
    <row r="13" spans="1:6" s="159" customFormat="1" ht="45" customHeight="1">
      <c r="A13" s="165">
        <v>10</v>
      </c>
      <c r="B13" s="166" t="s">
        <v>227</v>
      </c>
      <c r="C13" s="165">
        <v>700</v>
      </c>
      <c r="D13" s="165">
        <v>700</v>
      </c>
      <c r="E13" s="165">
        <v>400</v>
      </c>
      <c r="F13" s="165">
        <f t="shared" si="0"/>
        <v>300</v>
      </c>
    </row>
    <row r="14" spans="1:6" s="159" customFormat="1" ht="45" customHeight="1">
      <c r="A14" s="165">
        <v>11</v>
      </c>
      <c r="B14" s="166" t="s">
        <v>97</v>
      </c>
      <c r="C14" s="165"/>
      <c r="D14" s="165"/>
      <c r="E14" s="165"/>
      <c r="F14" s="165">
        <f t="shared" si="0"/>
        <v>0</v>
      </c>
    </row>
    <row r="15" spans="1:6" s="159" customFormat="1" ht="45" customHeight="1">
      <c r="A15" s="165">
        <v>12</v>
      </c>
      <c r="B15" s="166" t="s">
        <v>114</v>
      </c>
      <c r="C15" s="165"/>
      <c r="D15" s="165">
        <v>500</v>
      </c>
      <c r="E15" s="165">
        <v>500</v>
      </c>
      <c r="F15" s="165">
        <f t="shared" si="0"/>
        <v>0</v>
      </c>
    </row>
    <row r="16" spans="1:6" s="159" customFormat="1" ht="45" customHeight="1">
      <c r="A16" s="165">
        <v>13</v>
      </c>
      <c r="B16" s="166" t="s">
        <v>88</v>
      </c>
      <c r="C16" s="165"/>
      <c r="D16" s="165"/>
      <c r="E16" s="165"/>
      <c r="F16" s="165">
        <f t="shared" si="0"/>
        <v>0</v>
      </c>
    </row>
    <row r="17" spans="1:6" s="159" customFormat="1" ht="45" customHeight="1">
      <c r="A17" s="165">
        <v>13</v>
      </c>
      <c r="B17" s="166" t="s">
        <v>88</v>
      </c>
      <c r="C17" s="165"/>
      <c r="D17" s="165"/>
      <c r="E17" s="165"/>
      <c r="F17" s="165">
        <f t="shared" si="0"/>
        <v>0</v>
      </c>
    </row>
    <row r="18" spans="1:6" s="159" customFormat="1" ht="45" customHeight="1">
      <c r="A18" s="165">
        <v>14</v>
      </c>
      <c r="B18" s="166" t="s">
        <v>71</v>
      </c>
      <c r="C18" s="165">
        <v>1366</v>
      </c>
      <c r="D18" s="165">
        <v>1366</v>
      </c>
      <c r="E18" s="165"/>
      <c r="F18" s="165">
        <f t="shared" si="0"/>
        <v>1366</v>
      </c>
    </row>
    <row r="19" spans="1:6" s="159" customFormat="1" ht="45" customHeight="1">
      <c r="A19" s="165">
        <v>15</v>
      </c>
      <c r="B19" s="166" t="s">
        <v>72</v>
      </c>
      <c r="C19" s="165">
        <v>1492</v>
      </c>
      <c r="D19" s="165">
        <v>1492</v>
      </c>
      <c r="E19" s="165"/>
      <c r="F19" s="165">
        <f t="shared" si="0"/>
        <v>1492</v>
      </c>
    </row>
    <row r="20" spans="1:6" s="159" customFormat="1" ht="45" customHeight="1">
      <c r="A20" s="165">
        <v>16</v>
      </c>
      <c r="B20" s="166" t="s">
        <v>69</v>
      </c>
      <c r="C20" s="165">
        <v>634</v>
      </c>
      <c r="D20" s="165">
        <v>634</v>
      </c>
      <c r="E20" s="165"/>
      <c r="F20" s="165">
        <f t="shared" si="0"/>
        <v>634</v>
      </c>
    </row>
    <row r="21" spans="1:6" s="159" customFormat="1" ht="45" customHeight="1">
      <c r="A21" s="165">
        <v>17</v>
      </c>
      <c r="B21" s="166" t="s">
        <v>70</v>
      </c>
      <c r="C21" s="165">
        <v>590</v>
      </c>
      <c r="D21" s="165">
        <v>592</v>
      </c>
      <c r="E21" s="165"/>
      <c r="F21" s="165">
        <f t="shared" si="0"/>
        <v>592</v>
      </c>
    </row>
    <row r="22" spans="1:6" s="159" customFormat="1" ht="45" customHeight="1">
      <c r="A22" s="165">
        <v>18</v>
      </c>
      <c r="B22" s="166" t="s">
        <v>73</v>
      </c>
      <c r="C22" s="165">
        <v>282</v>
      </c>
      <c r="D22" s="165">
        <v>282</v>
      </c>
      <c r="E22" s="165">
        <v>0</v>
      </c>
      <c r="F22" s="165">
        <f t="shared" si="0"/>
        <v>282</v>
      </c>
    </row>
    <row r="23" spans="1:6" s="159" customFormat="1" ht="45" customHeight="1">
      <c r="A23" s="165">
        <v>19</v>
      </c>
      <c r="B23" s="166" t="s">
        <v>74</v>
      </c>
      <c r="C23" s="165">
        <v>235</v>
      </c>
      <c r="D23" s="165">
        <v>235</v>
      </c>
      <c r="E23" s="165">
        <v>0</v>
      </c>
      <c r="F23" s="165">
        <f t="shared" si="0"/>
        <v>235</v>
      </c>
    </row>
    <row r="24" spans="1:6" s="159" customFormat="1" ht="45" customHeight="1">
      <c r="A24" s="165">
        <v>20</v>
      </c>
      <c r="B24" s="166" t="s">
        <v>75</v>
      </c>
      <c r="C24" s="165">
        <v>1000</v>
      </c>
      <c r="D24" s="165">
        <v>1000</v>
      </c>
      <c r="E24" s="165">
        <v>120</v>
      </c>
      <c r="F24" s="165">
        <f t="shared" si="0"/>
        <v>880</v>
      </c>
    </row>
    <row r="25" spans="1:6" s="159" customFormat="1" ht="45" customHeight="1">
      <c r="A25" s="165">
        <v>21</v>
      </c>
      <c r="B25" s="166" t="s">
        <v>168</v>
      </c>
      <c r="C25" s="165">
        <v>850</v>
      </c>
      <c r="D25" s="165">
        <v>850</v>
      </c>
      <c r="E25" s="165">
        <v>120</v>
      </c>
      <c r="F25" s="165">
        <f t="shared" si="0"/>
        <v>730</v>
      </c>
    </row>
    <row r="26" spans="1:6" s="159" customFormat="1" ht="45" customHeight="1">
      <c r="A26" s="165">
        <v>22</v>
      </c>
      <c r="B26" s="166" t="s">
        <v>76</v>
      </c>
      <c r="C26" s="165">
        <v>950</v>
      </c>
      <c r="D26" s="165">
        <v>950</v>
      </c>
      <c r="E26" s="165"/>
      <c r="F26" s="165">
        <f t="shared" si="0"/>
        <v>950</v>
      </c>
    </row>
    <row r="27" spans="1:6" s="159" customFormat="1" ht="45" customHeight="1">
      <c r="A27" s="165">
        <v>23</v>
      </c>
      <c r="B27" s="166" t="s">
        <v>77</v>
      </c>
      <c r="C27" s="165">
        <v>900</v>
      </c>
      <c r="D27" s="165">
        <v>900</v>
      </c>
      <c r="E27" s="165"/>
      <c r="F27" s="165">
        <f t="shared" si="0"/>
        <v>900</v>
      </c>
    </row>
    <row r="28" spans="1:6" s="159" customFormat="1" ht="45" customHeight="1">
      <c r="A28" s="165">
        <v>24</v>
      </c>
      <c r="B28" s="166" t="s">
        <v>99</v>
      </c>
      <c r="C28" s="165">
        <v>300</v>
      </c>
      <c r="D28" s="165">
        <v>300</v>
      </c>
      <c r="E28" s="165"/>
      <c r="F28" s="165">
        <f t="shared" si="0"/>
        <v>300</v>
      </c>
    </row>
    <row r="29" spans="1:6" s="159" customFormat="1" ht="45" customHeight="1">
      <c r="A29" s="165">
        <v>24</v>
      </c>
      <c r="B29" s="166" t="s">
        <v>113</v>
      </c>
      <c r="C29" s="165">
        <v>300</v>
      </c>
      <c r="D29" s="165">
        <v>300</v>
      </c>
      <c r="E29" s="165"/>
      <c r="F29" s="165">
        <f t="shared" si="0"/>
        <v>300</v>
      </c>
    </row>
    <row r="30" spans="1:6" s="159" customFormat="1" ht="45" customHeight="1">
      <c r="A30" s="165">
        <v>25</v>
      </c>
      <c r="B30" s="166" t="s">
        <v>87</v>
      </c>
      <c r="C30" s="165">
        <v>2000</v>
      </c>
      <c r="D30" s="165">
        <v>2000</v>
      </c>
      <c r="E30" s="165"/>
      <c r="F30" s="165">
        <f t="shared" si="0"/>
        <v>2000</v>
      </c>
    </row>
    <row r="31" spans="1:6" s="159" customFormat="1" ht="45" customHeight="1">
      <c r="A31" s="165">
        <v>26</v>
      </c>
      <c r="B31" s="166" t="s">
        <v>181</v>
      </c>
      <c r="C31" s="165">
        <v>600</v>
      </c>
      <c r="D31" s="165">
        <v>600</v>
      </c>
      <c r="E31" s="165"/>
      <c r="F31" s="165">
        <f t="shared" si="0"/>
        <v>600</v>
      </c>
    </row>
    <row r="32" spans="1:6" s="159" customFormat="1" ht="45" customHeight="1">
      <c r="A32" s="165">
        <v>27</v>
      </c>
      <c r="B32" s="166" t="s">
        <v>225</v>
      </c>
      <c r="C32" s="165">
        <v>900</v>
      </c>
      <c r="D32" s="165">
        <v>900</v>
      </c>
      <c r="E32" s="165">
        <v>0</v>
      </c>
      <c r="F32" s="165">
        <f t="shared" si="0"/>
        <v>900</v>
      </c>
    </row>
    <row r="33" spans="1:6" s="159" customFormat="1" ht="45" customHeight="1">
      <c r="A33" s="165">
        <v>28</v>
      </c>
      <c r="B33" s="166" t="s">
        <v>198</v>
      </c>
      <c r="C33" s="165">
        <v>3000</v>
      </c>
      <c r="D33" s="165">
        <v>2900</v>
      </c>
      <c r="E33" s="165"/>
      <c r="F33" s="165">
        <f t="shared" si="0"/>
        <v>2900</v>
      </c>
    </row>
    <row r="34" spans="1:6" s="159" customFormat="1" ht="45" customHeight="1">
      <c r="A34" s="165">
        <v>29</v>
      </c>
      <c r="B34" s="166" t="s">
        <v>100</v>
      </c>
      <c r="C34" s="165">
        <v>3000</v>
      </c>
      <c r="D34" s="165">
        <v>2900</v>
      </c>
      <c r="E34" s="165"/>
      <c r="F34" s="165">
        <f t="shared" si="0"/>
        <v>2900</v>
      </c>
    </row>
    <row r="35" spans="1:6" s="159" customFormat="1" ht="45" customHeight="1">
      <c r="A35" s="165">
        <v>30</v>
      </c>
      <c r="B35" s="166" t="s">
        <v>185</v>
      </c>
      <c r="C35" s="165">
        <v>60</v>
      </c>
      <c r="D35" s="165">
        <v>60</v>
      </c>
      <c r="E35" s="165">
        <v>16</v>
      </c>
      <c r="F35" s="165">
        <f t="shared" si="0"/>
        <v>44</v>
      </c>
    </row>
    <row r="36" spans="1:6" s="159" customFormat="1" ht="45" customHeight="1">
      <c r="A36" s="165">
        <v>31</v>
      </c>
      <c r="B36" s="166" t="s">
        <v>98</v>
      </c>
      <c r="C36" s="165"/>
      <c r="D36" s="165"/>
      <c r="E36" s="165"/>
      <c r="F36" s="165">
        <f t="shared" si="0"/>
        <v>0</v>
      </c>
    </row>
    <row r="37" spans="1:6" s="159" customFormat="1" ht="45" customHeight="1">
      <c r="A37" s="165">
        <v>32</v>
      </c>
      <c r="B37" s="166" t="s">
        <v>101</v>
      </c>
      <c r="C37" s="165"/>
      <c r="D37" s="165">
        <v>1200</v>
      </c>
      <c r="E37" s="165"/>
      <c r="F37" s="165">
        <f t="shared" si="0"/>
        <v>1200</v>
      </c>
    </row>
    <row r="38" spans="1:6" s="159" customFormat="1" ht="45" customHeight="1">
      <c r="A38" s="165">
        <v>33</v>
      </c>
      <c r="B38" s="166" t="s">
        <v>78</v>
      </c>
      <c r="C38" s="165">
        <v>2315</v>
      </c>
      <c r="D38" s="165">
        <v>2315</v>
      </c>
      <c r="E38" s="165">
        <v>180</v>
      </c>
      <c r="F38" s="165">
        <f t="shared" si="0"/>
        <v>2135</v>
      </c>
    </row>
    <row r="39" spans="1:6" s="159" customFormat="1" ht="45" customHeight="1">
      <c r="A39" s="165">
        <v>34</v>
      </c>
      <c r="B39" s="166" t="s">
        <v>172</v>
      </c>
      <c r="C39" s="165">
        <v>1273</v>
      </c>
      <c r="D39" s="165">
        <v>1273</v>
      </c>
      <c r="E39" s="165">
        <v>0</v>
      </c>
      <c r="F39" s="165">
        <f t="shared" si="0"/>
        <v>1273</v>
      </c>
    </row>
    <row r="40" spans="1:6" s="159" customFormat="1" ht="45" customHeight="1">
      <c r="A40" s="165">
        <v>35</v>
      </c>
      <c r="B40" s="166" t="s">
        <v>199</v>
      </c>
      <c r="C40" s="165">
        <v>1513</v>
      </c>
      <c r="D40" s="165">
        <v>1513</v>
      </c>
      <c r="E40" s="165">
        <v>458</v>
      </c>
      <c r="F40" s="165">
        <f t="shared" si="0"/>
        <v>1055</v>
      </c>
    </row>
    <row r="41" spans="1:6" s="159" customFormat="1" ht="45" customHeight="1">
      <c r="A41" s="165">
        <v>36</v>
      </c>
      <c r="B41" s="166" t="s">
        <v>226</v>
      </c>
      <c r="C41" s="165">
        <v>200</v>
      </c>
      <c r="D41" s="165">
        <v>2000</v>
      </c>
      <c r="E41" s="165">
        <v>2000</v>
      </c>
      <c r="F41" s="165">
        <f t="shared" si="0"/>
        <v>0</v>
      </c>
    </row>
    <row r="42" spans="1:6" s="159" customFormat="1" ht="45" customHeight="1">
      <c r="A42" s="165">
        <v>37</v>
      </c>
      <c r="B42" s="166" t="s">
        <v>200</v>
      </c>
      <c r="C42" s="165">
        <v>200</v>
      </c>
      <c r="D42" s="165">
        <v>200</v>
      </c>
      <c r="E42" s="165"/>
      <c r="F42" s="165">
        <f t="shared" si="0"/>
        <v>200</v>
      </c>
    </row>
    <row r="43" spans="1:6" s="159" customFormat="1" ht="45" customHeight="1">
      <c r="A43" s="165">
        <v>38</v>
      </c>
      <c r="B43" s="166" t="s">
        <v>213</v>
      </c>
      <c r="C43" s="165">
        <v>400</v>
      </c>
      <c r="D43" s="165">
        <v>400</v>
      </c>
      <c r="E43" s="165"/>
      <c r="F43" s="165">
        <f t="shared" si="0"/>
        <v>400</v>
      </c>
    </row>
    <row r="44" spans="1:6" s="159" customFormat="1" ht="45" customHeight="1">
      <c r="A44" s="165">
        <v>39</v>
      </c>
      <c r="B44" s="166" t="s">
        <v>102</v>
      </c>
      <c r="C44" s="165"/>
      <c r="D44" s="165"/>
      <c r="E44" s="165"/>
      <c r="F44" s="165">
        <f t="shared" si="0"/>
        <v>0</v>
      </c>
    </row>
    <row r="45" spans="1:6" s="159" customFormat="1" ht="45" customHeight="1">
      <c r="A45" s="165">
        <v>40</v>
      </c>
      <c r="B45" s="166" t="s">
        <v>203</v>
      </c>
      <c r="C45" s="165">
        <f>194+200+205+175+100+115</f>
        <v>989</v>
      </c>
      <c r="D45" s="165">
        <v>989</v>
      </c>
      <c r="E45" s="165"/>
      <c r="F45" s="165">
        <f t="shared" si="0"/>
        <v>989</v>
      </c>
    </row>
    <row r="46" spans="1:6" s="159" customFormat="1" ht="45" customHeight="1">
      <c r="A46" s="165">
        <v>41</v>
      </c>
      <c r="B46" s="166" t="s">
        <v>79</v>
      </c>
      <c r="C46" s="165">
        <v>1500</v>
      </c>
      <c r="D46" s="165">
        <v>1500</v>
      </c>
      <c r="E46" s="165"/>
      <c r="F46" s="165">
        <f t="shared" si="0"/>
        <v>1500</v>
      </c>
    </row>
    <row r="47" spans="1:6" s="159" customFormat="1" ht="45" customHeight="1">
      <c r="A47" s="165">
        <v>41</v>
      </c>
      <c r="B47" s="166" t="s">
        <v>79</v>
      </c>
      <c r="C47" s="165">
        <v>1500</v>
      </c>
      <c r="D47" s="165">
        <v>1500</v>
      </c>
      <c r="E47" s="165"/>
      <c r="F47" s="165">
        <f t="shared" si="0"/>
        <v>1500</v>
      </c>
    </row>
    <row r="48" spans="1:6" s="159" customFormat="1" ht="45" customHeight="1">
      <c r="A48" s="165">
        <v>42</v>
      </c>
      <c r="B48" s="166" t="s">
        <v>103</v>
      </c>
      <c r="C48" s="165"/>
      <c r="D48" s="165"/>
      <c r="E48" s="165"/>
      <c r="F48" s="165">
        <f t="shared" si="0"/>
        <v>0</v>
      </c>
    </row>
    <row r="49" spans="1:6" s="159" customFormat="1" ht="45" customHeight="1">
      <c r="A49" s="165">
        <v>43</v>
      </c>
      <c r="B49" s="166" t="s">
        <v>104</v>
      </c>
      <c r="C49" s="165"/>
      <c r="D49" s="165"/>
      <c r="E49" s="165"/>
      <c r="F49" s="165">
        <f t="shared" si="0"/>
        <v>0</v>
      </c>
    </row>
    <row r="50" spans="1:6" s="159" customFormat="1" ht="45" customHeight="1">
      <c r="A50" s="165">
        <v>44</v>
      </c>
      <c r="B50" s="166" t="s">
        <v>86</v>
      </c>
      <c r="C50" s="165"/>
      <c r="D50" s="165"/>
      <c r="E50" s="165"/>
      <c r="F50" s="165">
        <f t="shared" si="0"/>
        <v>0</v>
      </c>
    </row>
    <row r="51" spans="1:6" s="159" customFormat="1" ht="45" customHeight="1">
      <c r="A51" s="165">
        <v>45</v>
      </c>
      <c r="B51" s="166" t="s">
        <v>90</v>
      </c>
      <c r="C51" s="165"/>
      <c r="D51" s="165">
        <v>1000</v>
      </c>
      <c r="E51" s="165">
        <v>400</v>
      </c>
      <c r="F51" s="165">
        <f t="shared" si="0"/>
        <v>600</v>
      </c>
    </row>
    <row r="52" spans="1:6" s="159" customFormat="1" ht="45" customHeight="1">
      <c r="A52" s="165">
        <v>45</v>
      </c>
      <c r="B52" s="166" t="s">
        <v>90</v>
      </c>
      <c r="C52" s="165"/>
      <c r="D52" s="165">
        <v>1000</v>
      </c>
      <c r="E52" s="165">
        <v>400</v>
      </c>
      <c r="F52" s="165">
        <f t="shared" si="0"/>
        <v>600</v>
      </c>
    </row>
    <row r="53" spans="1:6" s="159" customFormat="1" ht="45" customHeight="1">
      <c r="A53" s="165">
        <v>46</v>
      </c>
      <c r="B53" s="166" t="s">
        <v>204</v>
      </c>
      <c r="C53" s="165">
        <v>1160</v>
      </c>
      <c r="D53" s="165">
        <v>1160</v>
      </c>
      <c r="E53" s="165">
        <v>250</v>
      </c>
      <c r="F53" s="165">
        <f t="shared" si="0"/>
        <v>910</v>
      </c>
    </row>
    <row r="54" spans="1:6" s="159" customFormat="1" ht="45" customHeight="1">
      <c r="A54" s="165">
        <v>47</v>
      </c>
      <c r="B54" s="166" t="s">
        <v>205</v>
      </c>
      <c r="C54" s="165">
        <v>1160</v>
      </c>
      <c r="D54" s="165">
        <v>1160</v>
      </c>
      <c r="E54" s="165">
        <v>0</v>
      </c>
      <c r="F54" s="165">
        <f t="shared" si="0"/>
        <v>1160</v>
      </c>
    </row>
    <row r="55" spans="1:6" s="159" customFormat="1" ht="45" customHeight="1">
      <c r="A55" s="165">
        <v>48</v>
      </c>
      <c r="B55" s="166" t="s">
        <v>206</v>
      </c>
      <c r="C55" s="165">
        <v>468</v>
      </c>
      <c r="D55" s="165">
        <v>468</v>
      </c>
      <c r="E55" s="165">
        <v>0</v>
      </c>
      <c r="F55" s="165">
        <f t="shared" si="0"/>
        <v>468</v>
      </c>
    </row>
    <row r="56" spans="1:6" s="159" customFormat="1" ht="45" customHeight="1">
      <c r="A56" s="165">
        <v>49</v>
      </c>
      <c r="B56" s="166" t="s">
        <v>207</v>
      </c>
      <c r="C56" s="165">
        <v>468</v>
      </c>
      <c r="D56" s="165">
        <v>468</v>
      </c>
      <c r="E56" s="165">
        <v>0</v>
      </c>
      <c r="F56" s="165">
        <f t="shared" si="0"/>
        <v>468</v>
      </c>
    </row>
    <row r="57" spans="1:6" s="159" customFormat="1" ht="45" customHeight="1">
      <c r="A57" s="165">
        <v>50</v>
      </c>
      <c r="B57" s="166" t="s">
        <v>115</v>
      </c>
      <c r="C57" s="165"/>
      <c r="D57" s="165"/>
      <c r="E57" s="165"/>
      <c r="F57" s="165">
        <f t="shared" si="0"/>
        <v>0</v>
      </c>
    </row>
    <row r="58" spans="1:6" s="159" customFormat="1" ht="45" customHeight="1">
      <c r="A58" s="165">
        <v>51</v>
      </c>
      <c r="B58" s="166" t="s">
        <v>98</v>
      </c>
      <c r="C58" s="165"/>
      <c r="D58" s="165">
        <v>688</v>
      </c>
      <c r="E58" s="165"/>
      <c r="F58" s="165">
        <f t="shared" si="0"/>
        <v>688</v>
      </c>
    </row>
    <row r="59" spans="1:6" s="159" customFormat="1" ht="45" customHeight="1">
      <c r="A59" s="165">
        <v>52</v>
      </c>
      <c r="B59" s="166" t="s">
        <v>182</v>
      </c>
      <c r="C59" s="165"/>
      <c r="D59" s="165">
        <v>2000</v>
      </c>
      <c r="E59" s="165">
        <v>0</v>
      </c>
      <c r="F59" s="165">
        <f t="shared" si="0"/>
        <v>2000</v>
      </c>
    </row>
    <row r="60" spans="1:6" s="159" customFormat="1" ht="45" customHeight="1">
      <c r="A60" s="165">
        <v>53</v>
      </c>
      <c r="B60" s="166" t="s">
        <v>170</v>
      </c>
      <c r="C60" s="165">
        <v>125</v>
      </c>
      <c r="D60" s="165">
        <v>2000</v>
      </c>
      <c r="E60" s="165">
        <v>2000</v>
      </c>
      <c r="F60" s="165">
        <f t="shared" si="0"/>
        <v>0</v>
      </c>
    </row>
    <row r="61" spans="1:6" s="159" customFormat="1" ht="45" customHeight="1">
      <c r="A61" s="165">
        <v>54</v>
      </c>
      <c r="B61" s="166" t="s">
        <v>171</v>
      </c>
      <c r="C61" s="165">
        <v>920</v>
      </c>
      <c r="D61" s="165">
        <v>2000</v>
      </c>
      <c r="E61" s="165">
        <v>2000</v>
      </c>
      <c r="F61" s="165">
        <f t="shared" si="0"/>
        <v>0</v>
      </c>
    </row>
    <row r="62" spans="1:6" s="159" customFormat="1" ht="45" customHeight="1">
      <c r="A62" s="165">
        <v>55</v>
      </c>
      <c r="B62" s="166" t="s">
        <v>89</v>
      </c>
      <c r="C62" s="165"/>
      <c r="D62" s="165">
        <v>4000</v>
      </c>
      <c r="E62" s="165">
        <v>2535</v>
      </c>
      <c r="F62" s="165">
        <f t="shared" si="0"/>
        <v>1465</v>
      </c>
    </row>
    <row r="63" spans="1:6" s="159" customFormat="1" ht="45" customHeight="1">
      <c r="A63" s="165">
        <v>56</v>
      </c>
      <c r="B63" s="166" t="s">
        <v>105</v>
      </c>
      <c r="C63" s="165">
        <v>1500</v>
      </c>
      <c r="D63" s="165">
        <v>1500</v>
      </c>
      <c r="E63" s="165">
        <v>1200</v>
      </c>
      <c r="F63" s="165">
        <f t="shared" si="0"/>
        <v>300</v>
      </c>
    </row>
    <row r="64" spans="1:6" s="159" customFormat="1" ht="45" customHeight="1">
      <c r="A64" s="165">
        <v>57</v>
      </c>
      <c r="B64" s="166" t="s">
        <v>208</v>
      </c>
      <c r="C64" s="165">
        <v>300</v>
      </c>
      <c r="D64" s="165">
        <v>300</v>
      </c>
      <c r="E64" s="165">
        <v>0</v>
      </c>
      <c r="F64" s="165">
        <f t="shared" si="0"/>
        <v>300</v>
      </c>
    </row>
    <row r="65" spans="1:6" s="159" customFormat="1" ht="45" customHeight="1">
      <c r="A65" s="165">
        <v>58</v>
      </c>
      <c r="B65" s="166" t="s">
        <v>106</v>
      </c>
      <c r="C65" s="165"/>
      <c r="D65" s="165">
        <v>1000</v>
      </c>
      <c r="E65" s="165">
        <v>0</v>
      </c>
      <c r="F65" s="165">
        <f t="shared" si="0"/>
        <v>1000</v>
      </c>
    </row>
    <row r="66" spans="1:6" s="159" customFormat="1" ht="45" customHeight="1">
      <c r="A66" s="165">
        <v>59</v>
      </c>
      <c r="B66" s="166" t="s">
        <v>209</v>
      </c>
      <c r="C66" s="165"/>
      <c r="D66" s="165">
        <v>4000</v>
      </c>
      <c r="E66" s="165">
        <v>0</v>
      </c>
      <c r="F66" s="165">
        <f t="shared" si="0"/>
        <v>4000</v>
      </c>
    </row>
    <row r="67" spans="1:6" s="159" customFormat="1" ht="45" customHeight="1">
      <c r="A67" s="165">
        <v>60</v>
      </c>
      <c r="B67" s="166" t="s">
        <v>107</v>
      </c>
      <c r="C67" s="165"/>
      <c r="D67" s="165">
        <v>2000</v>
      </c>
      <c r="E67" s="165">
        <v>0</v>
      </c>
      <c r="F67" s="165">
        <f t="shared" si="0"/>
        <v>2000</v>
      </c>
    </row>
    <row r="68" spans="1:6" s="159" customFormat="1" ht="45" customHeight="1">
      <c r="A68" s="165">
        <v>61</v>
      </c>
      <c r="B68" s="166" t="s">
        <v>108</v>
      </c>
      <c r="C68" s="165"/>
      <c r="D68" s="165">
        <v>1500</v>
      </c>
      <c r="E68" s="165">
        <v>0</v>
      </c>
      <c r="F68" s="165">
        <f t="shared" ref="F68:F131" si="1">SUM(D68-E68)</f>
        <v>1500</v>
      </c>
    </row>
    <row r="69" spans="1:6" s="159" customFormat="1" ht="45" customHeight="1">
      <c r="A69" s="165">
        <v>62</v>
      </c>
      <c r="B69" s="166" t="s">
        <v>109</v>
      </c>
      <c r="C69" s="165"/>
      <c r="D69" s="165">
        <v>3000</v>
      </c>
      <c r="E69" s="165">
        <v>2900</v>
      </c>
      <c r="F69" s="165">
        <f t="shared" si="1"/>
        <v>100</v>
      </c>
    </row>
    <row r="70" spans="1:6" s="159" customFormat="1" ht="45" customHeight="1">
      <c r="A70" s="165">
        <v>63</v>
      </c>
      <c r="B70" s="166" t="s">
        <v>110</v>
      </c>
      <c r="C70" s="165"/>
      <c r="D70" s="165">
        <v>3000</v>
      </c>
      <c r="E70" s="165">
        <v>2800</v>
      </c>
      <c r="F70" s="165">
        <f t="shared" si="1"/>
        <v>200</v>
      </c>
    </row>
    <row r="71" spans="1:6" s="159" customFormat="1" ht="45" customHeight="1">
      <c r="A71" s="165">
        <v>63</v>
      </c>
      <c r="B71" s="166" t="s">
        <v>110</v>
      </c>
      <c r="C71" s="165"/>
      <c r="D71" s="165">
        <v>3000</v>
      </c>
      <c r="E71" s="165">
        <v>2500</v>
      </c>
      <c r="F71" s="165">
        <f t="shared" si="1"/>
        <v>500</v>
      </c>
    </row>
    <row r="72" spans="1:6" s="159" customFormat="1" ht="45" customHeight="1">
      <c r="A72" s="165">
        <v>64</v>
      </c>
      <c r="B72" s="166" t="s">
        <v>111</v>
      </c>
      <c r="C72" s="165"/>
      <c r="D72" s="165">
        <v>3000</v>
      </c>
      <c r="E72" s="165">
        <v>2500</v>
      </c>
      <c r="F72" s="165">
        <f t="shared" si="1"/>
        <v>500</v>
      </c>
    </row>
    <row r="73" spans="1:6" s="159" customFormat="1" ht="45" customHeight="1">
      <c r="A73" s="165">
        <v>64</v>
      </c>
      <c r="B73" s="166" t="s">
        <v>111</v>
      </c>
      <c r="C73" s="165"/>
      <c r="D73" s="165">
        <v>3000</v>
      </c>
      <c r="E73" s="165">
        <v>0</v>
      </c>
      <c r="F73" s="165">
        <f t="shared" si="1"/>
        <v>3000</v>
      </c>
    </row>
    <row r="74" spans="1:6" s="159" customFormat="1" ht="45" customHeight="1">
      <c r="A74" s="165">
        <v>65</v>
      </c>
      <c r="B74" s="166" t="s">
        <v>215</v>
      </c>
      <c r="C74" s="165">
        <v>468</v>
      </c>
      <c r="D74" s="165">
        <v>468</v>
      </c>
      <c r="E74" s="165"/>
      <c r="F74" s="165">
        <f t="shared" si="1"/>
        <v>468</v>
      </c>
    </row>
    <row r="75" spans="1:6" s="159" customFormat="1" ht="45" customHeight="1">
      <c r="A75" s="165">
        <v>66</v>
      </c>
      <c r="B75" s="166" t="s">
        <v>85</v>
      </c>
      <c r="C75" s="165">
        <v>700</v>
      </c>
      <c r="D75" s="165">
        <v>374</v>
      </c>
      <c r="E75" s="165"/>
      <c r="F75" s="165">
        <f t="shared" si="1"/>
        <v>374</v>
      </c>
    </row>
    <row r="76" spans="1:6" s="159" customFormat="1" ht="45" customHeight="1">
      <c r="A76" s="165">
        <v>67</v>
      </c>
      <c r="B76" s="166" t="s">
        <v>112</v>
      </c>
      <c r="C76" s="165">
        <v>700</v>
      </c>
      <c r="D76" s="165">
        <v>374</v>
      </c>
      <c r="E76" s="165"/>
      <c r="F76" s="165">
        <f t="shared" si="1"/>
        <v>374</v>
      </c>
    </row>
    <row r="77" spans="1:6" s="159" customFormat="1" ht="45" customHeight="1">
      <c r="A77" s="165">
        <v>68</v>
      </c>
      <c r="B77" s="166" t="s">
        <v>176</v>
      </c>
      <c r="C77" s="165">
        <v>1240</v>
      </c>
      <c r="D77" s="165">
        <v>1240</v>
      </c>
      <c r="E77" s="165"/>
      <c r="F77" s="165">
        <f t="shared" si="1"/>
        <v>1240</v>
      </c>
    </row>
    <row r="78" spans="1:6" s="159" customFormat="1" ht="45" customHeight="1">
      <c r="A78" s="165">
        <v>69</v>
      </c>
      <c r="B78" s="166" t="s">
        <v>173</v>
      </c>
      <c r="C78" s="165">
        <v>2132</v>
      </c>
      <c r="D78" s="165">
        <v>2132</v>
      </c>
      <c r="E78" s="165"/>
      <c r="F78" s="165">
        <f t="shared" si="1"/>
        <v>2132</v>
      </c>
    </row>
    <row r="79" spans="1:6" s="159" customFormat="1" ht="45" customHeight="1">
      <c r="A79" s="165">
        <v>70</v>
      </c>
      <c r="B79" s="166" t="s">
        <v>167</v>
      </c>
      <c r="C79" s="165">
        <v>1200</v>
      </c>
      <c r="D79" s="165">
        <v>1200</v>
      </c>
      <c r="E79" s="165"/>
      <c r="F79" s="165">
        <f t="shared" si="1"/>
        <v>1200</v>
      </c>
    </row>
    <row r="80" spans="1:6" s="159" customFormat="1" ht="45" customHeight="1">
      <c r="A80" s="165">
        <v>71</v>
      </c>
      <c r="B80" s="166" t="s">
        <v>179</v>
      </c>
      <c r="C80" s="165">
        <v>128</v>
      </c>
      <c r="D80" s="165">
        <v>128</v>
      </c>
      <c r="E80" s="165">
        <v>128</v>
      </c>
      <c r="F80" s="165">
        <f t="shared" si="1"/>
        <v>0</v>
      </c>
    </row>
    <row r="81" spans="1:6" s="159" customFormat="1" ht="45" customHeight="1">
      <c r="A81" s="165">
        <v>73</v>
      </c>
      <c r="B81" s="166" t="s">
        <v>194</v>
      </c>
      <c r="C81" s="165">
        <v>144</v>
      </c>
      <c r="D81" s="165">
        <v>234</v>
      </c>
      <c r="E81" s="165">
        <v>0</v>
      </c>
      <c r="F81" s="165">
        <f t="shared" si="1"/>
        <v>234</v>
      </c>
    </row>
    <row r="82" spans="1:6" ht="33" customHeight="1">
      <c r="A82" s="165">
        <v>72</v>
      </c>
      <c r="B82" s="166" t="s">
        <v>210</v>
      </c>
      <c r="C82" s="165">
        <v>165</v>
      </c>
      <c r="D82" s="165">
        <v>165</v>
      </c>
      <c r="E82" s="165">
        <v>0</v>
      </c>
      <c r="F82" s="165">
        <f t="shared" si="1"/>
        <v>165</v>
      </c>
    </row>
    <row r="83" spans="1:6" ht="38.25" customHeight="1">
      <c r="A83" s="165">
        <v>74</v>
      </c>
      <c r="B83" s="166" t="s">
        <v>177</v>
      </c>
      <c r="C83" s="165">
        <v>376</v>
      </c>
      <c r="D83" s="165">
        <v>376</v>
      </c>
      <c r="F83" s="165">
        <f t="shared" si="1"/>
        <v>376</v>
      </c>
    </row>
    <row r="84" spans="1:6" ht="38.25" customHeight="1">
      <c r="A84" s="165">
        <v>75</v>
      </c>
      <c r="B84" s="166" t="s">
        <v>214</v>
      </c>
      <c r="D84" s="165"/>
      <c r="F84" s="165">
        <f t="shared" si="1"/>
        <v>0</v>
      </c>
    </row>
    <row r="85" spans="1:6" ht="38.25" customHeight="1">
      <c r="A85" s="165">
        <v>76</v>
      </c>
      <c r="B85" s="166" t="s">
        <v>180</v>
      </c>
      <c r="C85" s="165">
        <v>1500</v>
      </c>
      <c r="D85" s="165">
        <v>1500</v>
      </c>
      <c r="F85" s="165">
        <f t="shared" si="1"/>
        <v>1500</v>
      </c>
    </row>
    <row r="86" spans="1:6" ht="45" customHeight="1">
      <c r="A86" s="165">
        <v>77</v>
      </c>
      <c r="B86" s="166" t="s">
        <v>183</v>
      </c>
      <c r="C86" s="165">
        <v>1500</v>
      </c>
      <c r="D86" s="165">
        <v>1500</v>
      </c>
      <c r="F86" s="165">
        <f t="shared" si="1"/>
        <v>1500</v>
      </c>
    </row>
    <row r="87" spans="1:6" ht="45" customHeight="1">
      <c r="A87" s="165">
        <v>78</v>
      </c>
      <c r="B87" s="166" t="s">
        <v>184</v>
      </c>
      <c r="C87" s="165">
        <v>1500</v>
      </c>
      <c r="D87" s="165">
        <v>1500</v>
      </c>
      <c r="F87" s="165">
        <f t="shared" si="1"/>
        <v>1500</v>
      </c>
    </row>
    <row r="88" spans="1:6" ht="45" customHeight="1">
      <c r="A88" s="165">
        <v>79</v>
      </c>
      <c r="B88" s="166" t="s">
        <v>212</v>
      </c>
      <c r="C88" s="165">
        <v>1200</v>
      </c>
      <c r="D88" s="165">
        <v>1200</v>
      </c>
      <c r="F88" s="165">
        <f t="shared" si="1"/>
        <v>1200</v>
      </c>
    </row>
    <row r="89" spans="1:6" s="4" customFormat="1" ht="45.75" customHeight="1">
      <c r="A89" s="165">
        <v>80</v>
      </c>
      <c r="B89" s="166" t="s">
        <v>186</v>
      </c>
      <c r="C89" s="165">
        <v>1000</v>
      </c>
      <c r="D89" s="165">
        <v>1000</v>
      </c>
      <c r="E89" s="10"/>
      <c r="F89" s="165">
        <f t="shared" si="1"/>
        <v>1000</v>
      </c>
    </row>
    <row r="90" spans="1:6" ht="36.75" customHeight="1">
      <c r="A90" s="165">
        <v>81</v>
      </c>
      <c r="B90" s="166" t="s">
        <v>188</v>
      </c>
      <c r="D90" s="165">
        <v>4000</v>
      </c>
      <c r="E90" s="165">
        <v>0</v>
      </c>
      <c r="F90" s="165">
        <f t="shared" si="1"/>
        <v>4000</v>
      </c>
    </row>
    <row r="91" spans="1:6" ht="40.5" customHeight="1">
      <c r="A91" s="165">
        <v>82</v>
      </c>
      <c r="B91" s="166" t="s">
        <v>211</v>
      </c>
      <c r="C91" s="165">
        <v>1360</v>
      </c>
      <c r="D91" s="165">
        <v>1360</v>
      </c>
      <c r="F91" s="165">
        <f t="shared" si="1"/>
        <v>1360</v>
      </c>
    </row>
    <row r="92" spans="1:6" ht="28.5">
      <c r="F92" s="165">
        <f t="shared" si="1"/>
        <v>0</v>
      </c>
    </row>
    <row r="93" spans="1:6" ht="28.5">
      <c r="F93" s="165">
        <f t="shared" si="1"/>
        <v>0</v>
      </c>
    </row>
    <row r="94" spans="1:6" ht="28.5">
      <c r="F94" s="165">
        <f t="shared" si="1"/>
        <v>0</v>
      </c>
    </row>
    <row r="95" spans="1:6" ht="28.5">
      <c r="F95" s="165">
        <f t="shared" si="1"/>
        <v>0</v>
      </c>
    </row>
    <row r="96" spans="1:6" ht="28.5">
      <c r="F96" s="165">
        <f t="shared" si="1"/>
        <v>0</v>
      </c>
    </row>
    <row r="97" spans="6:6" ht="28.5">
      <c r="F97" s="165">
        <f t="shared" si="1"/>
        <v>0</v>
      </c>
    </row>
    <row r="98" spans="6:6" ht="28.5">
      <c r="F98" s="165">
        <f t="shared" si="1"/>
        <v>0</v>
      </c>
    </row>
    <row r="99" spans="6:6" ht="28.5">
      <c r="F99" s="165">
        <f t="shared" si="1"/>
        <v>0</v>
      </c>
    </row>
    <row r="100" spans="6:6" ht="28.5">
      <c r="F100" s="165">
        <f t="shared" si="1"/>
        <v>0</v>
      </c>
    </row>
    <row r="101" spans="6:6" ht="28.5">
      <c r="F101" s="165">
        <f t="shared" si="1"/>
        <v>0</v>
      </c>
    </row>
    <row r="102" spans="6:6" ht="28.5">
      <c r="F102" s="165">
        <f t="shared" si="1"/>
        <v>0</v>
      </c>
    </row>
    <row r="103" spans="6:6" ht="28.5">
      <c r="F103" s="165">
        <f t="shared" si="1"/>
        <v>0</v>
      </c>
    </row>
    <row r="104" spans="6:6" ht="28.5">
      <c r="F104" s="165">
        <f t="shared" si="1"/>
        <v>0</v>
      </c>
    </row>
    <row r="105" spans="6:6" ht="28.5">
      <c r="F105" s="165">
        <f t="shared" si="1"/>
        <v>0</v>
      </c>
    </row>
    <row r="106" spans="6:6" ht="28.5">
      <c r="F106" s="165">
        <f t="shared" si="1"/>
        <v>0</v>
      </c>
    </row>
    <row r="107" spans="6:6" ht="28.5">
      <c r="F107" s="165">
        <f t="shared" si="1"/>
        <v>0</v>
      </c>
    </row>
    <row r="108" spans="6:6" ht="28.5">
      <c r="F108" s="165">
        <f t="shared" si="1"/>
        <v>0</v>
      </c>
    </row>
    <row r="109" spans="6:6" ht="28.5">
      <c r="F109" s="165">
        <f t="shared" si="1"/>
        <v>0</v>
      </c>
    </row>
    <row r="110" spans="6:6" ht="28.5">
      <c r="F110" s="165">
        <f t="shared" si="1"/>
        <v>0</v>
      </c>
    </row>
    <row r="111" spans="6:6" ht="28.5">
      <c r="F111" s="165">
        <f t="shared" si="1"/>
        <v>0</v>
      </c>
    </row>
    <row r="112" spans="6:6" ht="28.5">
      <c r="F112" s="165">
        <f t="shared" si="1"/>
        <v>0</v>
      </c>
    </row>
    <row r="113" spans="6:6" ht="28.5">
      <c r="F113" s="165">
        <f t="shared" si="1"/>
        <v>0</v>
      </c>
    </row>
    <row r="114" spans="6:6" ht="28.5">
      <c r="F114" s="165">
        <f t="shared" si="1"/>
        <v>0</v>
      </c>
    </row>
    <row r="115" spans="6:6" ht="28.5">
      <c r="F115" s="165">
        <f t="shared" si="1"/>
        <v>0</v>
      </c>
    </row>
    <row r="116" spans="6:6" ht="28.5">
      <c r="F116" s="165">
        <f t="shared" si="1"/>
        <v>0</v>
      </c>
    </row>
    <row r="117" spans="6:6" ht="28.5">
      <c r="F117" s="165">
        <f t="shared" si="1"/>
        <v>0</v>
      </c>
    </row>
    <row r="118" spans="6:6" ht="28.5">
      <c r="F118" s="165">
        <f t="shared" si="1"/>
        <v>0</v>
      </c>
    </row>
    <row r="119" spans="6:6" ht="28.5">
      <c r="F119" s="165">
        <f t="shared" si="1"/>
        <v>0</v>
      </c>
    </row>
    <row r="120" spans="6:6" ht="28.5">
      <c r="F120" s="165">
        <f t="shared" si="1"/>
        <v>0</v>
      </c>
    </row>
    <row r="121" spans="6:6" ht="28.5">
      <c r="F121" s="165">
        <f t="shared" si="1"/>
        <v>0</v>
      </c>
    </row>
    <row r="122" spans="6:6" ht="28.5">
      <c r="F122" s="165">
        <f t="shared" si="1"/>
        <v>0</v>
      </c>
    </row>
    <row r="123" spans="6:6" ht="28.5">
      <c r="F123" s="165">
        <f t="shared" si="1"/>
        <v>0</v>
      </c>
    </row>
    <row r="124" spans="6:6" ht="28.5">
      <c r="F124" s="165">
        <f t="shared" si="1"/>
        <v>0</v>
      </c>
    </row>
    <row r="125" spans="6:6" ht="28.5">
      <c r="F125" s="165">
        <f t="shared" si="1"/>
        <v>0</v>
      </c>
    </row>
    <row r="126" spans="6:6" ht="28.5">
      <c r="F126" s="165">
        <f t="shared" si="1"/>
        <v>0</v>
      </c>
    </row>
    <row r="127" spans="6:6" ht="28.5">
      <c r="F127" s="165">
        <f t="shared" si="1"/>
        <v>0</v>
      </c>
    </row>
    <row r="128" spans="6:6" ht="28.5">
      <c r="F128" s="165">
        <f t="shared" si="1"/>
        <v>0</v>
      </c>
    </row>
    <row r="129" spans="6:6" ht="28.5">
      <c r="F129" s="165">
        <f t="shared" si="1"/>
        <v>0</v>
      </c>
    </row>
    <row r="130" spans="6:6" ht="28.5">
      <c r="F130" s="165">
        <f t="shared" si="1"/>
        <v>0</v>
      </c>
    </row>
    <row r="131" spans="6:6" ht="28.5">
      <c r="F131" s="165">
        <f t="shared" si="1"/>
        <v>0</v>
      </c>
    </row>
    <row r="132" spans="6:6" ht="28.5">
      <c r="F132" s="165">
        <f t="shared" ref="F132:F195" si="2">SUM(D132-E132)</f>
        <v>0</v>
      </c>
    </row>
    <row r="133" spans="6:6" ht="28.5">
      <c r="F133" s="165">
        <f t="shared" si="2"/>
        <v>0</v>
      </c>
    </row>
    <row r="134" spans="6:6" ht="28.5">
      <c r="F134" s="165">
        <f t="shared" si="2"/>
        <v>0</v>
      </c>
    </row>
    <row r="135" spans="6:6" ht="28.5">
      <c r="F135" s="165">
        <f t="shared" si="2"/>
        <v>0</v>
      </c>
    </row>
    <row r="136" spans="6:6" ht="28.5">
      <c r="F136" s="165">
        <f t="shared" si="2"/>
        <v>0</v>
      </c>
    </row>
    <row r="137" spans="6:6" ht="28.5">
      <c r="F137" s="165">
        <f t="shared" si="2"/>
        <v>0</v>
      </c>
    </row>
    <row r="138" spans="6:6" ht="28.5">
      <c r="F138" s="165">
        <f t="shared" si="2"/>
        <v>0</v>
      </c>
    </row>
    <row r="139" spans="6:6" ht="28.5">
      <c r="F139" s="165">
        <f t="shared" si="2"/>
        <v>0</v>
      </c>
    </row>
    <row r="140" spans="6:6" ht="28.5">
      <c r="F140" s="165">
        <f t="shared" si="2"/>
        <v>0</v>
      </c>
    </row>
    <row r="141" spans="6:6" ht="28.5">
      <c r="F141" s="165">
        <f t="shared" si="2"/>
        <v>0</v>
      </c>
    </row>
    <row r="142" spans="6:6" ht="28.5">
      <c r="F142" s="165">
        <f t="shared" si="2"/>
        <v>0</v>
      </c>
    </row>
    <row r="143" spans="6:6" ht="28.5">
      <c r="F143" s="165">
        <f t="shared" si="2"/>
        <v>0</v>
      </c>
    </row>
    <row r="144" spans="6:6" ht="28.5">
      <c r="F144" s="165">
        <f t="shared" si="2"/>
        <v>0</v>
      </c>
    </row>
    <row r="145" spans="6:6" ht="28.5">
      <c r="F145" s="165">
        <f t="shared" si="2"/>
        <v>0</v>
      </c>
    </row>
    <row r="146" spans="6:6" ht="28.5">
      <c r="F146" s="165">
        <f t="shared" si="2"/>
        <v>0</v>
      </c>
    </row>
    <row r="147" spans="6:6" ht="28.5">
      <c r="F147" s="165">
        <f t="shared" si="2"/>
        <v>0</v>
      </c>
    </row>
    <row r="148" spans="6:6" ht="28.5">
      <c r="F148" s="165">
        <f t="shared" si="2"/>
        <v>0</v>
      </c>
    </row>
    <row r="149" spans="6:6" ht="28.5">
      <c r="F149" s="165">
        <f t="shared" si="2"/>
        <v>0</v>
      </c>
    </row>
    <row r="150" spans="6:6" ht="28.5">
      <c r="F150" s="165">
        <f t="shared" si="2"/>
        <v>0</v>
      </c>
    </row>
    <row r="151" spans="6:6" ht="28.5">
      <c r="F151" s="165">
        <f t="shared" si="2"/>
        <v>0</v>
      </c>
    </row>
    <row r="152" spans="6:6" ht="28.5">
      <c r="F152" s="165">
        <f t="shared" si="2"/>
        <v>0</v>
      </c>
    </row>
    <row r="153" spans="6:6" ht="28.5">
      <c r="F153" s="165">
        <f t="shared" si="2"/>
        <v>0</v>
      </c>
    </row>
    <row r="154" spans="6:6" ht="28.5">
      <c r="F154" s="165">
        <f t="shared" si="2"/>
        <v>0</v>
      </c>
    </row>
    <row r="155" spans="6:6" ht="28.5">
      <c r="F155" s="165">
        <f t="shared" si="2"/>
        <v>0</v>
      </c>
    </row>
    <row r="156" spans="6:6" ht="28.5">
      <c r="F156" s="165">
        <f t="shared" si="2"/>
        <v>0</v>
      </c>
    </row>
    <row r="157" spans="6:6" ht="28.5">
      <c r="F157" s="165">
        <f t="shared" si="2"/>
        <v>0</v>
      </c>
    </row>
    <row r="158" spans="6:6" ht="28.5">
      <c r="F158" s="165">
        <f t="shared" si="2"/>
        <v>0</v>
      </c>
    </row>
    <row r="159" spans="6:6" ht="28.5">
      <c r="F159" s="165">
        <f t="shared" si="2"/>
        <v>0</v>
      </c>
    </row>
    <row r="160" spans="6:6" ht="28.5">
      <c r="F160" s="165">
        <f t="shared" si="2"/>
        <v>0</v>
      </c>
    </row>
    <row r="161" spans="6:6" ht="28.5">
      <c r="F161" s="165">
        <f t="shared" si="2"/>
        <v>0</v>
      </c>
    </row>
    <row r="162" spans="6:6" ht="28.5">
      <c r="F162" s="165">
        <f t="shared" si="2"/>
        <v>0</v>
      </c>
    </row>
    <row r="163" spans="6:6" ht="28.5">
      <c r="F163" s="165">
        <f t="shared" si="2"/>
        <v>0</v>
      </c>
    </row>
    <row r="164" spans="6:6" ht="28.5">
      <c r="F164" s="165">
        <f t="shared" si="2"/>
        <v>0</v>
      </c>
    </row>
    <row r="165" spans="6:6" ht="28.5">
      <c r="F165" s="165">
        <f t="shared" si="2"/>
        <v>0</v>
      </c>
    </row>
    <row r="166" spans="6:6" ht="28.5">
      <c r="F166" s="165">
        <f t="shared" si="2"/>
        <v>0</v>
      </c>
    </row>
    <row r="167" spans="6:6" ht="28.5">
      <c r="F167" s="165">
        <f t="shared" si="2"/>
        <v>0</v>
      </c>
    </row>
    <row r="168" spans="6:6" ht="28.5">
      <c r="F168" s="165">
        <f t="shared" si="2"/>
        <v>0</v>
      </c>
    </row>
    <row r="169" spans="6:6" ht="28.5">
      <c r="F169" s="165">
        <f t="shared" si="2"/>
        <v>0</v>
      </c>
    </row>
    <row r="170" spans="6:6" ht="28.5">
      <c r="F170" s="165">
        <f t="shared" si="2"/>
        <v>0</v>
      </c>
    </row>
    <row r="171" spans="6:6" ht="28.5">
      <c r="F171" s="165">
        <f t="shared" si="2"/>
        <v>0</v>
      </c>
    </row>
    <row r="172" spans="6:6" ht="28.5">
      <c r="F172" s="165">
        <f t="shared" si="2"/>
        <v>0</v>
      </c>
    </row>
    <row r="173" spans="6:6" ht="28.5">
      <c r="F173" s="165">
        <f t="shared" si="2"/>
        <v>0</v>
      </c>
    </row>
    <row r="174" spans="6:6" ht="28.5">
      <c r="F174" s="165">
        <f t="shared" si="2"/>
        <v>0</v>
      </c>
    </row>
    <row r="175" spans="6:6" ht="28.5">
      <c r="F175" s="165">
        <f t="shared" si="2"/>
        <v>0</v>
      </c>
    </row>
    <row r="176" spans="6:6" ht="28.5">
      <c r="F176" s="165">
        <f t="shared" si="2"/>
        <v>0</v>
      </c>
    </row>
    <row r="177" spans="6:6" ht="28.5">
      <c r="F177" s="165">
        <f t="shared" si="2"/>
        <v>0</v>
      </c>
    </row>
    <row r="178" spans="6:6" ht="28.5">
      <c r="F178" s="165">
        <f t="shared" si="2"/>
        <v>0</v>
      </c>
    </row>
    <row r="179" spans="6:6" ht="28.5">
      <c r="F179" s="165">
        <f t="shared" si="2"/>
        <v>0</v>
      </c>
    </row>
    <row r="180" spans="6:6" ht="28.5">
      <c r="F180" s="165">
        <f t="shared" si="2"/>
        <v>0</v>
      </c>
    </row>
    <row r="181" spans="6:6" ht="28.5">
      <c r="F181" s="165">
        <f t="shared" si="2"/>
        <v>0</v>
      </c>
    </row>
    <row r="182" spans="6:6" ht="28.5">
      <c r="F182" s="165">
        <f t="shared" si="2"/>
        <v>0</v>
      </c>
    </row>
    <row r="183" spans="6:6" ht="28.5">
      <c r="F183" s="165">
        <f t="shared" si="2"/>
        <v>0</v>
      </c>
    </row>
    <row r="184" spans="6:6" ht="28.5">
      <c r="F184" s="165">
        <f t="shared" si="2"/>
        <v>0</v>
      </c>
    </row>
    <row r="185" spans="6:6" ht="28.5">
      <c r="F185" s="165">
        <f t="shared" si="2"/>
        <v>0</v>
      </c>
    </row>
    <row r="186" spans="6:6" ht="28.5">
      <c r="F186" s="165">
        <f t="shared" si="2"/>
        <v>0</v>
      </c>
    </row>
    <row r="187" spans="6:6" ht="28.5">
      <c r="F187" s="165">
        <f t="shared" si="2"/>
        <v>0</v>
      </c>
    </row>
    <row r="188" spans="6:6" ht="28.5">
      <c r="F188" s="165">
        <f t="shared" si="2"/>
        <v>0</v>
      </c>
    </row>
    <row r="189" spans="6:6" ht="28.5">
      <c r="F189" s="165">
        <f t="shared" si="2"/>
        <v>0</v>
      </c>
    </row>
    <row r="190" spans="6:6" ht="28.5">
      <c r="F190" s="165">
        <f t="shared" si="2"/>
        <v>0</v>
      </c>
    </row>
    <row r="191" spans="6:6" ht="28.5">
      <c r="F191" s="165">
        <f t="shared" si="2"/>
        <v>0</v>
      </c>
    </row>
    <row r="192" spans="6:6" ht="28.5">
      <c r="F192" s="165">
        <f t="shared" si="2"/>
        <v>0</v>
      </c>
    </row>
    <row r="193" spans="6:6" ht="28.5">
      <c r="F193" s="165">
        <f t="shared" si="2"/>
        <v>0</v>
      </c>
    </row>
    <row r="194" spans="6:6" ht="28.5">
      <c r="F194" s="165">
        <f t="shared" si="2"/>
        <v>0</v>
      </c>
    </row>
    <row r="195" spans="6:6" ht="28.5">
      <c r="F195" s="165">
        <f t="shared" si="2"/>
        <v>0</v>
      </c>
    </row>
    <row r="196" spans="6:6" ht="28.5">
      <c r="F196" s="165">
        <f t="shared" ref="F196:F259" si="3">SUM(D196-E196)</f>
        <v>0</v>
      </c>
    </row>
    <row r="197" spans="6:6" ht="28.5">
      <c r="F197" s="165">
        <f t="shared" si="3"/>
        <v>0</v>
      </c>
    </row>
    <row r="198" spans="6:6" ht="28.5">
      <c r="F198" s="165">
        <f t="shared" si="3"/>
        <v>0</v>
      </c>
    </row>
    <row r="199" spans="6:6" ht="28.5">
      <c r="F199" s="165">
        <f t="shared" si="3"/>
        <v>0</v>
      </c>
    </row>
    <row r="200" spans="6:6" ht="28.5">
      <c r="F200" s="165">
        <f t="shared" si="3"/>
        <v>0</v>
      </c>
    </row>
    <row r="201" spans="6:6" ht="28.5">
      <c r="F201" s="165">
        <f t="shared" si="3"/>
        <v>0</v>
      </c>
    </row>
    <row r="202" spans="6:6" ht="28.5">
      <c r="F202" s="165">
        <f t="shared" si="3"/>
        <v>0</v>
      </c>
    </row>
    <row r="203" spans="6:6" ht="28.5">
      <c r="F203" s="165">
        <f t="shared" si="3"/>
        <v>0</v>
      </c>
    </row>
    <row r="204" spans="6:6" ht="28.5">
      <c r="F204" s="165">
        <f t="shared" si="3"/>
        <v>0</v>
      </c>
    </row>
    <row r="205" spans="6:6" ht="28.5">
      <c r="F205" s="165">
        <f t="shared" si="3"/>
        <v>0</v>
      </c>
    </row>
    <row r="206" spans="6:6" ht="28.5">
      <c r="F206" s="165">
        <f t="shared" si="3"/>
        <v>0</v>
      </c>
    </row>
    <row r="207" spans="6:6" ht="28.5">
      <c r="F207" s="165">
        <f t="shared" si="3"/>
        <v>0</v>
      </c>
    </row>
    <row r="208" spans="6:6" ht="28.5">
      <c r="F208" s="165">
        <f t="shared" si="3"/>
        <v>0</v>
      </c>
    </row>
    <row r="209" spans="6:6" ht="28.5">
      <c r="F209" s="165">
        <f t="shared" si="3"/>
        <v>0</v>
      </c>
    </row>
    <row r="210" spans="6:6" ht="28.5">
      <c r="F210" s="165">
        <f t="shared" si="3"/>
        <v>0</v>
      </c>
    </row>
    <row r="211" spans="6:6" ht="28.5">
      <c r="F211" s="165">
        <f t="shared" si="3"/>
        <v>0</v>
      </c>
    </row>
    <row r="212" spans="6:6" ht="28.5">
      <c r="F212" s="165">
        <f t="shared" si="3"/>
        <v>0</v>
      </c>
    </row>
    <row r="213" spans="6:6" ht="28.5">
      <c r="F213" s="165">
        <f t="shared" si="3"/>
        <v>0</v>
      </c>
    </row>
    <row r="214" spans="6:6" ht="28.5">
      <c r="F214" s="165">
        <f t="shared" si="3"/>
        <v>0</v>
      </c>
    </row>
    <row r="215" spans="6:6" ht="28.5">
      <c r="F215" s="165">
        <f t="shared" si="3"/>
        <v>0</v>
      </c>
    </row>
    <row r="216" spans="6:6" ht="28.5">
      <c r="F216" s="165">
        <f t="shared" si="3"/>
        <v>0</v>
      </c>
    </row>
    <row r="217" spans="6:6" ht="28.5">
      <c r="F217" s="165">
        <f t="shared" si="3"/>
        <v>0</v>
      </c>
    </row>
    <row r="218" spans="6:6" ht="28.5">
      <c r="F218" s="165">
        <f t="shared" si="3"/>
        <v>0</v>
      </c>
    </row>
    <row r="219" spans="6:6" ht="28.5">
      <c r="F219" s="165">
        <f t="shared" si="3"/>
        <v>0</v>
      </c>
    </row>
    <row r="220" spans="6:6" ht="28.5">
      <c r="F220" s="165">
        <f t="shared" si="3"/>
        <v>0</v>
      </c>
    </row>
    <row r="221" spans="6:6" ht="28.5">
      <c r="F221" s="165">
        <f t="shared" si="3"/>
        <v>0</v>
      </c>
    </row>
    <row r="222" spans="6:6" ht="28.5">
      <c r="F222" s="165">
        <f t="shared" si="3"/>
        <v>0</v>
      </c>
    </row>
    <row r="223" spans="6:6" ht="28.5">
      <c r="F223" s="165">
        <f t="shared" si="3"/>
        <v>0</v>
      </c>
    </row>
    <row r="224" spans="6:6" ht="28.5">
      <c r="F224" s="165">
        <f t="shared" si="3"/>
        <v>0</v>
      </c>
    </row>
    <row r="225" spans="6:6" ht="28.5">
      <c r="F225" s="165">
        <f t="shared" si="3"/>
        <v>0</v>
      </c>
    </row>
    <row r="226" spans="6:6" ht="28.5">
      <c r="F226" s="165">
        <f t="shared" si="3"/>
        <v>0</v>
      </c>
    </row>
    <row r="227" spans="6:6" ht="28.5">
      <c r="F227" s="165">
        <f t="shared" si="3"/>
        <v>0</v>
      </c>
    </row>
    <row r="228" spans="6:6" ht="28.5">
      <c r="F228" s="165">
        <f t="shared" si="3"/>
        <v>0</v>
      </c>
    </row>
    <row r="229" spans="6:6" ht="28.5">
      <c r="F229" s="165">
        <f t="shared" si="3"/>
        <v>0</v>
      </c>
    </row>
    <row r="230" spans="6:6" ht="28.5">
      <c r="F230" s="165">
        <f t="shared" si="3"/>
        <v>0</v>
      </c>
    </row>
    <row r="231" spans="6:6" ht="28.5">
      <c r="F231" s="165">
        <f t="shared" si="3"/>
        <v>0</v>
      </c>
    </row>
    <row r="232" spans="6:6" ht="28.5">
      <c r="F232" s="165">
        <f t="shared" si="3"/>
        <v>0</v>
      </c>
    </row>
    <row r="233" spans="6:6" ht="28.5">
      <c r="F233" s="165">
        <f t="shared" si="3"/>
        <v>0</v>
      </c>
    </row>
    <row r="234" spans="6:6" ht="28.5">
      <c r="F234" s="165">
        <f t="shared" si="3"/>
        <v>0</v>
      </c>
    </row>
    <row r="235" spans="6:6" ht="28.5">
      <c r="F235" s="165">
        <f t="shared" si="3"/>
        <v>0</v>
      </c>
    </row>
    <row r="236" spans="6:6" ht="28.5">
      <c r="F236" s="165">
        <f t="shared" si="3"/>
        <v>0</v>
      </c>
    </row>
    <row r="237" spans="6:6" ht="28.5">
      <c r="F237" s="165">
        <f t="shared" si="3"/>
        <v>0</v>
      </c>
    </row>
    <row r="238" spans="6:6" ht="28.5">
      <c r="F238" s="165">
        <f t="shared" si="3"/>
        <v>0</v>
      </c>
    </row>
    <row r="239" spans="6:6" ht="28.5">
      <c r="F239" s="165">
        <f t="shared" si="3"/>
        <v>0</v>
      </c>
    </row>
    <row r="240" spans="6:6" ht="28.5">
      <c r="F240" s="165">
        <f t="shared" si="3"/>
        <v>0</v>
      </c>
    </row>
    <row r="241" spans="6:6" ht="28.5">
      <c r="F241" s="165">
        <f t="shared" si="3"/>
        <v>0</v>
      </c>
    </row>
    <row r="242" spans="6:6" ht="28.5">
      <c r="F242" s="165">
        <f t="shared" si="3"/>
        <v>0</v>
      </c>
    </row>
    <row r="243" spans="6:6" ht="28.5">
      <c r="F243" s="165">
        <f t="shared" si="3"/>
        <v>0</v>
      </c>
    </row>
    <row r="244" spans="6:6" ht="28.5">
      <c r="F244" s="165">
        <f t="shared" si="3"/>
        <v>0</v>
      </c>
    </row>
    <row r="245" spans="6:6" ht="28.5">
      <c r="F245" s="165">
        <f t="shared" si="3"/>
        <v>0</v>
      </c>
    </row>
    <row r="246" spans="6:6" ht="28.5">
      <c r="F246" s="165">
        <f t="shared" si="3"/>
        <v>0</v>
      </c>
    </row>
    <row r="247" spans="6:6" ht="28.5">
      <c r="F247" s="165">
        <f t="shared" si="3"/>
        <v>0</v>
      </c>
    </row>
    <row r="248" spans="6:6" ht="28.5">
      <c r="F248" s="165">
        <f t="shared" si="3"/>
        <v>0</v>
      </c>
    </row>
    <row r="249" spans="6:6" ht="28.5">
      <c r="F249" s="165">
        <f t="shared" si="3"/>
        <v>0</v>
      </c>
    </row>
    <row r="250" spans="6:6" ht="28.5">
      <c r="F250" s="165">
        <f t="shared" si="3"/>
        <v>0</v>
      </c>
    </row>
    <row r="251" spans="6:6" ht="28.5">
      <c r="F251" s="165">
        <f t="shared" si="3"/>
        <v>0</v>
      </c>
    </row>
    <row r="252" spans="6:6" ht="28.5">
      <c r="F252" s="165">
        <f t="shared" si="3"/>
        <v>0</v>
      </c>
    </row>
    <row r="253" spans="6:6" ht="28.5">
      <c r="F253" s="165">
        <f t="shared" si="3"/>
        <v>0</v>
      </c>
    </row>
    <row r="254" spans="6:6" ht="28.5">
      <c r="F254" s="165">
        <f t="shared" si="3"/>
        <v>0</v>
      </c>
    </row>
    <row r="255" spans="6:6" ht="28.5">
      <c r="F255" s="165">
        <f t="shared" si="3"/>
        <v>0</v>
      </c>
    </row>
    <row r="256" spans="6:6" ht="28.5">
      <c r="F256" s="165">
        <f t="shared" si="3"/>
        <v>0</v>
      </c>
    </row>
    <row r="257" spans="6:6" ht="28.5">
      <c r="F257" s="165">
        <f t="shared" si="3"/>
        <v>0</v>
      </c>
    </row>
    <row r="258" spans="6:6" ht="28.5">
      <c r="F258" s="165">
        <f t="shared" si="3"/>
        <v>0</v>
      </c>
    </row>
    <row r="259" spans="6:6" ht="28.5">
      <c r="F259" s="165">
        <f t="shared" si="3"/>
        <v>0</v>
      </c>
    </row>
    <row r="260" spans="6:6" ht="28.5">
      <c r="F260" s="165">
        <f t="shared" ref="F260:F323" si="4">SUM(D260-E260)</f>
        <v>0</v>
      </c>
    </row>
    <row r="261" spans="6:6" ht="28.5">
      <c r="F261" s="165">
        <f t="shared" si="4"/>
        <v>0</v>
      </c>
    </row>
    <row r="262" spans="6:6" ht="28.5">
      <c r="F262" s="165">
        <f t="shared" si="4"/>
        <v>0</v>
      </c>
    </row>
    <row r="263" spans="6:6" ht="28.5">
      <c r="F263" s="165">
        <f t="shared" si="4"/>
        <v>0</v>
      </c>
    </row>
    <row r="264" spans="6:6" ht="28.5">
      <c r="F264" s="165">
        <f t="shared" si="4"/>
        <v>0</v>
      </c>
    </row>
    <row r="265" spans="6:6" ht="28.5">
      <c r="F265" s="165">
        <f t="shared" si="4"/>
        <v>0</v>
      </c>
    </row>
    <row r="266" spans="6:6" ht="28.5">
      <c r="F266" s="165">
        <f t="shared" si="4"/>
        <v>0</v>
      </c>
    </row>
    <row r="267" spans="6:6" ht="28.5">
      <c r="F267" s="165">
        <f t="shared" si="4"/>
        <v>0</v>
      </c>
    </row>
    <row r="268" spans="6:6" ht="28.5">
      <c r="F268" s="165">
        <f t="shared" si="4"/>
        <v>0</v>
      </c>
    </row>
    <row r="269" spans="6:6" ht="28.5">
      <c r="F269" s="165">
        <f t="shared" si="4"/>
        <v>0</v>
      </c>
    </row>
    <row r="270" spans="6:6" ht="28.5">
      <c r="F270" s="165">
        <f t="shared" si="4"/>
        <v>0</v>
      </c>
    </row>
    <row r="271" spans="6:6" ht="28.5">
      <c r="F271" s="165">
        <f t="shared" si="4"/>
        <v>0</v>
      </c>
    </row>
    <row r="272" spans="6:6" ht="28.5">
      <c r="F272" s="165">
        <f t="shared" si="4"/>
        <v>0</v>
      </c>
    </row>
    <row r="273" spans="6:6" ht="28.5">
      <c r="F273" s="165">
        <f t="shared" si="4"/>
        <v>0</v>
      </c>
    </row>
    <row r="274" spans="6:6" ht="28.5">
      <c r="F274" s="165">
        <f t="shared" si="4"/>
        <v>0</v>
      </c>
    </row>
    <row r="275" spans="6:6" ht="28.5">
      <c r="F275" s="165">
        <f t="shared" si="4"/>
        <v>0</v>
      </c>
    </row>
    <row r="276" spans="6:6" ht="28.5">
      <c r="F276" s="165">
        <f t="shared" si="4"/>
        <v>0</v>
      </c>
    </row>
    <row r="277" spans="6:6" ht="28.5">
      <c r="F277" s="165">
        <f t="shared" si="4"/>
        <v>0</v>
      </c>
    </row>
    <row r="278" spans="6:6" ht="28.5">
      <c r="F278" s="165">
        <f t="shared" si="4"/>
        <v>0</v>
      </c>
    </row>
    <row r="279" spans="6:6" ht="28.5">
      <c r="F279" s="165">
        <f t="shared" si="4"/>
        <v>0</v>
      </c>
    </row>
    <row r="280" spans="6:6" ht="28.5">
      <c r="F280" s="165">
        <f t="shared" si="4"/>
        <v>0</v>
      </c>
    </row>
    <row r="281" spans="6:6" ht="28.5">
      <c r="F281" s="165">
        <f t="shared" si="4"/>
        <v>0</v>
      </c>
    </row>
    <row r="282" spans="6:6" ht="28.5">
      <c r="F282" s="165">
        <f t="shared" si="4"/>
        <v>0</v>
      </c>
    </row>
    <row r="283" spans="6:6" ht="28.5">
      <c r="F283" s="165">
        <f t="shared" si="4"/>
        <v>0</v>
      </c>
    </row>
    <row r="284" spans="6:6" ht="28.5">
      <c r="F284" s="165">
        <f t="shared" si="4"/>
        <v>0</v>
      </c>
    </row>
    <row r="285" spans="6:6" ht="28.5">
      <c r="F285" s="165">
        <f t="shared" si="4"/>
        <v>0</v>
      </c>
    </row>
    <row r="286" spans="6:6" ht="28.5">
      <c r="F286" s="165">
        <f t="shared" si="4"/>
        <v>0</v>
      </c>
    </row>
    <row r="287" spans="6:6" ht="28.5">
      <c r="F287" s="165">
        <f t="shared" si="4"/>
        <v>0</v>
      </c>
    </row>
    <row r="288" spans="6:6" ht="28.5">
      <c r="F288" s="165">
        <f t="shared" si="4"/>
        <v>0</v>
      </c>
    </row>
    <row r="289" spans="6:6" ht="28.5">
      <c r="F289" s="165">
        <f t="shared" si="4"/>
        <v>0</v>
      </c>
    </row>
    <row r="290" spans="6:6" ht="28.5">
      <c r="F290" s="165">
        <f t="shared" si="4"/>
        <v>0</v>
      </c>
    </row>
    <row r="291" spans="6:6" ht="28.5">
      <c r="F291" s="165">
        <f t="shared" si="4"/>
        <v>0</v>
      </c>
    </row>
    <row r="292" spans="6:6" ht="28.5">
      <c r="F292" s="165">
        <f t="shared" si="4"/>
        <v>0</v>
      </c>
    </row>
    <row r="293" spans="6:6" ht="28.5">
      <c r="F293" s="165">
        <f t="shared" si="4"/>
        <v>0</v>
      </c>
    </row>
    <row r="294" spans="6:6" ht="28.5">
      <c r="F294" s="165">
        <f t="shared" si="4"/>
        <v>0</v>
      </c>
    </row>
    <row r="295" spans="6:6" ht="28.5">
      <c r="F295" s="165">
        <f t="shared" si="4"/>
        <v>0</v>
      </c>
    </row>
    <row r="296" spans="6:6" ht="28.5">
      <c r="F296" s="165">
        <f t="shared" si="4"/>
        <v>0</v>
      </c>
    </row>
    <row r="297" spans="6:6" ht="28.5">
      <c r="F297" s="165">
        <f t="shared" si="4"/>
        <v>0</v>
      </c>
    </row>
    <row r="298" spans="6:6" ht="28.5">
      <c r="F298" s="165">
        <f t="shared" si="4"/>
        <v>0</v>
      </c>
    </row>
    <row r="299" spans="6:6" ht="28.5">
      <c r="F299" s="165">
        <f t="shared" si="4"/>
        <v>0</v>
      </c>
    </row>
    <row r="300" spans="6:6" ht="28.5">
      <c r="F300" s="165">
        <f t="shared" si="4"/>
        <v>0</v>
      </c>
    </row>
    <row r="301" spans="6:6" ht="28.5">
      <c r="F301" s="165">
        <f t="shared" si="4"/>
        <v>0</v>
      </c>
    </row>
    <row r="302" spans="6:6" ht="28.5">
      <c r="F302" s="165">
        <f t="shared" si="4"/>
        <v>0</v>
      </c>
    </row>
    <row r="303" spans="6:6" ht="28.5">
      <c r="F303" s="165">
        <f t="shared" si="4"/>
        <v>0</v>
      </c>
    </row>
    <row r="304" spans="6:6" ht="28.5">
      <c r="F304" s="165">
        <f t="shared" si="4"/>
        <v>0</v>
      </c>
    </row>
    <row r="305" spans="6:6" ht="28.5">
      <c r="F305" s="165">
        <f t="shared" si="4"/>
        <v>0</v>
      </c>
    </row>
    <row r="306" spans="6:6" ht="28.5">
      <c r="F306" s="165">
        <f t="shared" si="4"/>
        <v>0</v>
      </c>
    </row>
    <row r="307" spans="6:6" ht="28.5">
      <c r="F307" s="165">
        <f t="shared" si="4"/>
        <v>0</v>
      </c>
    </row>
    <row r="308" spans="6:6" ht="28.5">
      <c r="F308" s="165">
        <f t="shared" si="4"/>
        <v>0</v>
      </c>
    </row>
    <row r="309" spans="6:6" ht="28.5">
      <c r="F309" s="165">
        <f t="shared" si="4"/>
        <v>0</v>
      </c>
    </row>
    <row r="310" spans="6:6" ht="28.5">
      <c r="F310" s="165">
        <f t="shared" si="4"/>
        <v>0</v>
      </c>
    </row>
    <row r="311" spans="6:6" ht="28.5">
      <c r="F311" s="165">
        <f t="shared" si="4"/>
        <v>0</v>
      </c>
    </row>
    <row r="312" spans="6:6" ht="28.5">
      <c r="F312" s="165">
        <f t="shared" si="4"/>
        <v>0</v>
      </c>
    </row>
    <row r="313" spans="6:6" ht="28.5">
      <c r="F313" s="165">
        <f t="shared" si="4"/>
        <v>0</v>
      </c>
    </row>
    <row r="314" spans="6:6" ht="28.5">
      <c r="F314" s="165">
        <f t="shared" si="4"/>
        <v>0</v>
      </c>
    </row>
    <row r="315" spans="6:6" ht="28.5">
      <c r="F315" s="165">
        <f t="shared" si="4"/>
        <v>0</v>
      </c>
    </row>
    <row r="316" spans="6:6" ht="28.5">
      <c r="F316" s="165">
        <f t="shared" si="4"/>
        <v>0</v>
      </c>
    </row>
    <row r="317" spans="6:6" ht="28.5">
      <c r="F317" s="165">
        <f t="shared" si="4"/>
        <v>0</v>
      </c>
    </row>
    <row r="318" spans="6:6" ht="28.5">
      <c r="F318" s="165">
        <f t="shared" si="4"/>
        <v>0</v>
      </c>
    </row>
    <row r="319" spans="6:6" ht="28.5">
      <c r="F319" s="165">
        <f t="shared" si="4"/>
        <v>0</v>
      </c>
    </row>
    <row r="320" spans="6:6" ht="28.5">
      <c r="F320" s="165">
        <f t="shared" si="4"/>
        <v>0</v>
      </c>
    </row>
    <row r="321" spans="6:6" ht="28.5">
      <c r="F321" s="165">
        <f t="shared" si="4"/>
        <v>0</v>
      </c>
    </row>
    <row r="322" spans="6:6" ht="28.5">
      <c r="F322" s="165">
        <f t="shared" si="4"/>
        <v>0</v>
      </c>
    </row>
    <row r="323" spans="6:6" ht="28.5">
      <c r="F323" s="165">
        <f t="shared" si="4"/>
        <v>0</v>
      </c>
    </row>
    <row r="324" spans="6:6" ht="28.5">
      <c r="F324" s="165">
        <f t="shared" ref="F324:F346" si="5">SUM(D324-E324)</f>
        <v>0</v>
      </c>
    </row>
    <row r="325" spans="6:6" ht="28.5">
      <c r="F325" s="165">
        <f t="shared" si="5"/>
        <v>0</v>
      </c>
    </row>
    <row r="326" spans="6:6" ht="28.5">
      <c r="F326" s="165">
        <f t="shared" si="5"/>
        <v>0</v>
      </c>
    </row>
    <row r="327" spans="6:6" ht="28.5">
      <c r="F327" s="165">
        <f t="shared" si="5"/>
        <v>0</v>
      </c>
    </row>
    <row r="328" spans="6:6" ht="28.5">
      <c r="F328" s="165">
        <f t="shared" si="5"/>
        <v>0</v>
      </c>
    </row>
    <row r="329" spans="6:6" ht="28.5">
      <c r="F329" s="165">
        <f t="shared" si="5"/>
        <v>0</v>
      </c>
    </row>
    <row r="330" spans="6:6" ht="28.5">
      <c r="F330" s="165">
        <f t="shared" si="5"/>
        <v>0</v>
      </c>
    </row>
    <row r="331" spans="6:6" ht="28.5">
      <c r="F331" s="165">
        <f t="shared" si="5"/>
        <v>0</v>
      </c>
    </row>
    <row r="332" spans="6:6" ht="28.5">
      <c r="F332" s="165">
        <f t="shared" si="5"/>
        <v>0</v>
      </c>
    </row>
    <row r="333" spans="6:6" ht="28.5">
      <c r="F333" s="165">
        <f t="shared" si="5"/>
        <v>0</v>
      </c>
    </row>
    <row r="334" spans="6:6" ht="28.5">
      <c r="F334" s="165">
        <f t="shared" si="5"/>
        <v>0</v>
      </c>
    </row>
    <row r="335" spans="6:6" ht="28.5">
      <c r="F335" s="165">
        <f t="shared" si="5"/>
        <v>0</v>
      </c>
    </row>
    <row r="336" spans="6:6" ht="28.5">
      <c r="F336" s="165">
        <f t="shared" si="5"/>
        <v>0</v>
      </c>
    </row>
    <row r="337" spans="6:6" ht="28.5">
      <c r="F337" s="165">
        <f t="shared" si="5"/>
        <v>0</v>
      </c>
    </row>
    <row r="338" spans="6:6" ht="28.5">
      <c r="F338" s="165">
        <f t="shared" si="5"/>
        <v>0</v>
      </c>
    </row>
    <row r="339" spans="6:6" ht="28.5">
      <c r="F339" s="165">
        <f t="shared" si="5"/>
        <v>0</v>
      </c>
    </row>
    <row r="340" spans="6:6" ht="28.5">
      <c r="F340" s="165">
        <f t="shared" si="5"/>
        <v>0</v>
      </c>
    </row>
    <row r="341" spans="6:6" ht="28.5">
      <c r="F341" s="165">
        <f t="shared" si="5"/>
        <v>0</v>
      </c>
    </row>
    <row r="342" spans="6:6" ht="28.5">
      <c r="F342" s="165">
        <f t="shared" si="5"/>
        <v>0</v>
      </c>
    </row>
    <row r="343" spans="6:6" ht="28.5">
      <c r="F343" s="165">
        <f t="shared" si="5"/>
        <v>0</v>
      </c>
    </row>
    <row r="344" spans="6:6" ht="28.5">
      <c r="F344" s="165">
        <f t="shared" si="5"/>
        <v>0</v>
      </c>
    </row>
    <row r="345" spans="6:6" ht="28.5">
      <c r="F345" s="165">
        <f t="shared" si="5"/>
        <v>0</v>
      </c>
    </row>
    <row r="346" spans="6:6" ht="28.5">
      <c r="F346" s="165">
        <f t="shared" si="5"/>
        <v>0</v>
      </c>
    </row>
  </sheetData>
  <pageMargins left="0.7" right="0.7" top="0.75" bottom="0.75" header="0.3" footer="0.3"/>
  <pageSetup scale="49"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C00000"/>
  </sheetPr>
  <dimension ref="A1:F131"/>
  <sheetViews>
    <sheetView workbookViewId="0">
      <selection activeCell="B2" sqref="B2"/>
    </sheetView>
  </sheetViews>
  <sheetFormatPr defaultRowHeight="15"/>
  <cols>
    <col min="1" max="1" width="4.28515625" customWidth="1"/>
    <col min="2" max="2" width="20.5703125" customWidth="1"/>
    <col min="3" max="3" width="11.42578125" customWidth="1"/>
    <col min="4" max="5" width="2.7109375"/>
    <col min="6" max="6" width="3.140625" customWidth="1"/>
  </cols>
  <sheetData>
    <row r="1" spans="1:6" ht="31.5">
      <c r="A1" s="255" t="s">
        <v>237</v>
      </c>
      <c r="B1" s="255" t="s">
        <v>236</v>
      </c>
      <c r="C1" s="255" t="s">
        <v>195</v>
      </c>
      <c r="D1" s="254"/>
      <c r="E1" s="254"/>
      <c r="F1" s="254"/>
    </row>
    <row r="2" spans="1:6" ht="31.5">
      <c r="A2" s="253">
        <v>131</v>
      </c>
      <c r="B2" s="250" t="s">
        <v>238</v>
      </c>
      <c r="C2" s="253" t="s">
        <v>239</v>
      </c>
    </row>
    <row r="3" spans="1:6" ht="31.5">
      <c r="A3" s="253">
        <v>132</v>
      </c>
      <c r="B3" s="250" t="s">
        <v>240</v>
      </c>
      <c r="C3" s="253" t="s">
        <v>241</v>
      </c>
    </row>
    <row r="4" spans="1:6" ht="31.5">
      <c r="A4" s="253">
        <v>133</v>
      </c>
      <c r="B4" s="253" t="s">
        <v>242</v>
      </c>
      <c r="C4" s="253" t="s">
        <v>243</v>
      </c>
    </row>
    <row r="5" spans="1:6" ht="31.5">
      <c r="A5" s="253">
        <v>134</v>
      </c>
      <c r="B5" s="250" t="s">
        <v>244</v>
      </c>
      <c r="C5" s="253" t="s">
        <v>245</v>
      </c>
    </row>
    <row r="6" spans="1:6" ht="31.5">
      <c r="A6" s="253">
        <v>135</v>
      </c>
      <c r="B6" s="250" t="s">
        <v>246</v>
      </c>
      <c r="C6" s="253" t="s">
        <v>247</v>
      </c>
    </row>
    <row r="7" spans="1:6" ht="31.5">
      <c r="A7" s="253">
        <v>136</v>
      </c>
      <c r="B7" s="253" t="s">
        <v>248</v>
      </c>
      <c r="C7" s="253" t="s">
        <v>249</v>
      </c>
    </row>
    <row r="8" spans="1:6" ht="31.5">
      <c r="A8" s="253">
        <v>137</v>
      </c>
      <c r="B8" s="250" t="s">
        <v>250</v>
      </c>
      <c r="C8" s="253">
        <v>0</v>
      </c>
    </row>
    <row r="9" spans="1:6" ht="31.5">
      <c r="A9" s="253">
        <v>138</v>
      </c>
      <c r="B9" s="250" t="s">
        <v>251</v>
      </c>
      <c r="C9" s="253" t="s">
        <v>241</v>
      </c>
    </row>
    <row r="10" spans="1:6" ht="31.5">
      <c r="A10" s="253">
        <v>139</v>
      </c>
      <c r="B10" s="253" t="s">
        <v>252</v>
      </c>
      <c r="C10" s="253" t="s">
        <v>253</v>
      </c>
    </row>
    <row r="11" spans="1:6" ht="31.5">
      <c r="A11" s="253">
        <v>140</v>
      </c>
      <c r="B11" s="253" t="s">
        <v>254</v>
      </c>
      <c r="C11" s="253" t="s">
        <v>241</v>
      </c>
    </row>
    <row r="12" spans="1:6" ht="31.5">
      <c r="A12" s="253">
        <v>141</v>
      </c>
      <c r="B12" s="253" t="s">
        <v>255</v>
      </c>
      <c r="C12" s="253" t="s">
        <v>256</v>
      </c>
    </row>
    <row r="13" spans="1:6" ht="31.5">
      <c r="A13" s="253">
        <v>142</v>
      </c>
      <c r="B13" s="253" t="s">
        <v>257</v>
      </c>
      <c r="C13" s="253" t="s">
        <v>313</v>
      </c>
    </row>
    <row r="14" spans="1:6" ht="31.5">
      <c r="A14" s="253">
        <v>143</v>
      </c>
      <c r="B14" s="253" t="s">
        <v>258</v>
      </c>
      <c r="C14" s="253" t="s">
        <v>314</v>
      </c>
    </row>
    <row r="15" spans="1:6" ht="31.5">
      <c r="A15" s="253">
        <v>144</v>
      </c>
      <c r="B15" s="253">
        <v>0</v>
      </c>
      <c r="C15" s="253"/>
    </row>
    <row r="16" spans="1:6" ht="31.5">
      <c r="A16" s="253">
        <v>145</v>
      </c>
      <c r="B16" s="253" t="s">
        <v>259</v>
      </c>
      <c r="C16" s="253" t="s">
        <v>260</v>
      </c>
    </row>
    <row r="17" spans="1:3" ht="31.5">
      <c r="A17" s="253">
        <v>146</v>
      </c>
      <c r="B17" s="253" t="s">
        <v>261</v>
      </c>
      <c r="C17" s="253">
        <v>0</v>
      </c>
    </row>
    <row r="18" spans="1:3" ht="31.5">
      <c r="A18" s="253">
        <v>147</v>
      </c>
      <c r="B18" s="253">
        <v>0</v>
      </c>
      <c r="C18" s="253">
        <v>0</v>
      </c>
    </row>
    <row r="19" spans="1:3" ht="31.5">
      <c r="A19" s="253">
        <v>148</v>
      </c>
      <c r="B19" s="253" t="s">
        <v>250</v>
      </c>
      <c r="C19" s="253">
        <v>0</v>
      </c>
    </row>
    <row r="20" spans="1:3" ht="31.5">
      <c r="A20" s="253">
        <v>149</v>
      </c>
      <c r="B20" s="253" t="s">
        <v>263</v>
      </c>
      <c r="C20" s="253">
        <v>8</v>
      </c>
    </row>
    <row r="21" spans="1:3" ht="31.5">
      <c r="A21" s="253">
        <v>150</v>
      </c>
      <c r="B21" s="253" t="s">
        <v>264</v>
      </c>
      <c r="C21" s="253">
        <v>0</v>
      </c>
    </row>
    <row r="22" spans="1:3" ht="31.5">
      <c r="A22" s="253">
        <v>151</v>
      </c>
      <c r="B22" s="253">
        <v>0</v>
      </c>
      <c r="C22" s="253"/>
    </row>
    <row r="23" spans="1:3" ht="31.5">
      <c r="A23" s="253">
        <v>152</v>
      </c>
      <c r="B23" s="253" t="s">
        <v>265</v>
      </c>
      <c r="C23" s="253" t="s">
        <v>266</v>
      </c>
    </row>
    <row r="24" spans="1:3" ht="31.5">
      <c r="A24" s="253">
        <v>153</v>
      </c>
      <c r="B24" s="253" t="s">
        <v>262</v>
      </c>
      <c r="C24" s="253" t="s">
        <v>266</v>
      </c>
    </row>
    <row r="25" spans="1:3" ht="31.5">
      <c r="A25" s="253">
        <v>154</v>
      </c>
      <c r="B25" s="253" t="s">
        <v>267</v>
      </c>
      <c r="C25" s="253" t="s">
        <v>268</v>
      </c>
    </row>
    <row r="26" spans="1:3" ht="31.5">
      <c r="A26" s="253">
        <v>155</v>
      </c>
      <c r="B26" s="253" t="s">
        <v>269</v>
      </c>
      <c r="C26" s="253"/>
    </row>
    <row r="27" spans="1:3" ht="31.5">
      <c r="A27" s="253">
        <v>156</v>
      </c>
      <c r="B27" s="253" t="s">
        <v>270</v>
      </c>
      <c r="C27" s="253">
        <v>2000</v>
      </c>
    </row>
    <row r="28" spans="1:3" ht="31.5">
      <c r="A28" s="253">
        <v>157</v>
      </c>
      <c r="B28" s="253" t="s">
        <v>270</v>
      </c>
      <c r="C28" s="253">
        <v>2000</v>
      </c>
    </row>
    <row r="29" spans="1:3" ht="31.5">
      <c r="A29" s="253">
        <v>158</v>
      </c>
      <c r="B29" s="253" t="s">
        <v>270</v>
      </c>
      <c r="C29" s="253">
        <v>2000</v>
      </c>
    </row>
    <row r="30" spans="1:3" ht="31.5">
      <c r="A30" s="253">
        <v>159</v>
      </c>
      <c r="B30" s="253">
        <v>0</v>
      </c>
      <c r="C30" s="253"/>
    </row>
    <row r="31" spans="1:3" ht="31.5">
      <c r="A31" s="253">
        <v>160</v>
      </c>
      <c r="B31" s="253">
        <v>0</v>
      </c>
      <c r="C31" s="253"/>
    </row>
    <row r="32" spans="1:3" ht="31.5">
      <c r="A32" s="253">
        <v>161</v>
      </c>
      <c r="B32" s="253" t="s">
        <v>271</v>
      </c>
      <c r="C32" s="253">
        <v>500</v>
      </c>
    </row>
    <row r="33" spans="1:3" ht="31.5">
      <c r="A33" s="253">
        <v>162</v>
      </c>
      <c r="B33" s="253" t="s">
        <v>271</v>
      </c>
      <c r="C33" s="253">
        <v>760</v>
      </c>
    </row>
    <row r="34" spans="1:3" ht="31.5">
      <c r="A34" s="253">
        <v>163</v>
      </c>
      <c r="B34" s="253" t="s">
        <v>269</v>
      </c>
      <c r="C34" s="253"/>
    </row>
    <row r="35" spans="1:3" ht="31.5">
      <c r="A35" s="253">
        <v>164</v>
      </c>
      <c r="B35" s="253" t="s">
        <v>273</v>
      </c>
      <c r="C35" s="253">
        <v>400</v>
      </c>
    </row>
    <row r="36" spans="1:3" ht="31.5">
      <c r="A36" s="253">
        <v>165</v>
      </c>
      <c r="B36" s="253" t="s">
        <v>274</v>
      </c>
      <c r="C36" s="253">
        <v>1800</v>
      </c>
    </row>
    <row r="37" spans="1:3" ht="31.5">
      <c r="A37" s="253">
        <v>166</v>
      </c>
      <c r="B37" s="253" t="s">
        <v>274</v>
      </c>
      <c r="C37" s="253">
        <v>1500</v>
      </c>
    </row>
    <row r="38" spans="1:3" ht="31.5">
      <c r="A38" s="253">
        <v>167</v>
      </c>
      <c r="B38" s="253" t="s">
        <v>257</v>
      </c>
      <c r="C38" s="253">
        <v>500</v>
      </c>
    </row>
    <row r="39" spans="1:3" ht="31.5">
      <c r="A39" s="253">
        <v>168</v>
      </c>
      <c r="B39" s="253" t="s">
        <v>272</v>
      </c>
      <c r="C39" s="253">
        <v>400</v>
      </c>
    </row>
    <row r="40" spans="1:3" ht="31.5">
      <c r="A40" s="253">
        <v>169</v>
      </c>
      <c r="B40" s="253" t="s">
        <v>275</v>
      </c>
      <c r="C40" s="253">
        <v>400</v>
      </c>
    </row>
    <row r="41" spans="1:3" ht="31.5">
      <c r="A41" s="253">
        <v>170</v>
      </c>
      <c r="B41" s="253" t="s">
        <v>275</v>
      </c>
      <c r="C41" s="253">
        <v>400</v>
      </c>
    </row>
    <row r="42" spans="1:3" ht="31.5">
      <c r="A42" s="253">
        <v>171</v>
      </c>
      <c r="B42" s="253">
        <v>0</v>
      </c>
      <c r="C42" s="253"/>
    </row>
    <row r="43" spans="1:3" ht="31.5">
      <c r="A43" s="253">
        <v>172</v>
      </c>
      <c r="B43" s="253" t="s">
        <v>311</v>
      </c>
      <c r="C43" s="253">
        <v>1800</v>
      </c>
    </row>
    <row r="44" spans="1:3" ht="31.5">
      <c r="A44" s="253">
        <v>173</v>
      </c>
      <c r="B44" s="253" t="s">
        <v>276</v>
      </c>
      <c r="C44" s="300">
        <v>1000</v>
      </c>
    </row>
    <row r="45" spans="1:3" ht="31.5">
      <c r="A45" s="253">
        <v>174</v>
      </c>
      <c r="B45" s="250" t="s">
        <v>277</v>
      </c>
      <c r="C45" s="250">
        <v>700</v>
      </c>
    </row>
    <row r="46" spans="1:3" ht="31.5">
      <c r="A46" s="253">
        <v>175</v>
      </c>
      <c r="B46" s="303" t="s">
        <v>275</v>
      </c>
      <c r="C46" s="250">
        <v>1000</v>
      </c>
    </row>
    <row r="47" spans="1:3" ht="31.5">
      <c r="A47" s="253">
        <v>176</v>
      </c>
      <c r="B47" s="250" t="s">
        <v>278</v>
      </c>
      <c r="C47" s="253">
        <v>1000</v>
      </c>
    </row>
    <row r="48" spans="1:3" ht="31.5">
      <c r="A48" s="253">
        <v>177</v>
      </c>
      <c r="B48" s="250" t="s">
        <v>278</v>
      </c>
      <c r="C48" s="253">
        <v>1000</v>
      </c>
    </row>
    <row r="49" spans="1:3" ht="31.5">
      <c r="A49" s="253">
        <v>178</v>
      </c>
      <c r="B49" s="253" t="s">
        <v>97</v>
      </c>
      <c r="C49" s="253">
        <v>3500</v>
      </c>
    </row>
    <row r="50" spans="1:3" ht="31.5">
      <c r="A50" s="253">
        <v>179</v>
      </c>
      <c r="B50" s="253" t="s">
        <v>279</v>
      </c>
      <c r="C50" s="253">
        <v>2000</v>
      </c>
    </row>
    <row r="51" spans="1:3" ht="31.5">
      <c r="A51" s="253">
        <v>180</v>
      </c>
      <c r="B51" s="253" t="s">
        <v>279</v>
      </c>
      <c r="C51" s="253">
        <v>2000</v>
      </c>
    </row>
    <row r="52" spans="1:3" ht="31.5">
      <c r="A52" s="253">
        <v>181</v>
      </c>
      <c r="B52" s="253" t="s">
        <v>279</v>
      </c>
      <c r="C52" s="253">
        <v>2000</v>
      </c>
    </row>
    <row r="53" spans="1:3" ht="31.5">
      <c r="A53" s="253">
        <v>182</v>
      </c>
      <c r="B53" s="253" t="s">
        <v>279</v>
      </c>
      <c r="C53" s="253">
        <v>2000</v>
      </c>
    </row>
    <row r="54" spans="1:3" ht="31.5">
      <c r="A54" s="253">
        <v>183</v>
      </c>
      <c r="B54" s="253" t="s">
        <v>280</v>
      </c>
      <c r="C54" s="253">
        <v>1900</v>
      </c>
    </row>
    <row r="55" spans="1:3" ht="31.5">
      <c r="A55" s="253">
        <v>184</v>
      </c>
      <c r="B55" s="253" t="s">
        <v>281</v>
      </c>
      <c r="C55" s="253">
        <v>1200</v>
      </c>
    </row>
    <row r="56" spans="1:3" ht="31.5">
      <c r="A56" s="253">
        <v>185</v>
      </c>
      <c r="B56" s="253">
        <v>0</v>
      </c>
      <c r="C56" s="253"/>
    </row>
    <row r="57" spans="1:3" ht="31.5">
      <c r="A57" s="253">
        <v>186</v>
      </c>
      <c r="B57" s="253">
        <v>0</v>
      </c>
      <c r="C57" s="253"/>
    </row>
    <row r="58" spans="1:3" ht="31.5">
      <c r="A58" s="253">
        <v>187</v>
      </c>
      <c r="B58" s="253" t="s">
        <v>282</v>
      </c>
      <c r="C58" s="253">
        <v>3800</v>
      </c>
    </row>
    <row r="59" spans="1:3" ht="31.5">
      <c r="A59" s="253">
        <v>188</v>
      </c>
      <c r="B59" s="253" t="s">
        <v>282</v>
      </c>
      <c r="C59" s="253">
        <v>2000</v>
      </c>
    </row>
    <row r="60" spans="1:3" ht="31.5">
      <c r="A60" s="253">
        <v>189</v>
      </c>
      <c r="B60" s="253" t="s">
        <v>282</v>
      </c>
      <c r="C60" s="253">
        <v>2000</v>
      </c>
    </row>
    <row r="61" spans="1:3" ht="31.5">
      <c r="A61" s="253">
        <v>190</v>
      </c>
      <c r="B61" s="253" t="s">
        <v>283</v>
      </c>
      <c r="C61" s="253">
        <v>500</v>
      </c>
    </row>
    <row r="62" spans="1:3" ht="31.5">
      <c r="A62" s="253">
        <v>191</v>
      </c>
      <c r="B62" s="250" t="s">
        <v>284</v>
      </c>
      <c r="C62" s="250">
        <v>1000</v>
      </c>
    </row>
    <row r="63" spans="1:3" ht="31.5">
      <c r="A63" s="253">
        <v>192</v>
      </c>
      <c r="B63" s="250" t="s">
        <v>285</v>
      </c>
      <c r="C63" s="250">
        <v>2000</v>
      </c>
    </row>
    <row r="64" spans="1:3" ht="31.5">
      <c r="A64" s="253">
        <v>193</v>
      </c>
      <c r="B64" s="253" t="s">
        <v>286</v>
      </c>
      <c r="C64" s="253">
        <v>3200</v>
      </c>
    </row>
    <row r="65" spans="1:3" ht="31.5">
      <c r="A65" s="253">
        <v>194</v>
      </c>
      <c r="B65" s="250" t="s">
        <v>287</v>
      </c>
      <c r="C65" s="250">
        <v>3150</v>
      </c>
    </row>
    <row r="66" spans="1:3" ht="31.5">
      <c r="A66" s="253">
        <v>195</v>
      </c>
      <c r="B66" s="250" t="s">
        <v>279</v>
      </c>
      <c r="C66" s="250">
        <v>1500</v>
      </c>
    </row>
    <row r="67" spans="1:3" ht="31.5">
      <c r="A67" s="253">
        <v>196</v>
      </c>
      <c r="B67" s="253" t="s">
        <v>257</v>
      </c>
      <c r="C67" s="250">
        <v>2000</v>
      </c>
    </row>
    <row r="68" spans="1:3" ht="31.5">
      <c r="A68" s="253">
        <v>197</v>
      </c>
      <c r="B68" s="253" t="s">
        <v>288</v>
      </c>
      <c r="C68" s="250">
        <v>1500</v>
      </c>
    </row>
    <row r="69" spans="1:3" ht="31.5">
      <c r="A69" s="253">
        <v>198</v>
      </c>
      <c r="B69" s="253">
        <v>0</v>
      </c>
      <c r="C69" s="250"/>
    </row>
    <row r="70" spans="1:3" ht="31.5">
      <c r="A70" s="253">
        <v>199</v>
      </c>
      <c r="B70" s="253" t="s">
        <v>289</v>
      </c>
      <c r="C70" s="250">
        <v>1121</v>
      </c>
    </row>
    <row r="71" spans="1:3" ht="31.5">
      <c r="A71" s="253">
        <v>200</v>
      </c>
      <c r="B71" s="253" t="s">
        <v>290</v>
      </c>
      <c r="C71" s="250">
        <v>800</v>
      </c>
    </row>
    <row r="72" spans="1:3" ht="31.5">
      <c r="A72" s="253">
        <v>201</v>
      </c>
      <c r="B72" s="253" t="s">
        <v>304</v>
      </c>
      <c r="C72" s="250">
        <v>2000</v>
      </c>
    </row>
    <row r="73" spans="1:3" ht="31.5">
      <c r="A73" s="253">
        <v>202</v>
      </c>
      <c r="B73" s="250" t="s">
        <v>270</v>
      </c>
      <c r="C73" s="250">
        <v>950</v>
      </c>
    </row>
    <row r="74" spans="1:3" ht="31.5">
      <c r="A74" s="253">
        <v>203</v>
      </c>
      <c r="B74" s="253" t="s">
        <v>291</v>
      </c>
      <c r="C74" s="250">
        <v>762</v>
      </c>
    </row>
    <row r="75" spans="1:3" ht="31.5">
      <c r="A75" s="253">
        <v>204</v>
      </c>
      <c r="B75" s="253" t="s">
        <v>277</v>
      </c>
      <c r="C75" s="250">
        <v>500</v>
      </c>
    </row>
    <row r="76" spans="1:3" ht="31.5">
      <c r="A76" s="253">
        <v>205</v>
      </c>
      <c r="B76" s="250" t="s">
        <v>270</v>
      </c>
      <c r="C76" s="250">
        <v>800</v>
      </c>
    </row>
    <row r="77" spans="1:3" ht="31.5">
      <c r="A77" s="253">
        <v>206</v>
      </c>
      <c r="B77" s="253" t="s">
        <v>277</v>
      </c>
      <c r="C77" s="253">
        <v>1000</v>
      </c>
    </row>
    <row r="78" spans="1:3" ht="31.5">
      <c r="A78" s="253">
        <v>207</v>
      </c>
      <c r="B78" s="253" t="s">
        <v>292</v>
      </c>
      <c r="C78" s="253">
        <v>2500</v>
      </c>
    </row>
    <row r="79" spans="1:3" ht="31.5">
      <c r="A79" s="253">
        <v>208</v>
      </c>
      <c r="B79" s="253" t="s">
        <v>295</v>
      </c>
      <c r="C79" s="253">
        <v>1100</v>
      </c>
    </row>
    <row r="80" spans="1:3" ht="31.5">
      <c r="A80" s="253">
        <v>209</v>
      </c>
      <c r="B80" s="253" t="s">
        <v>290</v>
      </c>
      <c r="C80" s="253">
        <v>2500</v>
      </c>
    </row>
    <row r="81" spans="1:3" ht="31.5">
      <c r="A81" s="253">
        <v>210</v>
      </c>
      <c r="B81" s="253" t="s">
        <v>296</v>
      </c>
      <c r="C81" s="253">
        <v>1400</v>
      </c>
    </row>
    <row r="82" spans="1:3" ht="31.5">
      <c r="A82" s="253">
        <v>211</v>
      </c>
      <c r="B82" s="251" t="s">
        <v>293</v>
      </c>
      <c r="C82" s="250">
        <v>2900</v>
      </c>
    </row>
    <row r="83" spans="1:3" ht="31.5">
      <c r="A83" s="253">
        <v>212</v>
      </c>
      <c r="B83" s="251" t="s">
        <v>293</v>
      </c>
      <c r="C83" s="250">
        <v>1870</v>
      </c>
    </row>
    <row r="84" spans="1:3" ht="31.5">
      <c r="A84" s="253">
        <v>213</v>
      </c>
      <c r="B84" s="251" t="s">
        <v>293</v>
      </c>
      <c r="C84" s="250">
        <v>2000</v>
      </c>
    </row>
    <row r="85" spans="1:3" ht="31.5">
      <c r="A85" s="253">
        <v>214</v>
      </c>
      <c r="B85" s="251" t="s">
        <v>294</v>
      </c>
      <c r="C85" s="250">
        <v>3500</v>
      </c>
    </row>
    <row r="86" spans="1:3" ht="31.5">
      <c r="A86" s="253">
        <v>215</v>
      </c>
      <c r="B86" s="251" t="s">
        <v>284</v>
      </c>
      <c r="C86" s="250">
        <v>1000</v>
      </c>
    </row>
    <row r="87" spans="1:3" ht="31.5">
      <c r="A87" s="253">
        <v>216</v>
      </c>
      <c r="B87" s="250" t="s">
        <v>315</v>
      </c>
      <c r="C87" s="250">
        <v>800</v>
      </c>
    </row>
    <row r="88" spans="1:3" ht="31.5">
      <c r="A88" s="253">
        <v>217</v>
      </c>
      <c r="B88" s="253" t="s">
        <v>284</v>
      </c>
      <c r="C88" s="253">
        <v>1000</v>
      </c>
    </row>
    <row r="89" spans="1:3" ht="31.5">
      <c r="A89" s="253">
        <v>218</v>
      </c>
      <c r="B89" s="253">
        <v>0</v>
      </c>
      <c r="C89" s="252"/>
    </row>
    <row r="90" spans="1:3" ht="31.5">
      <c r="A90" s="253">
        <v>219</v>
      </c>
      <c r="B90" s="253" t="s">
        <v>295</v>
      </c>
      <c r="C90" s="253">
        <v>850</v>
      </c>
    </row>
    <row r="91" spans="1:3" ht="31.5">
      <c r="A91" s="253">
        <v>220</v>
      </c>
      <c r="B91" s="253" t="s">
        <v>296</v>
      </c>
      <c r="C91" s="253">
        <v>1000</v>
      </c>
    </row>
    <row r="92" spans="1:3" ht="31.5">
      <c r="A92" s="253">
        <v>221</v>
      </c>
      <c r="B92" s="251" t="s">
        <v>297</v>
      </c>
      <c r="C92" s="250">
        <v>1000</v>
      </c>
    </row>
    <row r="93" spans="1:3" ht="31.5">
      <c r="A93" s="253">
        <v>222</v>
      </c>
      <c r="B93" s="251" t="s">
        <v>286</v>
      </c>
      <c r="C93" s="250">
        <v>2100</v>
      </c>
    </row>
    <row r="94" spans="1:3" ht="31.5">
      <c r="A94" s="253">
        <v>223</v>
      </c>
      <c r="B94" s="251" t="s">
        <v>298</v>
      </c>
      <c r="C94" s="250">
        <v>10000</v>
      </c>
    </row>
    <row r="95" spans="1:3" ht="31.5">
      <c r="A95" s="253">
        <v>224</v>
      </c>
      <c r="B95" s="251" t="s">
        <v>312</v>
      </c>
      <c r="C95" s="250">
        <v>2000</v>
      </c>
    </row>
    <row r="96" spans="1:3" ht="31.5">
      <c r="A96" s="253">
        <v>225</v>
      </c>
      <c r="B96" s="251" t="s">
        <v>299</v>
      </c>
      <c r="C96" s="250">
        <v>1000</v>
      </c>
    </row>
    <row r="97" spans="1:3" ht="31.5">
      <c r="A97" s="253">
        <v>226</v>
      </c>
      <c r="B97" s="251" t="s">
        <v>300</v>
      </c>
      <c r="C97" s="250">
        <v>3500</v>
      </c>
    </row>
    <row r="98" spans="1:3" ht="31.5">
      <c r="A98" s="253">
        <v>227</v>
      </c>
      <c r="B98" s="250" t="s">
        <v>292</v>
      </c>
      <c r="C98" s="250">
        <v>2000</v>
      </c>
    </row>
    <row r="99" spans="1:3" ht="31.5">
      <c r="A99" s="253">
        <v>228</v>
      </c>
      <c r="B99" s="251" t="s">
        <v>290</v>
      </c>
      <c r="C99" s="250">
        <v>1000</v>
      </c>
    </row>
    <row r="100" spans="1:3" ht="31.5">
      <c r="A100" s="253">
        <v>229</v>
      </c>
      <c r="B100" s="253" t="s">
        <v>301</v>
      </c>
      <c r="C100" s="253">
        <v>500</v>
      </c>
    </row>
    <row r="101" spans="1:3" ht="31.5">
      <c r="A101" s="253">
        <v>230</v>
      </c>
      <c r="B101" s="253" t="s">
        <v>302</v>
      </c>
      <c r="C101" s="253">
        <v>570</v>
      </c>
    </row>
    <row r="102" spans="1:3" ht="31.5">
      <c r="A102" s="253">
        <v>231</v>
      </c>
      <c r="B102" s="251" t="s">
        <v>294</v>
      </c>
      <c r="C102" s="250">
        <v>2000</v>
      </c>
    </row>
    <row r="103" spans="1:3" ht="31.5">
      <c r="A103" s="253">
        <v>232</v>
      </c>
      <c r="B103" s="250" t="s">
        <v>299</v>
      </c>
      <c r="C103" s="250">
        <v>1000</v>
      </c>
    </row>
    <row r="104" spans="1:3" ht="31.5">
      <c r="A104" s="253">
        <v>233</v>
      </c>
      <c r="B104" s="250" t="s">
        <v>303</v>
      </c>
      <c r="C104" s="250">
        <v>800</v>
      </c>
    </row>
    <row r="105" spans="1:3" ht="31.5">
      <c r="A105" s="253">
        <v>234</v>
      </c>
      <c r="B105" s="250" t="s">
        <v>294</v>
      </c>
      <c r="C105" s="250">
        <v>2000</v>
      </c>
    </row>
    <row r="106" spans="1:3" ht="31.5">
      <c r="A106" s="253">
        <v>235</v>
      </c>
      <c r="B106" s="250" t="s">
        <v>305</v>
      </c>
      <c r="C106" s="250">
        <v>1000</v>
      </c>
    </row>
    <row r="107" spans="1:3" ht="31.5">
      <c r="A107" s="253">
        <v>236</v>
      </c>
      <c r="B107" s="250" t="s">
        <v>306</v>
      </c>
      <c r="C107" s="250">
        <v>1000</v>
      </c>
    </row>
    <row r="108" spans="1:3" ht="31.5">
      <c r="A108" s="253">
        <v>237</v>
      </c>
      <c r="B108" s="250">
        <v>0</v>
      </c>
      <c r="C108" s="250"/>
    </row>
    <row r="109" spans="1:3" ht="31.5">
      <c r="A109" s="253">
        <v>238</v>
      </c>
      <c r="B109" s="250" t="s">
        <v>297</v>
      </c>
      <c r="C109" s="250">
        <v>1200</v>
      </c>
    </row>
    <row r="110" spans="1:3" ht="31.5">
      <c r="A110" s="253">
        <v>239</v>
      </c>
      <c r="B110" s="250" t="s">
        <v>293</v>
      </c>
      <c r="C110" s="250">
        <v>1000</v>
      </c>
    </row>
    <row r="111" spans="1:3" ht="31.5">
      <c r="A111" s="253">
        <v>240</v>
      </c>
      <c r="B111" s="250" t="s">
        <v>307</v>
      </c>
      <c r="C111" s="250">
        <v>3500</v>
      </c>
    </row>
    <row r="112" spans="1:3" ht="31.5">
      <c r="A112" s="253">
        <v>241</v>
      </c>
      <c r="B112" s="250" t="s">
        <v>308</v>
      </c>
      <c r="C112" s="250">
        <v>1500</v>
      </c>
    </row>
    <row r="113" spans="1:3" ht="31.5">
      <c r="A113" s="253">
        <v>242</v>
      </c>
      <c r="B113" s="250" t="s">
        <v>294</v>
      </c>
      <c r="C113" s="250">
        <v>2000</v>
      </c>
    </row>
    <row r="114" spans="1:3" ht="31.5">
      <c r="A114" s="253">
        <v>243</v>
      </c>
      <c r="B114" s="250" t="s">
        <v>294</v>
      </c>
      <c r="C114" s="250">
        <v>2500</v>
      </c>
    </row>
    <row r="115" spans="1:3" ht="31.5">
      <c r="A115" s="253">
        <v>244</v>
      </c>
      <c r="B115" s="250" t="s">
        <v>309</v>
      </c>
      <c r="C115" s="250">
        <v>800</v>
      </c>
    </row>
    <row r="116" spans="1:3" ht="31.5">
      <c r="A116" s="253">
        <v>245</v>
      </c>
      <c r="B116" s="250" t="s">
        <v>309</v>
      </c>
      <c r="C116" s="250">
        <v>800</v>
      </c>
    </row>
    <row r="117" spans="1:3" ht="31.5">
      <c r="A117" s="253">
        <v>246</v>
      </c>
      <c r="B117" s="250" t="s">
        <v>284</v>
      </c>
      <c r="C117" s="250">
        <v>1000</v>
      </c>
    </row>
    <row r="118" spans="1:3" ht="31.5">
      <c r="A118" s="253">
        <v>247</v>
      </c>
      <c r="B118" s="250" t="s">
        <v>310</v>
      </c>
      <c r="C118" s="250">
        <v>0</v>
      </c>
    </row>
    <row r="119" spans="1:3" ht="31.5">
      <c r="A119" s="253">
        <v>248</v>
      </c>
      <c r="B119" s="250" t="s">
        <v>291</v>
      </c>
      <c r="C119" s="250">
        <v>900</v>
      </c>
    </row>
    <row r="120" spans="1:3" ht="31.5">
      <c r="A120" s="253">
        <v>249</v>
      </c>
      <c r="B120" s="250">
        <v>0</v>
      </c>
      <c r="C120" s="250"/>
    </row>
    <row r="121" spans="1:3" ht="31.5">
      <c r="A121" s="253">
        <v>250</v>
      </c>
      <c r="B121" s="250">
        <v>0</v>
      </c>
      <c r="C121" s="250"/>
    </row>
    <row r="122" spans="1:3" ht="31.5">
      <c r="A122" s="301"/>
      <c r="B122" s="302"/>
      <c r="C122" s="302"/>
    </row>
    <row r="123" spans="1:3" ht="31.5">
      <c r="A123" s="301"/>
      <c r="B123" s="302"/>
      <c r="C123" s="302"/>
    </row>
    <row r="124" spans="1:3" ht="31.5">
      <c r="A124" s="256"/>
      <c r="B124" s="298"/>
      <c r="C124" s="298"/>
    </row>
    <row r="125" spans="1:3" ht="31.5">
      <c r="A125" s="298"/>
      <c r="B125" s="298"/>
      <c r="C125" s="298"/>
    </row>
    <row r="126" spans="1:3" ht="31.5">
      <c r="A126" s="298"/>
      <c r="B126" s="298"/>
      <c r="C126" s="298"/>
    </row>
    <row r="127" spans="1:3" ht="31.5">
      <c r="A127" s="298"/>
      <c r="B127" s="298"/>
      <c r="C127" s="298"/>
    </row>
    <row r="128" spans="1:3" ht="31.5">
      <c r="A128" s="256"/>
      <c r="B128" s="299"/>
      <c r="C128" s="299"/>
    </row>
    <row r="129" spans="1:1" ht="31.5">
      <c r="A129" s="256"/>
    </row>
    <row r="130" spans="1:1" ht="31.5">
      <c r="A130" s="256"/>
    </row>
    <row r="131" spans="1:1" ht="31.5">
      <c r="A131" s="256"/>
    </row>
  </sheetData>
  <pageMargins left="0.7" right="0.7" top="0.75" bottom="0.75" header="0.3" footer="0.3"/>
  <pageSetup scale="44" orientation="portrait" verticalDpi="300" r:id="rId1"/>
  <rowBreaks count="2" manualBreakCount="2">
    <brk id="37" max="2" man="1"/>
    <brk id="81" max="2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B050"/>
  </sheetPr>
  <dimension ref="A1:I17"/>
  <sheetViews>
    <sheetView topLeftCell="A9" zoomScale="70" zoomScaleNormal="70" workbookViewId="0">
      <selection activeCell="L18" sqref="L18"/>
    </sheetView>
  </sheetViews>
  <sheetFormatPr defaultRowHeight="15"/>
  <cols>
    <col min="1" max="1" width="7.85546875" customWidth="1"/>
    <col min="2" max="2" width="8.5703125" customWidth="1"/>
    <col min="3" max="3" width="6" customWidth="1"/>
    <col min="4" max="4" width="9.42578125" customWidth="1"/>
    <col min="5" max="5" width="5.5703125" customWidth="1"/>
    <col min="6" max="6" width="8.7109375" customWidth="1"/>
    <col min="7" max="7" width="14.28515625" customWidth="1"/>
    <col min="8" max="8" width="6" customWidth="1"/>
    <col min="9" max="9" width="5.28515625" customWidth="1"/>
  </cols>
  <sheetData>
    <row r="1" spans="1:9" ht="27" thickBot="1">
      <c r="D1" s="743" t="s">
        <v>235</v>
      </c>
      <c r="E1" s="744"/>
      <c r="F1" s="745"/>
    </row>
    <row r="2" spans="1:9" s="257" customFormat="1" ht="54" customHeight="1">
      <c r="A2" s="259" t="s">
        <v>216</v>
      </c>
      <c r="B2" s="260" t="s">
        <v>223</v>
      </c>
      <c r="C2" s="260" t="s">
        <v>224</v>
      </c>
      <c r="D2" s="260" t="s">
        <v>222</v>
      </c>
      <c r="E2" s="260" t="s">
        <v>217</v>
      </c>
      <c r="F2" s="260" t="s">
        <v>218</v>
      </c>
      <c r="G2" s="261" t="s">
        <v>219</v>
      </c>
      <c r="H2" s="260" t="s">
        <v>221</v>
      </c>
      <c r="I2" s="262" t="s">
        <v>220</v>
      </c>
    </row>
    <row r="3" spans="1:9" ht="58.5" customHeight="1">
      <c r="A3" s="263"/>
      <c r="B3" s="5"/>
      <c r="C3" s="5"/>
      <c r="D3" s="5"/>
      <c r="E3" s="5"/>
      <c r="F3" s="258"/>
      <c r="G3" s="740"/>
      <c r="H3" s="8"/>
      <c r="I3" s="264"/>
    </row>
    <row r="4" spans="1:9" ht="70.5" customHeight="1">
      <c r="A4" s="263"/>
      <c r="B4" s="5"/>
      <c r="C4" s="5"/>
      <c r="D4" s="5"/>
      <c r="E4" s="5"/>
      <c r="F4" s="258"/>
      <c r="G4" s="741"/>
      <c r="H4" s="8"/>
      <c r="I4" s="264"/>
    </row>
    <row r="5" spans="1:9" ht="62.25" customHeight="1">
      <c r="A5" s="263"/>
      <c r="B5" s="5"/>
      <c r="C5" s="5"/>
      <c r="D5" s="5"/>
      <c r="E5" s="5"/>
      <c r="F5" s="258"/>
      <c r="G5" s="741"/>
      <c r="H5" s="8"/>
      <c r="I5" s="264"/>
    </row>
    <row r="6" spans="1:9" ht="64.5" customHeight="1">
      <c r="A6" s="263"/>
      <c r="B6" s="5"/>
      <c r="C6" s="5"/>
      <c r="D6" s="5"/>
      <c r="E6" s="5"/>
      <c r="F6" s="258"/>
      <c r="G6" s="741"/>
      <c r="H6" s="8"/>
      <c r="I6" s="264"/>
    </row>
    <row r="7" spans="1:9" ht="60" customHeight="1">
      <c r="A7" s="263"/>
      <c r="B7" s="5"/>
      <c r="C7" s="5"/>
      <c r="D7" s="5"/>
      <c r="E7" s="5"/>
      <c r="F7" s="258"/>
      <c r="G7" s="742"/>
      <c r="H7" s="8"/>
      <c r="I7" s="264"/>
    </row>
    <row r="8" spans="1:9" ht="71.25" customHeight="1">
      <c r="A8" s="263"/>
      <c r="B8" s="5"/>
      <c r="C8" s="5"/>
      <c r="D8" s="5"/>
      <c r="E8" s="5"/>
      <c r="F8" s="258"/>
      <c r="G8" s="740"/>
      <c r="H8" s="8"/>
      <c r="I8" s="264"/>
    </row>
    <row r="9" spans="1:9" ht="74.25" customHeight="1">
      <c r="A9" s="263"/>
      <c r="B9" s="5"/>
      <c r="C9" s="5"/>
      <c r="D9" s="5"/>
      <c r="E9" s="5"/>
      <c r="F9" s="258"/>
      <c r="G9" s="741"/>
      <c r="H9" s="8"/>
      <c r="I9" s="264"/>
    </row>
    <row r="10" spans="1:9" ht="65.25" customHeight="1">
      <c r="A10" s="263"/>
      <c r="B10" s="5"/>
      <c r="C10" s="5"/>
      <c r="D10" s="5"/>
      <c r="E10" s="5"/>
      <c r="F10" s="258"/>
      <c r="G10" s="742"/>
      <c r="H10" s="8"/>
      <c r="I10" s="264"/>
    </row>
    <row r="11" spans="1:9" ht="65.25" customHeight="1">
      <c r="A11" s="263"/>
      <c r="B11" s="5"/>
      <c r="C11" s="5"/>
      <c r="D11" s="5"/>
      <c r="E11" s="5"/>
      <c r="F11" s="5"/>
      <c r="G11" s="740"/>
      <c r="H11" s="5"/>
      <c r="I11" s="264"/>
    </row>
    <row r="12" spans="1:9" ht="80.25" customHeight="1">
      <c r="A12" s="263"/>
      <c r="B12" s="5"/>
      <c r="C12" s="5"/>
      <c r="D12" s="5"/>
      <c r="E12" s="5"/>
      <c r="F12" s="5"/>
      <c r="G12" s="741"/>
      <c r="H12" s="5"/>
      <c r="I12" s="264"/>
    </row>
    <row r="13" spans="1:9" ht="60" customHeight="1">
      <c r="A13" s="263"/>
      <c r="B13" s="5"/>
      <c r="C13" s="5"/>
      <c r="D13" s="5"/>
      <c r="E13" s="5"/>
      <c r="F13" s="5"/>
      <c r="G13" s="741"/>
      <c r="H13" s="5"/>
      <c r="I13" s="264"/>
    </row>
    <row r="14" spans="1:9" ht="78" hidden="1" customHeight="1">
      <c r="A14" s="263"/>
      <c r="B14" s="5"/>
      <c r="C14" s="5"/>
      <c r="D14" s="5"/>
      <c r="E14" s="5"/>
      <c r="F14" s="5"/>
      <c r="G14" s="741"/>
      <c r="H14" s="5"/>
      <c r="I14" s="264"/>
    </row>
    <row r="15" spans="1:9" ht="42.75" customHeight="1">
      <c r="A15" s="263"/>
      <c r="B15" s="5"/>
      <c r="C15" s="5"/>
      <c r="D15" s="5"/>
      <c r="E15" s="5"/>
      <c r="F15" s="5"/>
      <c r="G15" s="742"/>
      <c r="H15" s="5"/>
      <c r="I15" s="264"/>
    </row>
    <row r="16" spans="1:9" ht="51" hidden="1" customHeight="1">
      <c r="A16" s="263"/>
      <c r="B16" s="5"/>
      <c r="C16" s="5"/>
      <c r="D16" s="5"/>
      <c r="E16" s="5"/>
      <c r="F16" s="5"/>
      <c r="G16" s="5"/>
      <c r="H16" s="5"/>
      <c r="I16" s="264"/>
    </row>
    <row r="17" spans="1:9" ht="32.25" hidden="1" customHeight="1" thickBot="1">
      <c r="A17" s="265"/>
      <c r="B17" s="266"/>
      <c r="C17" s="266"/>
      <c r="D17" s="266"/>
      <c r="E17" s="266"/>
      <c r="F17" s="266"/>
      <c r="G17" s="266"/>
      <c r="H17" s="266"/>
      <c r="I17" s="267"/>
    </row>
  </sheetData>
  <mergeCells count="4">
    <mergeCell ref="G11:G15"/>
    <mergeCell ref="D1:F1"/>
    <mergeCell ref="G8:G10"/>
    <mergeCell ref="G3:G7"/>
  </mergeCells>
  <pageMargins left="0.25" right="0.25" top="0.75" bottom="0.75" header="0.3" footer="0.3"/>
  <pageSetup scale="56" orientation="landscape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B2:E19"/>
  <sheetViews>
    <sheetView workbookViewId="0">
      <selection activeCell="E13" sqref="E13"/>
    </sheetView>
  </sheetViews>
  <sheetFormatPr defaultRowHeight="15"/>
  <cols>
    <col min="3" max="3" width="33.28515625" customWidth="1"/>
    <col min="4" max="4" width="9.140625" customWidth="1"/>
    <col min="5" max="5" width="28.28515625" customWidth="1"/>
  </cols>
  <sheetData>
    <row r="2" spans="2:5" ht="34.5" customHeight="1">
      <c r="B2" s="746" t="s">
        <v>393</v>
      </c>
      <c r="C2" s="746"/>
      <c r="D2" s="746"/>
      <c r="E2" s="746"/>
    </row>
    <row r="3" spans="2:5" ht="24" customHeight="1">
      <c r="B3" s="5"/>
      <c r="C3" s="5"/>
      <c r="D3" s="740"/>
      <c r="E3" s="5"/>
    </row>
    <row r="4" spans="2:5" ht="33" customHeight="1">
      <c r="B4" s="5"/>
      <c r="C4" s="592" t="s">
        <v>394</v>
      </c>
      <c r="D4" s="741"/>
      <c r="E4" s="592" t="s">
        <v>401</v>
      </c>
    </row>
    <row r="5" spans="2:5" ht="30" customHeight="1">
      <c r="B5" s="5"/>
      <c r="C5" s="592" t="s">
        <v>395</v>
      </c>
      <c r="D5" s="741"/>
      <c r="E5" s="592" t="s">
        <v>402</v>
      </c>
    </row>
    <row r="6" spans="2:5" ht="29.25" customHeight="1">
      <c r="B6" s="5"/>
      <c r="C6" s="592" t="s">
        <v>396</v>
      </c>
      <c r="D6" s="741"/>
      <c r="E6" s="592" t="s">
        <v>404</v>
      </c>
    </row>
    <row r="7" spans="2:5" ht="30" customHeight="1">
      <c r="B7" s="5"/>
      <c r="C7" s="592" t="s">
        <v>397</v>
      </c>
      <c r="D7" s="741"/>
      <c r="E7" s="592" t="s">
        <v>405</v>
      </c>
    </row>
    <row r="8" spans="2:5" ht="27.75" customHeight="1">
      <c r="B8" s="5"/>
      <c r="C8" s="592" t="s">
        <v>398</v>
      </c>
      <c r="D8" s="741"/>
      <c r="E8" s="592" t="s">
        <v>406</v>
      </c>
    </row>
    <row r="9" spans="2:5" ht="27" customHeight="1">
      <c r="B9" s="5"/>
      <c r="C9" s="592" t="s">
        <v>399</v>
      </c>
      <c r="D9" s="741"/>
      <c r="E9" s="592" t="s">
        <v>407</v>
      </c>
    </row>
    <row r="10" spans="2:5" ht="27" customHeight="1">
      <c r="B10" s="5"/>
      <c r="C10" s="592" t="s">
        <v>400</v>
      </c>
      <c r="D10" s="741"/>
      <c r="E10" s="592" t="s">
        <v>408</v>
      </c>
    </row>
    <row r="11" spans="2:5" ht="29.25" customHeight="1">
      <c r="B11" s="5"/>
      <c r="C11" s="592" t="s">
        <v>403</v>
      </c>
      <c r="D11" s="741"/>
      <c r="E11" s="592" t="s">
        <v>409</v>
      </c>
    </row>
    <row r="12" spans="2:5" ht="36.75" customHeight="1">
      <c r="B12" s="5"/>
      <c r="C12" s="592" t="s">
        <v>410</v>
      </c>
      <c r="D12" s="742"/>
      <c r="E12" s="592" t="s">
        <v>411</v>
      </c>
    </row>
    <row r="13" spans="2:5" ht="38.25" customHeight="1"/>
    <row r="14" spans="2:5" ht="35.25" customHeight="1"/>
    <row r="15" spans="2:5" ht="34.5" customHeight="1"/>
    <row r="16" spans="2:5" ht="35.25" customHeight="1"/>
    <row r="17" ht="36.75" customHeight="1"/>
    <row r="18" ht="30" customHeight="1"/>
    <row r="19" ht="33.75" customHeight="1"/>
  </sheetData>
  <mergeCells count="2">
    <mergeCell ref="B2:E2"/>
    <mergeCell ref="D3:D1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H 10 H15 H20</vt:lpstr>
      <vt:lpstr>H-21 ALL RADIUS</vt:lpstr>
      <vt:lpstr>H-25 ALL RADIUS</vt:lpstr>
      <vt:lpstr>h-35 all radius</vt:lpstr>
      <vt:lpstr>H-42 ALL RADIUS</vt:lpstr>
      <vt:lpstr>H-45 ALL RADIUS</vt:lpstr>
      <vt:lpstr>H-56 ALL RADIUS</vt:lpstr>
      <vt:lpstr>H-60 ALL RADIUS</vt:lpstr>
      <vt:lpstr>H-21.1 ALL Radius</vt:lpstr>
      <vt:lpstr>H-80 ALL RADIUS</vt:lpstr>
      <vt:lpstr>H-2425.1 ALL Radius</vt:lpstr>
      <vt:lpstr>H-2627.35.1 ALL Radius</vt:lpstr>
      <vt:lpstr>H-3435.45.1 ALL Radius</vt:lpstr>
      <vt:lpstr>Open Strip 25.35.45.60</vt:lpstr>
      <vt:lpstr>Order</vt:lpstr>
      <vt:lpstr>GLAND CLAMP STOCK</vt:lpstr>
      <vt:lpstr>Drum Details.</vt:lpstr>
      <vt:lpstr>H MIX</vt:lpstr>
      <vt:lpstr>MACHINE</vt:lpstr>
      <vt:lpstr>Sheet1</vt:lpstr>
      <vt:lpstr>'Drum Details.'!Print_Area</vt:lpstr>
      <vt:lpstr>'H 10 H15 H20'!Print_Area</vt:lpstr>
      <vt:lpstr>'H MIX'!Print_Area</vt:lpstr>
      <vt:lpstr>'H-21 ALL RADIUS'!Print_Area</vt:lpstr>
      <vt:lpstr>'H-21.1 ALL Radius'!Print_Area</vt:lpstr>
      <vt:lpstr>'H-2425.1 ALL Radius'!Print_Area</vt:lpstr>
      <vt:lpstr>'H-25 ALL RADIUS'!Print_Area</vt:lpstr>
      <vt:lpstr>'H-2627.35.1 ALL Radius'!Print_Area</vt:lpstr>
      <vt:lpstr>'H-3435.45.1 ALL Radius'!Print_Area</vt:lpstr>
      <vt:lpstr>'h-35 all radius'!Print_Area</vt:lpstr>
      <vt:lpstr>'H-42 ALL RADIUS'!Print_Area</vt:lpstr>
      <vt:lpstr>'H-45 ALL RADIUS'!Print_Area</vt:lpstr>
      <vt:lpstr>'H-56 ALL RADIUS'!Print_Area</vt:lpstr>
      <vt:lpstr>'H-60 ALL RADIUS'!Print_Area</vt:lpstr>
      <vt:lpstr>'H-80 ALL RADIUS'!Print_Area</vt:lpstr>
      <vt:lpstr>MACHINE!Print_Area</vt:lpstr>
      <vt:lpstr>'Open Strip 25.35.45.60'!Print_Area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2026-07-15T12:46:42Z</dcterms:modified>
</cp:coreProperties>
</file>